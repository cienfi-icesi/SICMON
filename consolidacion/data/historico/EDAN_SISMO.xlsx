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EDAN 100826 - Datos Madre" sheetId="2" r:id="rId6"/>
    <sheet state="visible" name="Tabla dinámica 10" sheetId="3" r:id="rId7"/>
    <sheet state="visible" name="Tabla dinámica 9" sheetId="4" r:id="rId8"/>
    <sheet state="visible" name="Datos5-Atendido" sheetId="5" r:id="rId9"/>
    <sheet state="visible" name="Datos4-En validación -Colapso E" sheetId="6" r:id="rId10"/>
    <sheet state="visible" name="Datos3-Atendido-Colapso Estruct" sheetId="7" r:id="rId11"/>
    <sheet state="visible" name="901" sheetId="8" r:id="rId12"/>
    <sheet state="visible" name="Copia de Hoja2" sheetId="9" r:id="rId13"/>
    <sheet state="visible" name="CAPACIADES " sheetId="10" r:id="rId14"/>
  </sheets>
  <definedNames>
    <definedName hidden="1" localSheetId="1" name="Z_AFDB9225_3EA0_4DC0_8CEC_E3C5310BC205_.wvu.FilterData">'EDAN 100826 - Datos Madre'!$A$1:$AB$264</definedName>
    <definedName hidden="1" localSheetId="1" name="Z_5879827B_7651_42C9_941A_24CD538991D6_.wvu.FilterData">'EDAN 100826 - Datos Madre'!$A$1:$AL$264</definedName>
    <definedName hidden="1" localSheetId="1" name="Z_66BD96B4_92BB_43F1_A949_54721D499DD1_.wvu.FilterData">'EDAN 100826 - Datos Madre'!$A$1:$AL$270</definedName>
    <definedName hidden="1" localSheetId="1" name="Z_5ECF1A88_30EA_4C24_8360_D49675CB9EF2_.wvu.FilterData">'EDAN 100826 - Datos Madre'!$A$1:$AL$264</definedName>
  </definedNames>
  <calcPr/>
  <customWorkbookViews>
    <customWorkbookView activeSheetId="0" maximized="1" windowHeight="0" windowWidth="0" guid="{AFDB9225-3EA0-4DC0-8CEC-E3C5310BC205}" name="Filtro 1"/>
    <customWorkbookView activeSheetId="0" maximized="1" windowHeight="0" windowWidth="0" guid="{5879827B-7651-42C9-941A-24CD538991D6}" name="Filtro 3"/>
    <customWorkbookView activeSheetId="0" maximized="1" windowHeight="0" windowWidth="0" guid="{66BD96B4-92BB-43F1-A949-54721D499DD1}" name="Filtro 4"/>
    <customWorkbookView activeSheetId="0" maximized="1" windowHeight="0" windowWidth="0" guid="{5ECF1A88-30EA-4C24-8360-D49675CB9EF2}" name="Filtro 2"/>
  </customWorkbookViews>
  <pivotCaches>
    <pivotCache cacheId="0" r:id="rId15"/>
    <pivotCache cacheId="1" r:id="rId16"/>
  </pivotCaches>
</workbook>
</file>

<file path=xl/sharedStrings.xml><?xml version="1.0" encoding="utf-8"?>
<sst xmlns="http://schemas.openxmlformats.org/spreadsheetml/2006/main" count="12269" uniqueCount="2769">
  <si>
    <t>Consecutivo</t>
  </si>
  <si>
    <t>Prioridad</t>
  </si>
  <si>
    <t>Estado</t>
  </si>
  <si>
    <t>Color semaforo</t>
  </si>
  <si>
    <t>Urgente</t>
  </si>
  <si>
    <t>Comuna - Corregimiento</t>
  </si>
  <si>
    <t>Sector</t>
  </si>
  <si>
    <t>Barrio</t>
  </si>
  <si>
    <t>Tipo</t>
  </si>
  <si>
    <t xml:space="preserve"> </t>
  </si>
  <si>
    <t>Referencia</t>
  </si>
  <si>
    <t>Direccion completa</t>
  </si>
  <si>
    <t>Descripción</t>
  </si>
  <si>
    <t>Normalizacion</t>
  </si>
  <si>
    <t>Personas Evacuadas</t>
  </si>
  <si>
    <t>Seres sintientes</t>
  </si>
  <si>
    <t>Atencion de la respuesta</t>
  </si>
  <si>
    <t>Colapso Total</t>
  </si>
  <si>
    <t>Colapso Parcial</t>
  </si>
  <si>
    <t>Daños</t>
  </si>
  <si>
    <t>Atrapamientos</t>
  </si>
  <si>
    <t>Rescatados</t>
  </si>
  <si>
    <t>Fallecidos</t>
  </si>
  <si>
    <t>Hospital/Clinica</t>
  </si>
  <si>
    <t>NOMBRE DELEGADO</t>
  </si>
  <si>
    <t>Observación Gestión del Riesgo</t>
  </si>
  <si>
    <t>SOLICITUDES PENDIENTES</t>
  </si>
  <si>
    <t>REFERENCIADO EN EL MAPA</t>
  </si>
  <si>
    <t>DESAPARECIDOS</t>
  </si>
  <si>
    <t>COORDENADAS</t>
  </si>
  <si>
    <t>DESCRIPCION DE LA SITUACION</t>
  </si>
  <si>
    <t>Observaciones generales (FORMULARIO)</t>
  </si>
  <si>
    <t>ALTA</t>
  </si>
  <si>
    <t>Atendido</t>
  </si>
  <si>
    <t>NARANJA</t>
  </si>
  <si>
    <t>Comuna 19</t>
  </si>
  <si>
    <t>Sur</t>
  </si>
  <si>
    <t>El Lido</t>
  </si>
  <si>
    <t>Edificio</t>
  </si>
  <si>
    <t>Carrera 44 con calle 5</t>
  </si>
  <si>
    <t>Colapso de 3 edificaciones y 4 en riesgo de colapso</t>
  </si>
  <si>
    <t>Colapso Estructural</t>
  </si>
  <si>
    <t>Columnas</t>
  </si>
  <si>
    <t>BROS - DCC</t>
  </si>
  <si>
    <t>Filas</t>
  </si>
  <si>
    <t>Valores</t>
  </si>
  <si>
    <t>SI</t>
  </si>
  <si>
    <t>EDAN Sismo Cali — Dashboard Reporte 12 de Agosto 2026 - Hora 7:00 Hrs</t>
  </si>
  <si>
    <t>DANIELA GONZALEZ/MAFE</t>
  </si>
  <si>
    <t>Se actualiza automáticamente al editar o agregar filas en "EDAN 100826 - Datos Madre"</t>
  </si>
  <si>
    <r>
      <rPr>
        <rFont val="Arial"/>
        <color theme="1"/>
      </rPr>
      <t xml:space="preserve">En atención se requiere busqueda tecnica. </t>
    </r>
    <r>
      <rPr>
        <rFont val="Arial"/>
        <b/>
        <color theme="1"/>
      </rPr>
      <t xml:space="preserve">(Bros).. </t>
    </r>
    <r>
      <rPr>
        <rFont val="Arial"/>
        <color theme="1"/>
      </rPr>
      <t>Se asistio con 5 Recursos (máquinas y vehículo de comando), en horas de la noche nos retiramos. El área queda LIMPIA</t>
    </r>
  </si>
  <si>
    <t>Casos por comuna</t>
  </si>
  <si>
    <t>Actualización BROS</t>
  </si>
  <si>
    <t>Comuna</t>
  </si>
  <si>
    <t>SUM de Daños</t>
  </si>
  <si>
    <t>SUM de Atrapamientos</t>
  </si>
  <si>
    <t>SUM de Rescatados</t>
  </si>
  <si>
    <t>Casos</t>
  </si>
  <si>
    <t>SUM de Fallecidos</t>
  </si>
  <si>
    <t>Comuna 1</t>
  </si>
  <si>
    <t>Comuna 17</t>
  </si>
  <si>
    <t>BAJO</t>
  </si>
  <si>
    <t>-</t>
  </si>
  <si>
    <t>En atención</t>
  </si>
  <si>
    <t>MORADO</t>
  </si>
  <si>
    <t>1 de mayo</t>
  </si>
  <si>
    <t>TOTAL CASOS</t>
  </si>
  <si>
    <t>3 de Julio</t>
  </si>
  <si>
    <t>PRIORIDAD ALTA</t>
  </si>
  <si>
    <t>4 de Julio</t>
  </si>
  <si>
    <t>Comuna 10</t>
  </si>
  <si>
    <t>La Hacienda</t>
  </si>
  <si>
    <t>Alameda</t>
  </si>
  <si>
    <t>comuna 9</t>
  </si>
  <si>
    <t>Carrera 72 con calle 11</t>
  </si>
  <si>
    <t>Alamos</t>
  </si>
  <si>
    <t>Comuna 2</t>
  </si>
  <si>
    <t>Alférez real</t>
  </si>
  <si>
    <t>comuna 18</t>
  </si>
  <si>
    <t>Alfonso Bonilla</t>
  </si>
  <si>
    <t>Comuna 14</t>
  </si>
  <si>
    <t>PROFESIONAL VOLUNTARIO</t>
  </si>
  <si>
    <t>Alfonso Bonilla Aragón</t>
  </si>
  <si>
    <t>NO</t>
  </si>
  <si>
    <t>Alfonso López</t>
  </si>
  <si>
    <t>Comuna 7</t>
  </si>
  <si>
    <t>Alto Jordan</t>
  </si>
  <si>
    <t>Comuna 18</t>
  </si>
  <si>
    <t>Comuna 11</t>
  </si>
  <si>
    <t>Alto Nápoles</t>
  </si>
  <si>
    <r>
      <rPr>
        <rFont val="Arial"/>
        <b/>
        <color theme="1"/>
      </rPr>
      <t>(Bros)...</t>
    </r>
    <r>
      <rPr>
        <rFont val="Arial"/>
        <color theme="1"/>
      </rPr>
      <t>ver punto Nro 20</t>
    </r>
  </si>
  <si>
    <t>Comuna 13</t>
  </si>
  <si>
    <t>Alto Polvorines</t>
  </si>
  <si>
    <t>Altos de Melendez</t>
  </si>
  <si>
    <t>Altos de Santa Elena / Polvorines</t>
  </si>
  <si>
    <t>Comuna 21</t>
  </si>
  <si>
    <t>Visitado</t>
  </si>
  <si>
    <t>Altos del rosario</t>
  </si>
  <si>
    <t>La Buitrera</t>
  </si>
  <si>
    <t>Casos por color (semáforo)</t>
  </si>
  <si>
    <t>Andres Sanin</t>
  </si>
  <si>
    <t>comuna 7</t>
  </si>
  <si>
    <t>Comuna 22</t>
  </si>
  <si>
    <t>Limonar</t>
  </si>
  <si>
    <t>Antonio Nariño</t>
  </si>
  <si>
    <t>Comuna 16</t>
  </si>
  <si>
    <t>Calle 10 Bis # 70 34</t>
  </si>
  <si>
    <t>Color</t>
  </si>
  <si>
    <t>Significado</t>
  </si>
  <si>
    <t>Asturias</t>
  </si>
  <si>
    <t>Comuna 3</t>
  </si>
  <si>
    <t>Bajo Aguacatal</t>
  </si>
  <si>
    <t>Naranja</t>
  </si>
  <si>
    <t>Bajo Jordan</t>
  </si>
  <si>
    <t>En atención - Organismos de socorro</t>
  </si>
  <si>
    <t>Barranquilla</t>
  </si>
  <si>
    <t>Comuna 5</t>
  </si>
  <si>
    <t>Barrio 3 de Julio por el estadio oriental</t>
  </si>
  <si>
    <r>
      <rPr>
        <rFont val="Arial"/>
        <b/>
        <color theme="1"/>
      </rPr>
      <t>(Bros)...</t>
    </r>
    <r>
      <rPr>
        <rFont val="Arial"/>
        <color theme="1"/>
      </rPr>
      <t>ver punto Nro 20</t>
    </r>
  </si>
  <si>
    <t>Comuna 4</t>
  </si>
  <si>
    <t>Barrio Asturias</t>
  </si>
  <si>
    <t>Comuna 8</t>
  </si>
  <si>
    <t>3.3935084, -76.5436393</t>
  </si>
  <si>
    <t>Se encuentra el inmueble en su mayoría con buen estado, parte de la fachada que mira hacia la autopista sur-oriental presenta desprendimiento de elementos no estructurales. Dentro de las zonas comunes se hayan fisuras leves en elementos no estructurales. El bloque b de la unidad presenta daños en las columnas laterales de primer piso, dejando a la vista el acero de refuerzo y dejando una inclinación evidente a simple vista en el muro continuo.</t>
  </si>
  <si>
    <t>Barrio el Cedro</t>
  </si>
  <si>
    <t>Morado</t>
  </si>
  <si>
    <t>En validación - Profesionales Voluntarios</t>
  </si>
  <si>
    <t>Barrio Giauaquil</t>
  </si>
  <si>
    <t>Comuna 9</t>
  </si>
  <si>
    <t>Barrio la flora</t>
  </si>
  <si>
    <t>Visitados 294</t>
  </si>
  <si>
    <t xml:space="preserve">En digitalización </t>
  </si>
  <si>
    <t>Belalcázar</t>
  </si>
  <si>
    <t>ANULADO</t>
  </si>
  <si>
    <t>Bella Suiza</t>
  </si>
  <si>
    <t>Verde</t>
  </si>
  <si>
    <t>NEGRO</t>
  </si>
  <si>
    <t>Bellavista</t>
  </si>
  <si>
    <t>Bochalema</t>
  </si>
  <si>
    <t>Comuna 6</t>
  </si>
  <si>
    <t>comuna 22</t>
  </si>
  <si>
    <t>Amarillo</t>
  </si>
  <si>
    <t>Bosques del Limonar</t>
  </si>
  <si>
    <t>En validación SGRED</t>
  </si>
  <si>
    <t>Bretaña</t>
  </si>
  <si>
    <t>Brisas de los Alamos</t>
  </si>
  <si>
    <t>Rojo</t>
  </si>
  <si>
    <t>Pendiente por atención organismo de socorro</t>
  </si>
  <si>
    <t>Bueno Madrid</t>
  </si>
  <si>
    <t>Buenos Aires</t>
  </si>
  <si>
    <t>Sin clasificar</t>
  </si>
  <si>
    <t xml:space="preserve">Pendiente por atención </t>
  </si>
  <si>
    <t>Caldas</t>
  </si>
  <si>
    <t>Calimio – Desepaz</t>
  </si>
  <si>
    <t>Anulado</t>
  </si>
  <si>
    <t>Cambulos</t>
  </si>
  <si>
    <t>Total</t>
  </si>
  <si>
    <t>Cámbulos</t>
  </si>
  <si>
    <t>Cuarto de Legua</t>
  </si>
  <si>
    <t>Camino Real</t>
  </si>
  <si>
    <t>Carrera 57 # 3-88</t>
  </si>
  <si>
    <t>Edificio Ana del Pilar</t>
  </si>
  <si>
    <t xml:space="preserve">Reporte General </t>
  </si>
  <si>
    <t>Cañaveralejo</t>
  </si>
  <si>
    <t>Colapso estructural</t>
  </si>
  <si>
    <t>Cañaverales</t>
  </si>
  <si>
    <t>BROS</t>
  </si>
  <si>
    <t>Capri</t>
  </si>
  <si>
    <t xml:space="preserve">Colapsos </t>
  </si>
  <si>
    <t>Cascada</t>
  </si>
  <si>
    <t>Reporte enseguida del D1, no hay personal de bomberos, no hay energía, se necesitan linternas y guantes. (Bros)... Nos encontramos trabajando con varios recursos (aproximadamente 10 vehículos, Bomberos Yumbo) siendo las 23: 20 horas se continua las labores, el área va desde la calle 3 con carrera 50 a la carrera 56. El número de rescatados y fallecidos corresponde al secto indicado.</t>
  </si>
  <si>
    <t>DIGITALIZADO</t>
  </si>
  <si>
    <t>Cedro</t>
  </si>
  <si>
    <t>Heridos</t>
  </si>
  <si>
    <t>centenario</t>
  </si>
  <si>
    <t xml:space="preserve">Fallecidos </t>
  </si>
  <si>
    <t>Centro</t>
  </si>
  <si>
    <t>TOTALES</t>
  </si>
  <si>
    <t>Champagnat</t>
  </si>
  <si>
    <t>Chapinero</t>
  </si>
  <si>
    <t>comuna 8</t>
  </si>
  <si>
    <t>Charco azul</t>
  </si>
  <si>
    <t>Colapsos General</t>
  </si>
  <si>
    <t>chiminangos</t>
  </si>
  <si>
    <t xml:space="preserve">Sujeto a datos recibidos por otras fuentes Virgilio F. </t>
  </si>
  <si>
    <t>chiminangos etapa 1</t>
  </si>
  <si>
    <t>Chiminangos II</t>
  </si>
  <si>
    <t>Chipichape</t>
  </si>
  <si>
    <t>Suma</t>
  </si>
  <si>
    <t>Ciudad 2000</t>
  </si>
  <si>
    <t>Ciudad Capri</t>
  </si>
  <si>
    <t>Ciudad Cordoba</t>
  </si>
  <si>
    <t>Comuna 15</t>
  </si>
  <si>
    <t>Ciudad Cordoba etapa II</t>
  </si>
  <si>
    <t>Ciudad Jardín</t>
  </si>
  <si>
    <t xml:space="preserve"> Sector </t>
  </si>
  <si>
    <t xml:space="preserve">Barrio </t>
  </si>
  <si>
    <t>Ciudad Melendez</t>
  </si>
  <si>
    <t>Direccion</t>
  </si>
  <si>
    <t xml:space="preserve">Referencia </t>
  </si>
  <si>
    <t>Ciudadela Comfandi</t>
  </si>
  <si>
    <t>ciudadela floralia</t>
  </si>
  <si>
    <t>Pampalinda</t>
  </si>
  <si>
    <t xml:space="preserve">Personas Evacuadas </t>
  </si>
  <si>
    <t>Ciudadela Pasoancho</t>
  </si>
  <si>
    <t>Calle 3 # 61B</t>
  </si>
  <si>
    <t xml:space="preserve">Seres sintientes </t>
  </si>
  <si>
    <t>Edificio de 3 Pisos</t>
  </si>
  <si>
    <t>Club residencial los cristales</t>
  </si>
  <si>
    <t xml:space="preserve">Colapso Total </t>
  </si>
  <si>
    <t>colinas del sur</t>
  </si>
  <si>
    <t>Colseguros</t>
  </si>
  <si>
    <t>DCC - BROS</t>
  </si>
  <si>
    <t xml:space="preserve">Observación Gestión del Riesgo </t>
  </si>
  <si>
    <t xml:space="preserve">SOLICITUDES PENDIENTES </t>
  </si>
  <si>
    <t>Colseguros andes</t>
  </si>
  <si>
    <t>En atención, salimos la estación alameda en la máquina B2 a la Carrera 61 # 3-167 cuarto de Legua</t>
  </si>
  <si>
    <t>comuneros 1</t>
  </si>
  <si>
    <t>Comuneros I</t>
  </si>
  <si>
    <t>Cristales</t>
  </si>
  <si>
    <t>Cristobal colon</t>
  </si>
  <si>
    <t>Cristóbal Colón</t>
  </si>
  <si>
    <t>Cuarto De Legua - Guadalupe</t>
  </si>
  <si>
    <t>VERDE</t>
  </si>
  <si>
    <t>Cuarto de Legua – Guadalupe</t>
  </si>
  <si>
    <t>Cuarto de Llegua</t>
  </si>
  <si>
    <t>Cudad Modelo</t>
  </si>
  <si>
    <t>Los Cámbulos</t>
  </si>
  <si>
    <t>Cuerto de Legua</t>
  </si>
  <si>
    <t>Av. Roosevelt (Calle 6) con Carrera 42</t>
  </si>
  <si>
    <t>danubio</t>
  </si>
  <si>
    <t>Daño estructural</t>
  </si>
  <si>
    <t>Departamental</t>
  </si>
  <si>
    <t>Afectación estructural</t>
  </si>
  <si>
    <t>El Cedro</t>
  </si>
  <si>
    <t>El Cristal</t>
  </si>
  <si>
    <t>Carrera 44 con calle 5, El Lido, Cali</t>
  </si>
  <si>
    <t>El Dorado</t>
  </si>
  <si>
    <t>El Gran Limonar</t>
  </si>
  <si>
    <r>
      <rPr>
        <rFont val="Arial"/>
        <color theme="1"/>
      </rPr>
      <t xml:space="preserve">Edificio averiado, se rescata una feminina del sexto piso, lugar acordonado y se da indicacaciones de no habilitar el lugar. </t>
    </r>
    <r>
      <rPr>
        <rFont val="Arial"/>
        <b/>
        <color theme="1"/>
      </rPr>
      <t>(Bros)...</t>
    </r>
    <r>
      <rPr>
        <rFont val="Arial"/>
        <color theme="1"/>
      </rPr>
      <t xml:space="preserve"> = igual información</t>
    </r>
  </si>
  <si>
    <t>El Guabal</t>
  </si>
  <si>
    <t xml:space="preserve">BROS - DCC </t>
  </si>
  <si>
    <t>el guabito</t>
  </si>
  <si>
    <t>El ingenio</t>
  </si>
  <si>
    <t>El Jardin</t>
  </si>
  <si>
    <t>El jordan</t>
  </si>
  <si>
    <t xml:space="preserve">En atención se requiere busqueda tecnica. (Bros).. Se asistio con 5 Recursos (máquinas y vehículo de comando), en horas de la noche nos retiramos. El área queda LIMPIA </t>
  </si>
  <si>
    <t>Olimpico</t>
  </si>
  <si>
    <t>El Limonar</t>
  </si>
  <si>
    <t>Carrera 38a # 10</t>
  </si>
  <si>
    <t>Edificio Punto Rojo</t>
  </si>
  <si>
    <t>El Peñon</t>
  </si>
  <si>
    <t>El piloto</t>
  </si>
  <si>
    <t>RIESGOS - BROS</t>
  </si>
  <si>
    <t>El poblado II</t>
  </si>
  <si>
    <t>El Refugio</t>
  </si>
  <si>
    <t>El rincon</t>
  </si>
  <si>
    <t>Juan Manuel Montaño y Jose Luis Cobo</t>
  </si>
  <si>
    <t>Se requiere personal personas atrapadas. (Bros)... Se asitio con dos recursos. ZONA LIMPIA</t>
  </si>
  <si>
    <t>El Seminario</t>
  </si>
  <si>
    <t>Por favor actualizar BOMBEROS - OK 
DIGITALIZADO</t>
  </si>
  <si>
    <t/>
  </si>
  <si>
    <t>El Sindical</t>
  </si>
  <si>
    <t>Junin</t>
  </si>
  <si>
    <t>El templete</t>
  </si>
  <si>
    <t>Autopista Sur # 13-01</t>
  </si>
  <si>
    <t>Hotel La Luna</t>
  </si>
  <si>
    <t>Autopista Sur # 13-01, Junin, Cali</t>
  </si>
  <si>
    <t xml:space="preserve">Colapso estructural </t>
  </si>
  <si>
    <t>El troncal</t>
  </si>
  <si>
    <t>En validación</t>
  </si>
  <si>
    <t>CRC</t>
  </si>
  <si>
    <t>el vallado</t>
  </si>
  <si>
    <t>Esmeralda</t>
  </si>
  <si>
    <t>Giovanny Ordoñez y Felipe Galves</t>
  </si>
  <si>
    <t>Eucarístico</t>
  </si>
  <si>
    <t>Se cayo el hotel la luna, no hay personas atrapadas. (Bros)... No hubo intervención por parte de Bomberos</t>
  </si>
  <si>
    <t>Felidia</t>
  </si>
  <si>
    <t>San Fernando</t>
  </si>
  <si>
    <t>Pendiente</t>
  </si>
  <si>
    <t>Flora Ind.</t>
  </si>
  <si>
    <t>Carrera 36 con Calle 5 B2 69</t>
  </si>
  <si>
    <t>Golondrinas</t>
  </si>
  <si>
    <t>gran limonar</t>
  </si>
  <si>
    <t>RIESGOS</t>
  </si>
  <si>
    <t>Granada</t>
  </si>
  <si>
    <t>Casa</t>
  </si>
  <si>
    <t>Validado</t>
  </si>
  <si>
    <t xml:space="preserve">Carrera 52 # 3 20 </t>
  </si>
  <si>
    <t>Gebel Taba</t>
  </si>
  <si>
    <t>guabal</t>
  </si>
  <si>
    <t>Bodega de reciclaje</t>
  </si>
  <si>
    <t>Riesgos - Vivienda de dos niveles afectada en fachada. Fractura en paredes de habitación de la parte frontal. Maria Eugenia Ospina.,</t>
  </si>
  <si>
    <t>Carrera 52 # 3 20 , El Lido, Cali</t>
  </si>
  <si>
    <t>Guadalupe</t>
  </si>
  <si>
    <t>Guayaquil</t>
  </si>
  <si>
    <t>Ingenio</t>
  </si>
  <si>
    <t>AMARILLO</t>
  </si>
  <si>
    <t>isabel perez</t>
  </si>
  <si>
    <t>Comuna 20</t>
  </si>
  <si>
    <t>Atendido, sin personas atrapadas</t>
  </si>
  <si>
    <t>Joaquin Borrero - Cañaveralejo</t>
  </si>
  <si>
    <t>Jordan</t>
  </si>
  <si>
    <t>jorge eliecer gaitan</t>
  </si>
  <si>
    <t>Carrera 58 # 3-138</t>
  </si>
  <si>
    <t>Juanambu</t>
  </si>
  <si>
    <t>Juanambú</t>
  </si>
  <si>
    <t>MEDIO</t>
  </si>
  <si>
    <t>Juananbu</t>
  </si>
  <si>
    <t>comuna 2</t>
  </si>
  <si>
    <r>
      <rPr>
        <rFont val="Arial"/>
        <color theme="1"/>
      </rPr>
      <t xml:space="preserve">Familia de 5 personas atrapada - no hay equipos de rescate. </t>
    </r>
    <r>
      <rPr>
        <rFont val="Arial"/>
        <b/>
        <color theme="1"/>
      </rPr>
      <t>(Bros)...</t>
    </r>
    <r>
      <rPr>
        <rFont val="Arial"/>
        <color theme="1"/>
      </rPr>
      <t xml:space="preserve"> Ver punto Nro 6</t>
    </r>
  </si>
  <si>
    <t xml:space="preserve">Carrera 37 # 5b1 - 37 </t>
  </si>
  <si>
    <t>la alameda</t>
  </si>
  <si>
    <t>Edificio Liliana</t>
  </si>
  <si>
    <t>Carrera 37 # 5b1 - 37 , San Fernando, Cali</t>
  </si>
  <si>
    <t>La Arboleda Altos de Melendez</t>
  </si>
  <si>
    <t>La base</t>
  </si>
  <si>
    <t>La Campiña</t>
  </si>
  <si>
    <t xml:space="preserve">Edificio de 4 pisos con colapso total 10 apartamentos </t>
  </si>
  <si>
    <t>La cascada</t>
  </si>
  <si>
    <t>La Esperanza</t>
  </si>
  <si>
    <t>La Flora</t>
  </si>
  <si>
    <t>La Independencia</t>
  </si>
  <si>
    <t>La Merced</t>
  </si>
  <si>
    <t>La Paz</t>
  </si>
  <si>
    <t xml:space="preserve">la rivera guayacanes </t>
  </si>
  <si>
    <t xml:space="preserve">comuna 5 </t>
  </si>
  <si>
    <t>La Riviera/ San Marino</t>
  </si>
  <si>
    <t>la selva</t>
  </si>
  <si>
    <r>
      <rPr>
        <rFont val="Arial"/>
        <color theme="1"/>
      </rPr>
      <t xml:space="preserve">Se cayo el hotel la luna, no hay personas atrapadas. </t>
    </r>
    <r>
      <rPr>
        <rFont val="Arial"/>
        <b/>
        <color theme="1"/>
      </rPr>
      <t>(Bros)...</t>
    </r>
    <r>
      <rPr>
        <rFont val="Arial"/>
        <color theme="1"/>
      </rPr>
      <t xml:space="preserve"> No hubo intervención por parte de Bomberos</t>
    </r>
  </si>
  <si>
    <t>la union</t>
  </si>
  <si>
    <t>comuna 16</t>
  </si>
  <si>
    <t>La viga-pance</t>
  </si>
  <si>
    <t>Las Acacias</t>
  </si>
  <si>
    <t>Las Camelias</t>
  </si>
  <si>
    <t>ROJO</t>
  </si>
  <si>
    <t>Las Canas</t>
  </si>
  <si>
    <t>Urbanización Tequendama</t>
  </si>
  <si>
    <t>Parroquia</t>
  </si>
  <si>
    <t>Calle 5 con Carrera 42</t>
  </si>
  <si>
    <t>Parroquia La Ascensión del Señor</t>
  </si>
  <si>
    <t>las ceibas</t>
  </si>
  <si>
    <t>Las Delicias</t>
  </si>
  <si>
    <t>Las Vegas</t>
  </si>
  <si>
    <t>Se requiere validar, no hubo atención de bomberos. Fuga de gas y maquinaria para buscar 3 víctimas con movilidad reducida
Calle 5ta 42 esquina 3235906044 Oscar Aristizábal</t>
  </si>
  <si>
    <t>las vegas de comfandi</t>
  </si>
  <si>
    <t>laureano gomez</t>
  </si>
  <si>
    <t>Libertadores</t>
  </si>
  <si>
    <t>lleras camargo</t>
  </si>
  <si>
    <t>los alamos</t>
  </si>
  <si>
    <t>Norte</t>
  </si>
  <si>
    <t>Los Alcazares</t>
  </si>
  <si>
    <t>Calle 62B # 1A9-365</t>
  </si>
  <si>
    <t>comuna 3</t>
  </si>
  <si>
    <t>Torre G</t>
  </si>
  <si>
    <t>Los Almendros</t>
  </si>
  <si>
    <t>Los amendros</t>
  </si>
  <si>
    <t>Los andes</t>
  </si>
  <si>
    <t>Los Cambulos</t>
  </si>
  <si>
    <t>Miguel Medina</t>
  </si>
  <si>
    <t>En atención - Priorizado USAR Nacional, Se recomendó evacuación</t>
  </si>
  <si>
    <t>Los Chorros</t>
  </si>
  <si>
    <t>Los Cristales</t>
  </si>
  <si>
    <t>comuna 19</t>
  </si>
  <si>
    <t xml:space="preserve">En validación </t>
  </si>
  <si>
    <t>Los Estudiantes</t>
  </si>
  <si>
    <t>Los Guaduales</t>
  </si>
  <si>
    <t>Los lagos distrito de agua blanca</t>
  </si>
  <si>
    <t>Carrera 39/38A # 5d - 09</t>
  </si>
  <si>
    <t>Tequendama</t>
  </si>
  <si>
    <t>los pinos</t>
  </si>
  <si>
    <t>Carrera 39/38A # 5d - 09, San Fernando, Cali</t>
  </si>
  <si>
    <t xml:space="preserve">Colapso Estructural </t>
  </si>
  <si>
    <t>Carrera 42 con calle 5</t>
  </si>
  <si>
    <t>Quintapan</t>
  </si>
  <si>
    <t>los portales - nuevo rey</t>
  </si>
  <si>
    <t>Manuel Buenaventura</t>
  </si>
  <si>
    <t>PAZ Y CULTURA</t>
  </si>
  <si>
    <t>Mariano ramos</t>
  </si>
  <si>
    <t>Se encuentan en labores de rescate, se requiere apoyo de Seguridad y Justicia; policia con el fin de controlar la aglomeración de personas.</t>
  </si>
  <si>
    <t>Marroquin 2</t>
  </si>
  <si>
    <t xml:space="preserve">Francisco Qesada y patricia de la pava </t>
  </si>
  <si>
    <t>Por favor actualizar BOMBEROS - OK
DIGITALIZADO</t>
  </si>
  <si>
    <t>Marroquín I</t>
  </si>
  <si>
    <t>Colapso de infraestructura</t>
  </si>
  <si>
    <t>Mayapan</t>
  </si>
  <si>
    <t>Mayapan - Las Vegas</t>
  </si>
  <si>
    <t>Melendez</t>
  </si>
  <si>
    <t>Carrera 67 # 3c -15</t>
  </si>
  <si>
    <t>Barrio el refugio</t>
  </si>
  <si>
    <t>Meléndez</t>
  </si>
  <si>
    <t>Menga</t>
  </si>
  <si>
    <t>BROS - RIESGOS</t>
  </si>
  <si>
    <t>mira flores</t>
  </si>
  <si>
    <t>Miraflores</t>
  </si>
  <si>
    <t>Montebello</t>
  </si>
  <si>
    <t>YESICA JORDAN</t>
  </si>
  <si>
    <t>napoles</t>
  </si>
  <si>
    <r>
      <rPr>
        <rFont val="Arial"/>
        <color theme="1"/>
      </rPr>
      <t xml:space="preserve">1. descripcion de la afectación: Edifico de 5 pisos más azotea colapso,
2. se tienen sobrevivientes ya se sacó 1, se necesita urgente personal para ayudar a sacar parece que hay más sobrevivientes,
3. Tienen 2 máquinas de bomberos,
4. Nos indica que ya cruz roja está en este punto, 20 personas están bajo los escombros, 5. Dos torres están evacuadas por posible colapso.
</t>
    </r>
    <r>
      <rPr>
        <rFont val="Arial"/>
        <b/>
        <color theme="1"/>
      </rPr>
      <t xml:space="preserve">(Bros)... </t>
    </r>
    <r>
      <rPr>
        <rFont val="Arial"/>
        <color theme="1"/>
      </rPr>
      <t>Siendo las 23:50 horas continua bomberos trabajando en el sector</t>
    </r>
  </si>
  <si>
    <t>Normandia</t>
  </si>
  <si>
    <t xml:space="preserve">Alto Jordan </t>
  </si>
  <si>
    <t>Nueva Floresta</t>
  </si>
  <si>
    <t>Carrera 94d # calle 2 a bis - entre carreras 94c1 y 94b1</t>
  </si>
  <si>
    <t>Carrera 94d # calle 2 a bis - entre carreras 94c1 y 94b1, Alto Jordan , Cali</t>
  </si>
  <si>
    <t>nueva granada</t>
  </si>
  <si>
    <t>Nueva Tequendama</t>
  </si>
  <si>
    <t>Nuevo Tequendama</t>
  </si>
  <si>
    <t>EDRU</t>
  </si>
  <si>
    <t>pacara</t>
  </si>
  <si>
    <t>Pacara y Alamos</t>
  </si>
  <si>
    <t>Carolina Soto - Juan Cralos</t>
  </si>
  <si>
    <t>palma real</t>
  </si>
  <si>
    <t>Palmas</t>
  </si>
  <si>
    <t>Pampa Linda</t>
  </si>
  <si>
    <t>Panamericano</t>
  </si>
  <si>
    <t>Pance</t>
  </si>
  <si>
    <t>Parcelaciones Pance</t>
  </si>
  <si>
    <t>paseo los almendros</t>
  </si>
  <si>
    <t>Pasoancho</t>
  </si>
  <si>
    <t>Patios de la Fora</t>
  </si>
  <si>
    <t>Petecuy etapa 1</t>
  </si>
  <si>
    <t>Pizamos II</t>
  </si>
  <si>
    <t>Poblado 2</t>
  </si>
  <si>
    <t>Poblado ll</t>
  </si>
  <si>
    <t>polvorines</t>
  </si>
  <si>
    <t>Pondaje</t>
  </si>
  <si>
    <t>Oriente</t>
  </si>
  <si>
    <t>Portal de Santillana</t>
  </si>
  <si>
    <t>Hospital</t>
  </si>
  <si>
    <t>Calle 72U # 28E-00, Poblado II</t>
  </si>
  <si>
    <t>Prados del N.</t>
  </si>
  <si>
    <t>Hospital Carlos Holmes Trujillo</t>
  </si>
  <si>
    <t>Prados del Norte</t>
  </si>
  <si>
    <t>prados del sur</t>
  </si>
  <si>
    <t>Primero de mayo</t>
  </si>
  <si>
    <t>Puertas del sol</t>
  </si>
  <si>
    <t>comuna 14</t>
  </si>
  <si>
    <t>Bomberos - Cruz Ruja</t>
  </si>
  <si>
    <t>puerto mallarino</t>
  </si>
  <si>
    <t>Quintas de Don Simon</t>
  </si>
  <si>
    <t>Quintas de Don Simón</t>
  </si>
  <si>
    <t>Atendido - Sin atrapamientos</t>
  </si>
  <si>
    <t>Refugio</t>
  </si>
  <si>
    <t>Rural</t>
  </si>
  <si>
    <t>Saavedra galindo</t>
  </si>
  <si>
    <t>Salomia</t>
  </si>
  <si>
    <t>San Antonio</t>
  </si>
  <si>
    <t>San Bosco</t>
  </si>
  <si>
    <t>Calle 9 con Carrera 18</t>
  </si>
  <si>
    <t>N/A</t>
  </si>
  <si>
    <t>San Carlos</t>
  </si>
  <si>
    <t>san cayetano</t>
  </si>
  <si>
    <t>Alejandro Barrera
Daiha Navarro</t>
  </si>
  <si>
    <t>Colapso de paredes dos personas sanas, paredes fracturados.</t>
  </si>
  <si>
    <t>San Fernando N.</t>
  </si>
  <si>
    <t>San Fernando Nuevo</t>
  </si>
  <si>
    <t>San Fernando Viejo</t>
  </si>
  <si>
    <t>San Juan Bosco</t>
  </si>
  <si>
    <t>San Judas</t>
  </si>
  <si>
    <t>comuna 10</t>
  </si>
  <si>
    <t>san luis</t>
  </si>
  <si>
    <t>comuna 6</t>
  </si>
  <si>
    <t>Carrera 40 # 4B-26</t>
  </si>
  <si>
    <t>San Miguel</t>
  </si>
  <si>
    <t>San Nicolas</t>
  </si>
  <si>
    <t>San Pascual</t>
  </si>
  <si>
    <t>San Pedro</t>
  </si>
  <si>
    <t>Validar</t>
  </si>
  <si>
    <t>10 edificios afectados. (Bros)... Se asistio con dos recursos. ZONA LIMPIA</t>
  </si>
  <si>
    <t>comuna 4</t>
  </si>
  <si>
    <t>San Vicente</t>
  </si>
  <si>
    <t>santa anita</t>
  </si>
  <si>
    <t>Santa Anita Reserva</t>
  </si>
  <si>
    <t>Santa Elena</t>
  </si>
  <si>
    <t>Santa Isabel</t>
  </si>
  <si>
    <t>santa monica</t>
  </si>
  <si>
    <t>Santa Monica Norte</t>
  </si>
  <si>
    <t>santa monica popular</t>
  </si>
  <si>
    <t>Santa Mónica Popular</t>
  </si>
  <si>
    <t>Santa Monica R</t>
  </si>
  <si>
    <t>Santa Monica Residencial</t>
  </si>
  <si>
    <t>Santa Mónica Residencial</t>
  </si>
  <si>
    <t>Santa rita</t>
  </si>
  <si>
    <t>santa rosa</t>
  </si>
  <si>
    <t>Sector hora cero</t>
  </si>
  <si>
    <t>Sector La Escuela</t>
  </si>
  <si>
    <t>Sucre</t>
  </si>
  <si>
    <t>Tejares de San Fernando</t>
  </si>
  <si>
    <t>Templete</t>
  </si>
  <si>
    <t>Calle 10 38 21</t>
  </si>
  <si>
    <t>Molino Rojo</t>
  </si>
  <si>
    <t>Terron Colorado</t>
  </si>
  <si>
    <t>Terrón Colorado</t>
  </si>
  <si>
    <t>Terrón colorado, sector Casas Nuevas</t>
  </si>
  <si>
    <t>DCC - BROS - MOVIIDAD - POLICIA</t>
  </si>
  <si>
    <t>Torres de Comfandi</t>
  </si>
  <si>
    <t>Tres de julio</t>
  </si>
  <si>
    <t>Union de Vivienda Popular</t>
  </si>
  <si>
    <r>
      <rPr>
        <rFont val="Arial"/>
        <color theme="1"/>
      </rPr>
      <t xml:space="preserve">En atención. </t>
    </r>
    <r>
      <rPr>
        <rFont val="Arial"/>
        <b/>
        <color theme="1"/>
      </rPr>
      <t>(Bros)...</t>
    </r>
    <r>
      <rPr>
        <rFont val="Arial"/>
        <color theme="1"/>
      </rPr>
      <t>Se asitio con dos recursos. ZONA LIMPIA</t>
    </r>
  </si>
  <si>
    <t>Unión de Vivienda Popular</t>
  </si>
  <si>
    <t xml:space="preserve">union de viviendas popular </t>
  </si>
  <si>
    <t>Urbanizacion Barranquilla</t>
  </si>
  <si>
    <t>Urbanizacion militar</t>
  </si>
  <si>
    <t>Valle de lili</t>
  </si>
  <si>
    <t>Valle del Lili</t>
  </si>
  <si>
    <t>Carrera 52 # 3 20</t>
  </si>
  <si>
    <t>Valle grande</t>
  </si>
  <si>
    <t>Vegas de confandi</t>
  </si>
  <si>
    <t>Vereda Atenas</t>
  </si>
  <si>
    <t>Los Andes</t>
  </si>
  <si>
    <t>Vereda Campo Alegre</t>
  </si>
  <si>
    <t>vereda las pilas del cabuyal</t>
  </si>
  <si>
    <t>Versalles</t>
  </si>
  <si>
    <t>Vientos de Guadalupe</t>
  </si>
  <si>
    <t>Villa del mar</t>
  </si>
  <si>
    <t>SIN CLASIFICAR</t>
  </si>
  <si>
    <t>villacolombia</t>
  </si>
  <si>
    <t>Carrera 38A # 6 38</t>
  </si>
  <si>
    <t>Vipasa</t>
  </si>
  <si>
    <t>Vipasa / Flora</t>
  </si>
  <si>
    <t>Zaguasqui</t>
  </si>
  <si>
    <t>Se requiere validar</t>
  </si>
  <si>
    <t>Carrera 5 # 13 46</t>
  </si>
  <si>
    <t>Edificio el cafe</t>
  </si>
  <si>
    <t>LA FLORA</t>
  </si>
  <si>
    <t>AVENIDA 6A CON 35 NOTARIA QUINTA</t>
  </si>
  <si>
    <t>1 ADULTO</t>
  </si>
  <si>
    <t>MASCULINO</t>
  </si>
  <si>
    <t>CLL 7 CON 21</t>
  </si>
  <si>
    <t>CRE 52 # 2-01</t>
  </si>
  <si>
    <t>Coliseo Pueblo</t>
  </si>
  <si>
    <t>FEMENINO</t>
  </si>
  <si>
    <t>LIDO</t>
  </si>
  <si>
    <t>CR 56 d3-150B CUARTO DE LEGUA</t>
  </si>
  <si>
    <t>3 FALLECIDOS MUJERES</t>
  </si>
  <si>
    <t>FEMENINA</t>
  </si>
  <si>
    <t>LIMONAR</t>
  </si>
  <si>
    <t>CRA 98B-48 127 EDIFICIO RESIDENCIAL SANTA ANA</t>
  </si>
  <si>
    <t>01 FALLECIDO</t>
  </si>
  <si>
    <t>GUABAL</t>
  </si>
  <si>
    <t>CALLE 13 CON CARRERA 43A</t>
  </si>
  <si>
    <t>MELENDEZ</t>
  </si>
  <si>
    <t>GRAN COLOMBIA 70 CON 2</t>
  </si>
  <si>
    <t>01 FALLECIDA 18 AñOS</t>
  </si>
  <si>
    <t>CRA 98B -48-127</t>
  </si>
  <si>
    <t>01 FALLECIDA</t>
  </si>
  <si>
    <t>Colegio</t>
  </si>
  <si>
    <t>CRA 72 CON 10-42</t>
  </si>
  <si>
    <t>Carrera 44 con Calle 9 35</t>
  </si>
  <si>
    <t>Colegio Adventista</t>
  </si>
  <si>
    <t>02 FALLECIDA</t>
  </si>
  <si>
    <t>Colapso estructural - Edificación de 8 pisos colapsada, aproximadamente 28 personas atrapadas. Fuga de gas, Edificio de 7 pisos</t>
  </si>
  <si>
    <t>CL 5 CR 5b PAMPALINA</t>
  </si>
  <si>
    <t>GAS - 
DCC - BROS 
PROFESIONAL VOLUNTARIO</t>
  </si>
  <si>
    <t>4 £EMININA5 Y 1 MASCULINO MAYORES DE EDAD</t>
  </si>
  <si>
    <t>M/£</t>
  </si>
  <si>
    <t>29 (niños)</t>
  </si>
  <si>
    <t>NATHALIE GARCIA - EVELIN COLLAZOS - ERON CISNEROS - MARIA ISABEL</t>
  </si>
  <si>
    <t>cr 36a 5-145 b/ san fernanddo</t>
  </si>
  <si>
    <r>
      <rPr>
        <rFont val="Arial"/>
        <color theme="1"/>
      </rPr>
      <t xml:space="preserve">PUNTO CRITICO En atención - asistio ICBF Equipo psicosicial y unidades moviles. </t>
    </r>
    <r>
      <rPr>
        <rFont val="Arial"/>
        <b/>
        <color theme="1"/>
      </rPr>
      <t>(Bros)...</t>
    </r>
    <r>
      <rPr>
        <rFont val="Arial"/>
        <color theme="1"/>
      </rPr>
      <t>siendo las 01:00 horas del día 11 de agosto continuamos con las labores</t>
    </r>
  </si>
  <si>
    <t>01 MAYOR</t>
  </si>
  <si>
    <t>cl 5b2 38a-50 b/ san fernando</t>
  </si>
  <si>
    <t>02 MAYOR</t>
  </si>
  <si>
    <t>cl 5a 43•5d b/ tequendama</t>
  </si>
  <si>
    <t>MAF</t>
  </si>
  <si>
    <t>cr 39 con cl 5dB tquendama</t>
  </si>
  <si>
    <t>01 MAYOR 01 MENOR DE EDAD</t>
  </si>
  <si>
    <t>Carrera 72 # 10 Bis-21</t>
  </si>
  <si>
    <t>Edificio Torres del Limonar</t>
  </si>
  <si>
    <t>Colapso estructural - Niña atrapada</t>
  </si>
  <si>
    <t>CRA 56 -11-63</t>
  </si>
  <si>
    <t>01 FEMENINA 68 AñOS</t>
  </si>
  <si>
    <t>BROS -
 CRC</t>
  </si>
  <si>
    <t>EL DIAMANTE</t>
  </si>
  <si>
    <t>CARRERA 28D CON 72\¥</t>
  </si>
  <si>
    <t>DANIELA CARDONA</t>
  </si>
  <si>
    <r>
      <rPr>
        <rFont val="Arial"/>
        <color theme="1"/>
      </rPr>
      <t xml:space="preserve">PUNTO CRITICO En atención - COL 19, se encuentra BOMBEROS BOGOTÁ. </t>
    </r>
    <r>
      <rPr>
        <rFont val="Arial"/>
        <b/>
        <color theme="1"/>
      </rPr>
      <t>(Bros)...</t>
    </r>
    <r>
      <rPr>
        <rFont val="Arial"/>
        <color theme="1"/>
      </rPr>
      <t>ver punto Nro 20</t>
    </r>
  </si>
  <si>
    <t>AYá N 64-44</t>
  </si>
  <si>
    <t>01 BáY0R DE E0A0 FáLLECIDk</t>
  </si>
  <si>
    <t>FE ENIM</t>
  </si>
  <si>
    <t>EDIFICIO CANTABRIA CR 45 CL 8 -45</t>
  </si>
  <si>
    <t>3 MAYORES DE EDAD</t>
  </si>
  <si>
    <t>edificio ana CR 56 CLL 4</t>
  </si>
  <si>
    <t>03 FALLECIDOS</t>
  </si>
  <si>
    <t>Calle 5E # 40 - 36</t>
  </si>
  <si>
    <t>EDISIFICIO CR 57 CLL 4 maria mercedes</t>
  </si>
  <si>
    <t>01 personas tercera edad</t>
  </si>
  <si>
    <t>EDIDIEICIO CL á CR 58</t>
  </si>
  <si>
    <t>01 MASCULINO 01 FEMENINA MAYORES</t>
  </si>
  <si>
    <t>MCP</t>
  </si>
  <si>
    <t>CAMILA LOZANO
MIGUEL LOPEZ</t>
  </si>
  <si>
    <t>CLL 5B1 CR S6A HOTEL MANXI</t>
  </si>
  <si>
    <t>01 MASCULINO 25ANO5 APROXIMADO</t>
  </si>
  <si>
    <t>|MA5CULINO|</t>
  </si>
  <si>
    <t>CR 46 CLL BB EDIFICIO TORRES ALCANCE</t>
  </si>
  <si>
    <t>04 EEMEMINAS</t>
  </si>
  <si>
    <t>| FEMENINA</t>
  </si>
  <si>
    <t>CL 4 CR 60- 64</t>
  </si>
  <si>
    <t>1 MASCULO 73 ANO JUAN ERNCISCO</t>
  </si>
  <si>
    <t>ERS6B 5B3-46 SAN FERNANDO NUEVO HOGAR GERIATRICO|</t>
  </si>
  <si>
    <t>MAYO DE DAD 67 ANOS</t>
  </si>
  <si>
    <t>CR 52 3•41 BARRIO LIDO</t>
  </si>
  <si>
    <t>MENOR MASCULINO Y E. MAYOR DE EDAD</t>
  </si>
  <si>
    <t>| M/£</t>
  </si>
  <si>
    <t>CL 4 CR 58</t>
  </si>
  <si>
    <t>SOFIA SAVEDRA 23 ANOS</t>
  </si>
  <si>
    <t>CR 39 CL SD</t>
  </si>
  <si>
    <t>MIGUEL ABUCHA MAYOR DE EDAD</t>
  </si>
  <si>
    <t>CR 66 CON 3D</t>
  </si>
  <si>
    <t>MAYOR DE EDAD</t>
  </si>
  <si>
    <t>YUI-@</t>
  </si>
  <si>
    <t>CR 3B g11-64 MOPY</t>
  </si>
  <si>
    <t>LIZETIt PERLáZk ¥IkYOR DE E0á0</t>
  </si>
  <si>
    <t>| FEWNIM</t>
  </si>
  <si>
    <t>CL 3 CR 57</t>
  </si>
  <si>
    <t>EUA VALENCIA 84 ANOS</t>
  </si>
  <si>
    <t>Calle 14 #5-20</t>
  </si>
  <si>
    <t>Centro comercial la fortuna</t>
  </si>
  <si>
    <t>Calle 9 con carrera 22</t>
  </si>
  <si>
    <t>Calle 62 carrera 1b</t>
  </si>
  <si>
    <t>Calle 9 #5-59</t>
  </si>
  <si>
    <t>Iglesia san fracisco</t>
  </si>
  <si>
    <t xml:space="preserve">RECURSOS DE APOYO </t>
  </si>
  <si>
    <t xml:space="preserve">TRANSITO </t>
  </si>
  <si>
    <t>SGRD</t>
  </si>
  <si>
    <t>DCC</t>
  </si>
  <si>
    <t xml:space="preserve">BIADE </t>
  </si>
  <si>
    <t>Accesibilidad y transporte</t>
  </si>
  <si>
    <t>palmeto, utompista con 70 y notaria 20</t>
  </si>
  <si>
    <t>USAR</t>
  </si>
  <si>
    <t>POPAYAN
TULUA
PALMIRA
BUGA
YUMBO
VILLA RICA</t>
  </si>
  <si>
    <t>X</t>
  </si>
  <si>
    <t>Energia GAS</t>
  </si>
  <si>
    <t xml:space="preserve">Ingenieros estructurales </t>
  </si>
  <si>
    <t xml:space="preserve">Poliica Metropolitana 
Calle 41 norte 4 N 170 norte 
Carrera 56 calle 4 y calle 3
</t>
  </si>
  <si>
    <t>carrera 10 calle 5</t>
  </si>
  <si>
    <t>Calle 62B # 1A-2-50</t>
  </si>
  <si>
    <t>Sector 3 – Chiminangos</t>
  </si>
  <si>
    <t>Pendiente reporte fallecido</t>
  </si>
  <si>
    <t>Clinica</t>
  </si>
  <si>
    <t>Calle 10 #33-51</t>
  </si>
  <si>
    <t>Clínica Nuestra Señora del Rosario</t>
  </si>
  <si>
    <t>Alto Riesgo de Colapso</t>
  </si>
  <si>
    <t>RIESGOS / PROFESIONAL VOLUNTARIO</t>
  </si>
  <si>
    <t>USAR
MEIDANO</t>
  </si>
  <si>
    <t>CANINOS</t>
  </si>
  <si>
    <t>USAR LIBIA</t>
  </si>
  <si>
    <t>Evacuación completa, en alto riesgo de colapso
Se recmendó evacuación</t>
  </si>
  <si>
    <t xml:space="preserve">PERSONAL </t>
  </si>
  <si>
    <t>VEHICULOS</t>
  </si>
  <si>
    <t>CAMION</t>
  </si>
  <si>
    <t>Retro</t>
  </si>
  <si>
    <t>Minicargadores</t>
  </si>
  <si>
    <t>Volquetas</t>
  </si>
  <si>
    <t>Evaluacion
 estructuras</t>
  </si>
  <si>
    <t>Internet 
satelital</t>
  </si>
  <si>
    <t>BROS CALI</t>
  </si>
  <si>
    <t>BORS YUMBO</t>
  </si>
  <si>
    <t>carrera 1 bis con calle 59</t>
  </si>
  <si>
    <t>POPAYAN</t>
  </si>
  <si>
    <t>Juan David Lopez</t>
  </si>
  <si>
    <t>Se requiere evacuacion 910 verde</t>
  </si>
  <si>
    <t>VILLARICA</t>
  </si>
  <si>
    <t>JAMUNDI</t>
  </si>
  <si>
    <t>PALMIRA</t>
  </si>
  <si>
    <t>Calle 5 e 46 82 conunto 4 apto 302 b</t>
  </si>
  <si>
    <t>BOGOTA</t>
  </si>
  <si>
    <t>Torres de santiagp de cali</t>
  </si>
  <si>
    <t>SGRED</t>
  </si>
  <si>
    <t>POLICIA</t>
  </si>
  <si>
    <t>INFRA</t>
  </si>
  <si>
    <t>carrera 68 con calle 3b 61</t>
  </si>
  <si>
    <t>DCC CALI</t>
  </si>
  <si>
    <t>DCC-BOYACA</t>
  </si>
  <si>
    <t xml:space="preserve">DCC-SANTANDER </t>
  </si>
  <si>
    <t>DCC- NARIÑO</t>
  </si>
  <si>
    <t xml:space="preserve">MOVILDAD </t>
  </si>
  <si>
    <t>CR 36 5- 21-20</t>
  </si>
  <si>
    <t>UAESP</t>
  </si>
  <si>
    <t>Daño estructural, evacuación controlada</t>
  </si>
  <si>
    <t>INFRAESTRUCTURA</t>
  </si>
  <si>
    <t>BIADE</t>
  </si>
  <si>
    <t>PASTO</t>
  </si>
  <si>
    <t>PONALSAR</t>
  </si>
  <si>
    <t>Calle 5 con 13 y 14</t>
  </si>
  <si>
    <t>C.C. La Fortuna</t>
  </si>
  <si>
    <t>ARMADA</t>
  </si>
  <si>
    <t>METROCALI</t>
  </si>
  <si>
    <t>SUESCA</t>
  </si>
  <si>
    <t>Cra. 41 &amp; Av. Roosevelt
Zona: Sur</t>
  </si>
  <si>
    <t>Diana Romero</t>
  </si>
  <si>
    <t>5 PERSONAS</t>
  </si>
  <si>
    <t>Colapsado completo, en revisión si hay personas atrapadas.</t>
  </si>
  <si>
    <t>Calle 7 con Carrera 41</t>
  </si>
  <si>
    <t>(Bros)... Se asitio al sitio. ZONA LIMPIA</t>
  </si>
  <si>
    <t>Av. 4 Norte #21N-54</t>
  </si>
  <si>
    <t>Clínica Al Alba</t>
  </si>
  <si>
    <t>Carrera 34 #7-00</t>
  </si>
  <si>
    <t>Clinica Rey David</t>
  </si>
  <si>
    <t>se puede operar sin problema (helena)</t>
  </si>
  <si>
    <t>Calle 5E #43A-34</t>
  </si>
  <si>
    <t>Clinica Sanitas</t>
  </si>
  <si>
    <t>Av. 3 Norte #32AN-40</t>
  </si>
  <si>
    <t>Clinica Cali</t>
  </si>
  <si>
    <t>Calle 5N # 60 65</t>
  </si>
  <si>
    <t>Ancianato</t>
  </si>
  <si>
    <t>Carrera 80 con Calle 5</t>
  </si>
  <si>
    <t>Ancianato San Miguel</t>
  </si>
  <si>
    <t>Calle 3C # 63A-44</t>
  </si>
  <si>
    <t>Bosques de Puente Palma</t>
  </si>
  <si>
    <t>Calle 5E # 46 82</t>
  </si>
  <si>
    <t>Calle 5 con Carrera 57</t>
  </si>
  <si>
    <t>BROS PALMIRA</t>
  </si>
  <si>
    <t>Riesgos - Se evidencian daños en fachadas de mampostería y elementos estructurales comprometidos, grietas que superan 5 mm horizontales verticales y diagonales.</t>
  </si>
  <si>
    <t>Calle 1B Oeste con Carrera 100</t>
  </si>
  <si>
    <t>Unidad Residencial Manigua</t>
  </si>
  <si>
    <t>Calle 1D Oeste # 100 Bis-49</t>
  </si>
  <si>
    <t>Edificio Altos de Santa Elena, Etapa I</t>
  </si>
  <si>
    <t>Toda la Torre 85 presenta grietas externas e internas, los 20 Apartamento NO están APTOS PARA HABITAR, PUEDE PRESENTARSE UN COLAPSO, los pisos 1 y últimos se encuentran totalmente o 100% destrozados. Por instrucciones de la Señora Andrea de la Alcaldia, se nos prohíbio por temas de seguridad entrar a las viviendas, ya que se evidenciaba su peligro..</t>
  </si>
  <si>
    <t>Avenida 7N # 56-120</t>
  </si>
  <si>
    <t>Edificio Santorini–Mikonos</t>
  </si>
  <si>
    <t>Calle 9 con Carrera 45</t>
  </si>
  <si>
    <t>Calle 12B # 33 45</t>
  </si>
  <si>
    <t>Unidad Torres de Buganvilias</t>
  </si>
  <si>
    <t>Nicolás Alarcón Brochero</t>
  </si>
  <si>
    <t>Estructura está sin afectación, elementos de mampostería divisorios y de fachada totalmente afectados, muros de fachada caídos, se declara inhabitable por riesgo de colapso de muros de mampostería y elementos de fachada</t>
  </si>
  <si>
    <t>Calle 9 con Carrera 44</t>
  </si>
  <si>
    <t>Edificio Vanessa</t>
  </si>
  <si>
    <t>En atención - Reporte de personas atratapadas, 1 canino fallecido - Bomberos Cali</t>
  </si>
  <si>
    <t>Calle 5B4 #36B-45</t>
  </si>
  <si>
    <t>Hogar Héroes de Vida y Amor</t>
  </si>
  <si>
    <t>No</t>
  </si>
  <si>
    <t>Riesgos - Se requiere EDAN, grietas en paredes estructurales, No hay personas afectadas.</t>
  </si>
  <si>
    <t>Calle 8 con Carrera 8</t>
  </si>
  <si>
    <t>Carrera 63 # 2A 3</t>
  </si>
  <si>
    <t>Carrera 66 # 13B 29</t>
  </si>
  <si>
    <t>JOSE APOLINAR</t>
  </si>
  <si>
    <t>60 apartamentos afectados</t>
  </si>
  <si>
    <t>Calle 41 Norte # 4N-170</t>
  </si>
  <si>
    <t>EDIFICIO ALMINAR</t>
  </si>
  <si>
    <t>Juan Pablo Dominguez 3053365053 / Fachada muy agrietada y ladrillos cayendose</t>
  </si>
  <si>
    <t>Carrera 46 calle 8 b</t>
  </si>
  <si>
    <t>Carrera 23 # 9 06</t>
  </si>
  <si>
    <t>Pendiente validar Riesgos</t>
  </si>
  <si>
    <t>El refugio</t>
  </si>
  <si>
    <t>Carrera 65 # 2b -14</t>
  </si>
  <si>
    <t>Sebastian Penagos y David Arboleda</t>
  </si>
  <si>
    <t>Calle 5B2 # 31 98</t>
  </si>
  <si>
    <t>Sergio Arias</t>
  </si>
  <si>
    <t>Edificio de 5 pisos en alto riesgo de colapso, pésimo estado. (Bros)...Se despacha recurso a verificar. solo daños de fachadas. ZONA LIMPIA</t>
  </si>
  <si>
    <t>Calle 3 con Carrera 4</t>
  </si>
  <si>
    <t>Caidas de fachadas sin victimas</t>
  </si>
  <si>
    <t>Carrera 67 con calle 3 C</t>
  </si>
  <si>
    <t>En atención - dos edificios se cayeron de la unidad que es de 4</t>
  </si>
  <si>
    <t>Cra. 46 #9C-85</t>
  </si>
  <si>
    <t>Clinica Colombia</t>
  </si>
  <si>
    <t>Av. 5A Norte #23N-46/57</t>
  </si>
  <si>
    <t>Clinica Versalles</t>
  </si>
  <si>
    <t>Calle 5 # 36-08</t>
  </si>
  <si>
    <t>Hospital Universitario del Valle (HUV)</t>
  </si>
  <si>
    <t>BRS 
- CRC</t>
  </si>
  <si>
    <t>JUAN HERNANDEZ</t>
  </si>
  <si>
    <t>Reporte: 
11 de agosto - 9:11pm
- Héctor Asdrúbal: se reporta q a las 6pm de hoy envió un msj a un familiar de q está bajo los escombros.
- se estiman q hay 8 personas aún bajo los escombros. No se sabe si vivas.
Se necesita URGENTE : 
Al menos 2 sierra sable.
Envío referencia.
Cuchillas de repuesto.</t>
  </si>
  <si>
    <t>11/08 11:28PM RESCATE - 2 Sierra sable</t>
  </si>
  <si>
    <t>Carrera 62 # 2A 197</t>
  </si>
  <si>
    <t>Edificio en alto riesgo de colapso</t>
  </si>
  <si>
    <t>Reporte de personas atratapadas, pendiente validar</t>
  </si>
  <si>
    <t>3 c norte con Calle 63</t>
  </si>
  <si>
    <t>Avenida 3 Norte 59 125</t>
  </si>
  <si>
    <t>Carros evacuados en la calle</t>
  </si>
  <si>
    <t>Calle 15 # 33-71</t>
  </si>
  <si>
    <t>IPS CRISTOBAL COLON</t>
  </si>
  <si>
    <t>Calle 5D # 38A-35</t>
  </si>
  <si>
    <t>Clinica de Colores</t>
  </si>
  <si>
    <t>Carrera 5C con 43</t>
  </si>
  <si>
    <t>Fallecido Masculino - Vía Pública</t>
  </si>
  <si>
    <t>Levantamiento de cuerpo</t>
  </si>
  <si>
    <t>Carrera 37 # 5b1 - 37</t>
  </si>
  <si>
    <t>Edificio de 4 pisos con colapso total 10 apartamentos</t>
  </si>
  <si>
    <t>calle 2a # 78b-30</t>
  </si>
  <si>
    <t>Conjunto familiar atabanza</t>
  </si>
  <si>
    <t>Carlos Rua</t>
  </si>
  <si>
    <t>San vicente</t>
  </si>
  <si>
    <t>calle 19Norte con Avenida 4 Norte</t>
  </si>
  <si>
    <t>IPS Salud total</t>
  </si>
  <si>
    <t>carrera 59 #1e -43</t>
  </si>
  <si>
    <t>Las Violetas , pampalinda,</t>
  </si>
  <si>
    <t>SCOUT</t>
  </si>
  <si>
    <t>Juan Jose Mendez Scout - natalia Diaz</t>
  </si>
  <si>
    <t>Edificio con columnas afectadas en el interior - desplazamineto de paredes de 5 cm . techo del 4 piso colaspso por caida de pared del edificio elder calle 1f #56-206 viven 6 familias solo se queda 1 alli</t>
  </si>
  <si>
    <t>Calle 5b1 con carrera 36b</t>
  </si>
  <si>
    <t>Felipe Ortiz Rubiano</t>
  </si>
  <si>
    <t>Edificio evacuado, se encuentra en alto riesgo de colapso.</t>
  </si>
  <si>
    <t>calle 5b1 # 36b-06</t>
  </si>
  <si>
    <t>Mantis</t>
  </si>
  <si>
    <t>Wilmar Valencia - Nicolas Quintero</t>
  </si>
  <si>
    <t>Se reporta a fiscalia</t>
  </si>
  <si>
    <t>Calle 48 #4D-11</t>
  </si>
  <si>
    <t>Edificio Torres de Salomia</t>
  </si>
  <si>
    <t>Calle 3d con carrera 67</t>
  </si>
  <si>
    <t>Calle 56 # 3 -88</t>
  </si>
  <si>
    <t>Jose Apolinar</t>
  </si>
  <si>
    <t>Secretaria de salud para certificado de defuncion</t>
  </si>
  <si>
    <t>Calle 1f carrera 59</t>
  </si>
  <si>
    <t>Edificio Maria Josefa</t>
  </si>
  <si>
    <t>Evacuado por residentes</t>
  </si>
  <si>
    <t>Cra. 7 # 10-19</t>
  </si>
  <si>
    <t>Unidad Residencial Las Palmas</t>
  </si>
  <si>
    <t>El lido</t>
  </si>
  <si>
    <t>Calle 4 con carrera 44</t>
  </si>
  <si>
    <t>Carrera 7 con calle 12</t>
  </si>
  <si>
    <t>Verificar si hay personas atrapadas</t>
  </si>
  <si>
    <t>Francisco Qesada y patricia de la pava</t>
  </si>
  <si>
    <t>calle 36 # 5 - 145</t>
  </si>
  <si>
    <t>Edificio - Torre Mantis</t>
  </si>
  <si>
    <t>Persona fallecida por caída de escombros, Pendiente del retiro del cuerpo</t>
  </si>
  <si>
    <t>Calle 3 # 58-135</t>
  </si>
  <si>
    <t>Al lado de menga Fitenes Club</t>
  </si>
  <si>
    <t>S</t>
  </si>
  <si>
    <t>Carrera 63 # 3c - 76</t>
  </si>
  <si>
    <t>Calle 36 Norte # 3GN-93</t>
  </si>
  <si>
    <t>Diana Gomez y Angel Rodriguez</t>
  </si>
  <si>
    <t>Riesgos - Grietas en paredes. 3 personas habitan la casa, no hay heridos, no se hace necesario evacuación.</t>
  </si>
  <si>
    <t>Calle 8 #39-120</t>
  </si>
  <si>
    <t>Edificio Guanacaste</t>
  </si>
  <si>
    <t>Calle 22 Bis Norte # 9-11</t>
  </si>
  <si>
    <t>Edificio Altamira</t>
  </si>
  <si>
    <t>Carrera 54 # 33B - 07</t>
  </si>
  <si>
    <t>Calle 40 # 41 H - 15</t>
  </si>
  <si>
    <t>Carrera 49a # 43-19</t>
  </si>
  <si>
    <t>Nicolas Mejia</t>
  </si>
  <si>
    <t>Voluntario cruz roja validar escaleras</t>
  </si>
  <si>
    <t>Carrera 36B # 5B3-46</t>
  </si>
  <si>
    <t>Luis Ramírez</t>
  </si>
  <si>
    <t>En el hogar geriátrico San Fernando, Carrera 36b #5b-3-46, falleció el adulto mayor Germán Sarria Arboleda a causa de caída de escombros. Al momento afectaciones generales graves. Contacto 3174696803 Julian Ramírez</t>
  </si>
  <si>
    <t>Carrera 64a # 13c -65</t>
  </si>
  <si>
    <t>Juan Hernández y Héctor Rivas</t>
  </si>
  <si>
    <t>Riesgos - Grietas verticales y horizontales en muros, columnas y no presentan grietas ni fisuras. Muros de fachada afectada. El edifico presenta ríostras de reforzamiento estructural. 3. ⁠91 apartamentos evacuados totalmente 4. Sin heridos 5. ⁠coordenadas: 3.402366,-76.532430</t>
  </si>
  <si>
    <t>Carrera 30a # 6 -07</t>
  </si>
  <si>
    <t>Sebastian Vleasco y Jefry lemos</t>
  </si>
  <si>
    <t>Calle 4C # 35A-16</t>
  </si>
  <si>
    <t>Edificio Las Camias del Sur,</t>
  </si>
  <si>
    <t>Carrera 67 con Calle 13D</t>
  </si>
  <si>
    <t>Andres Prado - Unidad de busqueda</t>
  </si>
  <si>
    <t>Calle 4 # 66B - 52</t>
  </si>
  <si>
    <t>Detras del edificio miroliving</t>
  </si>
  <si>
    <r>
      <rPr>
        <rFont val="Arial"/>
        <color rgb="FF000000"/>
      </rPr>
      <t xml:space="preserve">Reporte Ciudadano - se desconoce el número de personas atrapadas, se requiere apoyo de bomberos. </t>
    </r>
    <r>
      <rPr>
        <rFont val="Arial"/>
        <b/>
        <color rgb="FF000000"/>
      </rPr>
      <t xml:space="preserve">(Bros)... </t>
    </r>
    <r>
      <rPr>
        <rFont val="Arial"/>
        <color rgb="FF000000"/>
      </rPr>
      <t>Se acudio al sitio y se brindaron recomendaciones de evacuación. ZONA LIMPIA</t>
    </r>
  </si>
  <si>
    <t>Carrera 83 # 6-50</t>
  </si>
  <si>
    <t>Conjunto Residencial La Alquería B</t>
  </si>
  <si>
    <t>Calle 1F #56-206</t>
  </si>
  <si>
    <t>Carlos Rua / Felipe Ortiz Rubiano</t>
  </si>
  <si>
    <t>Riesgo - Colapso de estructuras sobre los sótanos, grietas en el interior de los apartamentos, NO SE OBSERVAN HABITANTES.</t>
  </si>
  <si>
    <t>Calle 2 BIS # 66B 88</t>
  </si>
  <si>
    <t>Para validar riesgos</t>
  </si>
  <si>
    <t>Carrera 41 # 5B-82</t>
  </si>
  <si>
    <t>Fundación Pre-Renal</t>
  </si>
  <si>
    <t>Calle 3 #66-87</t>
  </si>
  <si>
    <t>Calle 24A Norte # 6N-27</t>
  </si>
  <si>
    <t>Edificio Las Mercedes</t>
  </si>
  <si>
    <t>Cra. 30 # 5A-57</t>
  </si>
  <si>
    <t>Colapso techo, reportan fallecido Guillermo Atehortua CC 14948983</t>
  </si>
  <si>
    <t>Ciudadano reporta fallecimiento, no requiere visita</t>
  </si>
  <si>
    <t>Carrera 22 #11a - 44</t>
  </si>
  <si>
    <t>Rodrigo Valencia - voluntario</t>
  </si>
  <si>
    <t>Se envia a ingeniero mecanico esperto en estructuras manifiesta que las paredes de las casa se cayeron</t>
  </si>
  <si>
    <t>Carrera 46 # 8 -20</t>
  </si>
  <si>
    <t>Edificio Cantabria</t>
  </si>
  <si>
    <t>BROS - CR - DCC</t>
  </si>
  <si>
    <t>Hay equipos de bomberos, cruz roja y defensa civil . Se recibe informacion de dron con camara termica que presenta dos personas vivass se coordina con bomberos pasto para acudir al punto 3:05am</t>
  </si>
  <si>
    <t>Calle 19 Norte #4N-15</t>
  </si>
  <si>
    <t>Visitado - Edificio con grietas leves en su exterior, no se evidencia daño estructural grave en su interior. Sin lesionados. Técnico: Isabella Rodríguez</t>
  </si>
  <si>
    <t>Calle 13A #64-50</t>
  </si>
  <si>
    <t>Unidad Residencial Los Yarumos</t>
  </si>
  <si>
    <t>Maribel Cortes</t>
  </si>
  <si>
    <t>Reporte ciudadano, requiere visita por afectación estructural</t>
  </si>
  <si>
    <t>Calle 23N # 6A - 65</t>
  </si>
  <si>
    <t>Calle 5B # 29 - 17</t>
  </si>
  <si>
    <t>Daño estructural - reportan 2 ancianos atrapados</t>
  </si>
  <si>
    <r>
      <rPr>
        <rFont val="Arial"/>
        <color rgb="FF000000"/>
        <sz val="11.0"/>
      </rPr>
      <t xml:space="preserve">Se requiere maquina de alturas. </t>
    </r>
    <r>
      <rPr>
        <rFont val="Arial"/>
        <b/>
        <color rgb="FF000000"/>
        <sz val="11.0"/>
      </rPr>
      <t xml:space="preserve">(Bros)... </t>
    </r>
    <r>
      <rPr>
        <rFont val="Arial"/>
        <color rgb="FF000000"/>
        <sz val="11.0"/>
      </rPr>
      <t>Bomberos acudio a las siguientes direcciones de este sector: Calle 5B1 27-17, Calle 5B2 # 31-98 y Carrera 29 # 5A-90. ZONA LIMPIA</t>
    </r>
  </si>
  <si>
    <t>Carrera 66–70</t>
  </si>
  <si>
    <t>Torre Limonar,</t>
  </si>
  <si>
    <t>Daño estructural , se reportan atrapamiento femenina y canino</t>
  </si>
  <si>
    <t>Ciudadana pide ayuda por redes, se encuenta atrapada en edificio.</t>
  </si>
  <si>
    <t>Carrera 61a # 2a-197</t>
  </si>
  <si>
    <t>Edificio Torre de Guadalupe</t>
  </si>
  <si>
    <t>Riesgos - Se evidencia desprendimiento de elementos no estructurales, mampostería, no se evidencia desde la parte externa elementos con fisuras o agrietamiento, edificio con apartaestudios y locales comerciales inferiores totalmente evacuado, no hay fluido eléctrico en la zona. Se recomienda realizar inspección interna. Se dialogó con ocupante de local comercial se le recomendó no habitar hasta tanto se realice inspección interior total de los 4 pisos</t>
  </si>
  <si>
    <t>Calle 1F #59-199</t>
  </si>
  <si>
    <t>Edificio Yuliano</t>
  </si>
  <si>
    <t>NATALIA</t>
  </si>
  <si>
    <t>Riesgos - Tiene daños estructurales. Paredes caídas, rajaduras, sedimentos. Ya cerraron la llave de paso pero hay goteos de agua dentro de la estructura. Ya está evacuado.</t>
  </si>
  <si>
    <t>Carrera 13A # 66B 16</t>
  </si>
  <si>
    <t>Atiende Juan Hernández y Héctor Rivas</t>
  </si>
  <si>
    <t>Riesgos: grietas diagonales en muros de fachada, escaleras e internos con caída de muros internos. 40 apartamentos evacuados los cuales se les recomendó no habitar hasta que se realice un estudio de vulnerabilidad. no heridos. Coordenadas:3.3966,-76.5371</t>
  </si>
  <si>
    <t>Calle 6 con Carrera 42</t>
  </si>
  <si>
    <t>Banco de Occidente</t>
  </si>
  <si>
    <t>Daño estructural, Se escucha</t>
  </si>
  <si>
    <t>Bomberos, reporta que estuvo en el lugar, no se evidencia atrapamientos.</t>
  </si>
  <si>
    <t>Carrera 36 #5B3-40</t>
  </si>
  <si>
    <t>Riesgos - Se requiere EDAN, Edificio de 4 niveles. Afectación en 4 nivel con fracturas en varios espacios. Evacuado todo el 4 nivel. Residen familias en el segundo nivel. Consuelo Ospina</t>
  </si>
  <si>
    <t>Estacion de Servicio</t>
  </si>
  <si>
    <t>Calle 5 # 80-00</t>
  </si>
  <si>
    <t>Daño estructural, con posibles fugas de gas</t>
  </si>
  <si>
    <t>Reportan fuerte olor a gasolina posible daño en estructura de almacenamiento</t>
  </si>
  <si>
    <t>Carrera 36B #5B3-29</t>
  </si>
  <si>
    <t>Edificio Mar Isa</t>
  </si>
  <si>
    <t>Riesgos -Afectación estructural en muros de fachada. 4 niveles. Personas aun habitando los apartamentos.</t>
  </si>
  <si>
    <t>Calle 4 con Carrera 58</t>
  </si>
  <si>
    <t>Pendiente reporte, colapso total de vivienda</t>
  </si>
  <si>
    <t>Calle 5 #39-173</t>
  </si>
  <si>
    <t>Clínica Tequendama</t>
  </si>
  <si>
    <t>Nathalie García</t>
  </si>
  <si>
    <t>Riesgos - Clínica Tequendama con daño en estructura. Evacuaron, sin heridos.</t>
  </si>
  <si>
    <t>Avenida 15 Oeste #5-43</t>
  </si>
  <si>
    <t>Arquitecto Daniel Andrés Ruiz Ferro</t>
  </si>
  <si>
    <t>Reporte ciudadano - Luz jenny grijalba</t>
  </si>
  <si>
    <t>Calle 11 #12-57</t>
  </si>
  <si>
    <t>Daño estructural, casa antigua a punto de colapsar</t>
  </si>
  <si>
    <t>Reporte ciudadano- andres cardenas 3187236597, Casa antigua punto de colapso</t>
  </si>
  <si>
    <t>Local Comercial</t>
  </si>
  <si>
    <t>Carrera 98 f # 58 - 66 Local 06</t>
  </si>
  <si>
    <t>Natalia Diaz, Juan Ballesteros y Juan Mendez</t>
  </si>
  <si>
    <t>Reporte ciudadano - Michel Guzmán Gallego</t>
  </si>
  <si>
    <t>Calle 16 # 25 - 65</t>
  </si>
  <si>
    <t>Margarita Ocho y Nicolas Guzman</t>
  </si>
  <si>
    <t>Reporte ciudadano - Licenia Pinilla 3157276874</t>
  </si>
  <si>
    <t>Carrera 75 # 13 -196</t>
  </si>
  <si>
    <t>Arboles caidos</t>
  </si>
  <si>
    <t>DAGMA</t>
  </si>
  <si>
    <t>Edwin Henao</t>
  </si>
  <si>
    <t>Carrera 67 con calle c</t>
  </si>
  <si>
    <t>Doris y Orlando</t>
  </si>
  <si>
    <t>Calle 6 # 13 - 33</t>
  </si>
  <si>
    <t>Calle 13a bis # 80 - 45</t>
  </si>
  <si>
    <t>Edificio torres de badalona</t>
  </si>
  <si>
    <t>Dos torres afectadas y las escaleras</t>
  </si>
  <si>
    <t>Unidad residencial</t>
  </si>
  <si>
    <t>Carrera 50 # 5-173</t>
  </si>
  <si>
    <t>Santiago de cali - bloque 141 apar 103</t>
  </si>
  <si>
    <t>Enviar ingeniero</t>
  </si>
  <si>
    <t>Oeste</t>
  </si>
  <si>
    <t>Calle 30 c oeste # 6-26</t>
  </si>
  <si>
    <t>Tienen dos menores de edad y un adulto en cama</t>
  </si>
  <si>
    <t>Carrera 36 #5b1 - 52</t>
  </si>
  <si>
    <t>Centro ABC - Colegio</t>
  </si>
  <si>
    <t>Señora 3104097194 - Ana Ilia Burbana</t>
  </si>
  <si>
    <t>Calle 83b # 22 -19</t>
  </si>
  <si>
    <t>Alejandra Dorado ciudadana - 3015099395</t>
  </si>
  <si>
    <t>Carrera 3d con 67</t>
  </si>
  <si>
    <t>Si</t>
  </si>
  <si>
    <t>Calle 13 a # 69-74</t>
  </si>
  <si>
    <t>Angelica tenorio 3023750456</t>
  </si>
  <si>
    <t>Calle 12a # 55 - 20</t>
  </si>
  <si>
    <t>Santa Ana de Guadalupe</t>
  </si>
  <si>
    <t>Edificio de 5 pisos con 27 apartamentos problemas estructurales anoche evacuaron llamo William Tolosa</t>
  </si>
  <si>
    <t>Carrera 54 #1a-60</t>
  </si>
  <si>
    <t>Riberas del río torre Volga</t>
  </si>
  <si>
    <t>William Terán Gómez - 3166942215</t>
  </si>
  <si>
    <t>Carrera 39a 5d -69</t>
  </si>
  <si>
    <t>Urbanizacion tequendama</t>
  </si>
  <si>
    <t>Calle 2a # 66 b- 86</t>
  </si>
  <si>
    <t>Refugio campestre</t>
  </si>
  <si>
    <t>Dos torres afectadas catalina cardona 3152744787</t>
  </si>
  <si>
    <t>Calle 10 carrera 71</t>
  </si>
  <si>
    <t>Torres de limonar</t>
  </si>
  <si>
    <t>SI (60)</t>
  </si>
  <si>
    <t>Calle 59c # 2 - 65</t>
  </si>
  <si>
    <t>Casa de ds pisos jesenia mosquera 3147219724</t>
  </si>
  <si>
    <t>Calle 37an # 2an - 07</t>
  </si>
  <si>
    <t>Edficio en farol afectado caludia capote .- 3045761399</t>
  </si>
  <si>
    <t>Calle 9a # 42-55</t>
  </si>
  <si>
    <t>Edificio Farallones</t>
  </si>
  <si>
    <t>318 4524992</t>
  </si>
  <si>
    <t>Calle 47 # 49a -94</t>
  </si>
  <si>
    <t>Yenni caicedo 3215362845 -</t>
  </si>
  <si>
    <t>Calle 12 - 92 - 133</t>
  </si>
  <si>
    <t>Unidad prado de horizonte etapa 1 - apart a 503 . apa h 102</t>
  </si>
  <si>
    <t>Luis Alfonso Fajardo 3113839448</t>
  </si>
  <si>
    <t>Calle 1 oeste #36b -05</t>
  </si>
  <si>
    <t>Soledad cartagena perez - 3155282579</t>
  </si>
  <si>
    <t>Carrera 102 # 25-83</t>
  </si>
  <si>
    <t>Torre 3 apar 404 Beneto</t>
  </si>
  <si>
    <t>Auranely Robledo - 3175516489</t>
  </si>
  <si>
    <t>Calle 4 oeste # 14 -65</t>
  </si>
  <si>
    <t>Afectacion de vivienda adulta mayor sola - Dario alexander Ojeda segundo piso</t>
  </si>
  <si>
    <t>cuarto de legua</t>
  </si>
  <si>
    <t>Carrera 57 # 4- 46</t>
  </si>
  <si>
    <t>JHON MOLANO</t>
  </si>
  <si>
    <t>Riesgos - Unidad totalmente evacuada, presencia de agrietamiento en elementos estructurales, concepto no habitable.</t>
  </si>
  <si>
    <t>Carrera 61 # 26-54</t>
  </si>
  <si>
    <t>Edificio altavista</t>
  </si>
  <si>
    <t>BROS POPAYAN / PROFESIONAL VOLUNTARIO</t>
  </si>
  <si>
    <t>Se validó, no hay personas afectadas, reporte recibido por movilidad.</t>
  </si>
  <si>
    <t>Calle 14 a # 50a - 22</t>
  </si>
  <si>
    <t>Conjunto residencial</t>
  </si>
  <si>
    <t>Evacuaron por temor de colapso 50 aparta - felipe corrales 3185245437</t>
  </si>
  <si>
    <t>Carrera 27 #5 b - 29</t>
  </si>
  <si>
    <t>Hay varios apartamentos dagnificados - Patricia Cardona - 3128345988 llamar antes de ir</t>
  </si>
  <si>
    <t>Calle 49 n # 3gn - 93</t>
  </si>
  <si>
    <t>Las casas estan separadas habitan niños, adolescentes y papas</t>
  </si>
  <si>
    <t>Carrera 67 # 3c</t>
  </si>
  <si>
    <t>Calle 49n #3gn -77</t>
  </si>
  <si>
    <t>Edificio Jennifer</t>
  </si>
  <si>
    <t>Willian Alonso Noriega - 3168337750</t>
  </si>
  <si>
    <t>Carrera 30 8a-35</t>
  </si>
  <si>
    <t>Claudia Fajardo - 3186594757</t>
  </si>
  <si>
    <t>Carrera 53 # 13 65</t>
  </si>
  <si>
    <t>Conjunto residencial Bariloche</t>
  </si>
  <si>
    <t>Son 7 torres de 2 aptos x piso 5 pisos.- Lina herrera cel 3154618360</t>
  </si>
  <si>
    <t>Carrera 94b # 2 -46</t>
  </si>
  <si>
    <t>Reserva Melendez 1</t>
  </si>
  <si>
    <t>RIESGOS , PROFESIONAL VOLUNTARIO</t>
  </si>
  <si>
    <t>Juan Carlos Florez / Mauricio lopez - Atiende virtual</t>
  </si>
  <si>
    <t>Reporte de alto Meléndez:
Conjunto Reserva de Meléndez 1 Cra 94 B No 2 - 46
Conjunto de 10 Torres, cada una de 5 pisos, 4 aptos por piso
Viven al rededor de 1000 personas El edificio presenta graves afectaciones en la estructura y total destrucción en la mayoría de aptos que están en el piso 5
Con el geólogo de gestión del riesgo se revisaron las torres y se recomendó evacuar todas las torres
Riesgos - Se requiere EDAN Aproximadamente 1000 personas, repartidas en 10 torres de apartamentos de 5 pisos. Edificios muy afectados, se necesita evaluación estructural urgente. No heridos. Se está recogiendo con las personas de la comunidad un censo, cantidad de personas, niños, adultos mayores, propietarios, inquilinos. Todas las torres afectadas - Jose Loy Leon 3117107261</t>
  </si>
  <si>
    <t>Calle 62 # 1c1 - 18</t>
  </si>
  <si>
    <t>Vivienda de 5 pisos Harrison 3166048038</t>
  </si>
  <si>
    <t>Conjunto Alquería b, y Naranjos del Caney</t>
  </si>
  <si>
    <t>Franco -300 6408781</t>
  </si>
  <si>
    <t>calle 4 con carrera 60 a</t>
  </si>
  <si>
    <t>Calle 2A 78B 30, Apto 401B</t>
  </si>
  <si>
    <t>Conjunto Multifamiliar Atabanza</t>
  </si>
  <si>
    <t>Julián Arias - 313 7355627</t>
  </si>
  <si>
    <t>Calle 14 49A 29</t>
  </si>
  <si>
    <t>Unidad residencial las camelias</t>
  </si>
  <si>
    <t>Marivel cortes</t>
  </si>
  <si>
    <t>Carrera 26 # 5c -06</t>
  </si>
  <si>
    <t>Edificio sandalo</t>
  </si>
  <si>
    <t>Son 12 apartamentos afectados revision para ingreso - Alba Lida Mena 3113088430</t>
  </si>
  <si>
    <t>Calle 9 con 24</t>
  </si>
  <si>
    <t>JUAN CARLOS FLOREZ</t>
  </si>
  <si>
    <t>Se verifica no hay personas atrapadas, verifica SUB MOVILIDAD. (Bros)... Se asistio con máquina al sitio. ZONA LIMPIA</t>
  </si>
  <si>
    <t>Carrera 67 con calle 3c -15</t>
  </si>
  <si>
    <t>Carrera 41 con 7 - 45</t>
  </si>
  <si>
    <t>Calle 10 con carera 71</t>
  </si>
  <si>
    <t>ESTEAFIA / ANGELICA CAICEDO</t>
  </si>
  <si>
    <t>En atención. (Bros)...Varios recursos en escena, siendo las 00:30 horas del día 11 agosto continuamos con las labores</t>
  </si>
  <si>
    <t>Por favor actualizar BOMBEROS - OK</t>
  </si>
  <si>
    <t>Calle 21 #2-05</t>
  </si>
  <si>
    <t>Calle 3d con 67</t>
  </si>
  <si>
    <t>U. Residencial</t>
  </si>
  <si>
    <t>Carrera 59a # 7 35</t>
  </si>
  <si>
    <t>Unidad Loyola</t>
  </si>
  <si>
    <t>San bosco</t>
  </si>
  <si>
    <t>Calle 12 # 12 - 18</t>
  </si>
  <si>
    <t>Sonia Gomez 316 5348368, afectacion en paredes y columnas de la edificacion</t>
  </si>
  <si>
    <t>avenida 6 norte 26N -58</t>
  </si>
  <si>
    <t>Sanvicente</t>
  </si>
  <si>
    <t>cra 26g3 #73-04</t>
  </si>
  <si>
    <t>Marroquín 2 etapa</t>
  </si>
  <si>
    <t>daño estructural casa de tres pisos, hay grietas en todos los pisos,CEL. 3136175363 Olga Lucía Camacho</t>
  </si>
  <si>
    <t>Calle 3 # 55 b - 72</t>
  </si>
  <si>
    <t>Daño estructural, evacuacion controlada</t>
  </si>
  <si>
    <t>DCC - BROS / PROFESIONAL VOLUNTARIO</t>
  </si>
  <si>
    <t>Alejandro Barrera -Dahian Navarro</t>
  </si>
  <si>
    <t>Reportan que esta bomberos 3 niños y 2 adultos atrapados (Amparo Jaramillo, Violeta Guerrero)</t>
  </si>
  <si>
    <t>Por favor actualizar BOMEROS</t>
  </si>
  <si>
    <t>Carrera 42 con 5</t>
  </si>
  <si>
    <t>Carrera 35 #3A-65</t>
  </si>
  <si>
    <t>Edificio 13 Hair Center</t>
  </si>
  <si>
    <t>Lina Duran 3207044151</t>
  </si>
  <si>
    <t>calle 74 AN # 2a-03</t>
  </si>
  <si>
    <t>san bosco</t>
  </si>
  <si>
    <t>Calle 9 #12-65</t>
  </si>
  <si>
    <t>Carrera 28 d # 72w -14</t>
  </si>
  <si>
    <t>Notaría 20</t>
  </si>
  <si>
    <t>BROS / PROFESIONAL VOLUNTARIO</t>
  </si>
  <si>
    <t>Juan David Hernandez</t>
  </si>
  <si>
    <t>Atendido - Se requiere apoyo - colaspso total de la estructura - se requiere maquinaria amarrilla. (Bros)...acudimos en horas AM/ PM pero no nos reportaron lesionados ni fallecidos. ZONA LIMPIA</t>
  </si>
  <si>
    <t>Av 5 Oeste #26-21</t>
  </si>
  <si>
    <t>Sector La Legua, Terron Colorado</t>
  </si>
  <si>
    <t>Henry Macias 3113280146 / Francy Mendoza 3183947758</t>
  </si>
  <si>
    <t>Calle 58 Norte #5BN75</t>
  </si>
  <si>
    <t>Patios de la Flora</t>
  </si>
  <si>
    <t>Henry Macias 3113280146</t>
  </si>
  <si>
    <t>Carrera 41 con 7</t>
  </si>
  <si>
    <t>TEO</t>
  </si>
  <si>
    <t>Se requiere apoyo
Edificio de 7 niveles, solo daños estructurales en apilamiento, según información externa todo el personal salio del edificio..(Bros)... Se asistio con máquina. ZONA LIMPIA</t>
  </si>
  <si>
    <t>Carrera 39 #5d-09</t>
  </si>
  <si>
    <t>Francisco Quesada</t>
  </si>
  <si>
    <t>En atencion</t>
  </si>
  <si>
    <t>Carrera 69 # 1-74</t>
  </si>
  <si>
    <t>Daño estructural , Fisuras en 3 piso</t>
  </si>
  <si>
    <t>Edilma Buritica 3163270340 Tiene un hogar sustituto bajo, 1 niño con discapacidad</t>
  </si>
  <si>
    <t>Carrera 62 #2a -97</t>
  </si>
  <si>
    <t>Calle 4 con 61 a</t>
  </si>
  <si>
    <t>Reporte de personas atratapadas, pendiente validar.(Bros)... Se asistio con máquina. ZONA LIMPIA</t>
  </si>
  <si>
    <t>Panaderia</t>
  </si>
  <si>
    <t>Carrera 42 #5-25</t>
  </si>
  <si>
    <t>Tequendama al lado</t>
  </si>
  <si>
    <t>Adrian Gutierrez 3057413445</t>
  </si>
  <si>
    <t>Calle 1b # 55 - 25</t>
  </si>
  <si>
    <t>Reservas del Rio</t>
  </si>
  <si>
    <t>carrera 1 B2 # 72 -15</t>
  </si>
  <si>
    <t>Calle 34an #2an -70</t>
  </si>
  <si>
    <t>Torre b apt 504 edificio terracino</t>
  </si>
  <si>
    <t>Claudia Marcela restrepo 3104306685</t>
  </si>
  <si>
    <t>la flora</t>
  </si>
  <si>
    <t>Avenida 4B norte # 52N 76</t>
  </si>
  <si>
    <t>Apto 110 conjunto Aragon La Flora.</t>
  </si>
  <si>
    <t>daños en fachada y estructura del edificio, Vicenta Striem resido en la Avenida 4B norte # 52N 76 apto 110 conjunto Aragon La Flora.
Cel: 3148079618</t>
  </si>
  <si>
    <t>Calle 19 Oeste 4A-30</t>
  </si>
  <si>
    <t>Martha Cala 3103169218</t>
  </si>
  <si>
    <t>Carrera 56 # 3 -26</t>
  </si>
  <si>
    <t>Torres de Guadalupe</t>
  </si>
  <si>
    <t>Reporta Rodrigo Lozano 3122599810 - favor llamar</t>
  </si>
  <si>
    <t>Taller</t>
  </si>
  <si>
    <t>Carrera 59 #5-39</t>
  </si>
  <si>
    <t>Taller afectado, iglesia al lado destruida</t>
  </si>
  <si>
    <t>Hernando Rodriguez 3113118129</t>
  </si>
  <si>
    <t>Carrera 39 # 9b -06</t>
  </si>
  <si>
    <t>Presenta daño estructural</t>
  </si>
  <si>
    <t>Calle 52 # 3-20</t>
  </si>
  <si>
    <t>Jose David Santander 3104146841</t>
  </si>
  <si>
    <t>Calle 21n # 5bn -22</t>
  </si>
  <si>
    <t>Edificio Saravena</t>
  </si>
  <si>
    <t>Se comunican de gobierno</t>
  </si>
  <si>
    <t>Calle 9c #31A-25</t>
  </si>
  <si>
    <t>Isabel Cristina Barandico 3155255570 / Se cayo pared y hay panel abierto / bienestar, bienes</t>
  </si>
  <si>
    <t>Carrera 59 #1E-45</t>
  </si>
  <si>
    <t>Edificio Las Violetas</t>
  </si>
  <si>
    <t>Leandro Chavez 3148402005 / y el de al lado</t>
  </si>
  <si>
    <t>Calle 38 #5n-30</t>
  </si>
  <si>
    <t>apt 097</t>
  </si>
  <si>
    <t>isabela perez 3158927892 agrietamiento de paredes y escaleras.</t>
  </si>
  <si>
    <t>Calle 12c #29b-115</t>
  </si>
  <si>
    <t>Conjunto colseguros ll</t>
  </si>
  <si>
    <t>Calle 12 C # 31-23</t>
  </si>
  <si>
    <t>Carrera 44 #12a -17</t>
  </si>
  <si>
    <t>Se cayo una parte de la plancha Arelis Jimena 317344778</t>
  </si>
  <si>
    <t>El peñon</t>
  </si>
  <si>
    <t>Carrera 3a #6-38</t>
  </si>
  <si>
    <t>Carrera 40 #40-04</t>
  </si>
  <si>
    <t>Edificio Inquilinato</t>
  </si>
  <si>
    <t>Jose Sandoval 3160503159 / 2 paredes que se van a caer</t>
  </si>
  <si>
    <t>Calle 31N #6bis 32</t>
  </si>
  <si>
    <t>Edificio Santa Monica Plaza</t>
  </si>
  <si>
    <t>Mauricio Gutierrez 3174381462</t>
  </si>
  <si>
    <t>Notaria</t>
  </si>
  <si>
    <t>Avenida 6b norte 28n -56</t>
  </si>
  <si>
    <t>Notaria 5</t>
  </si>
  <si>
    <t>Carrera 56 #1b-81</t>
  </si>
  <si>
    <t>Calle 12B#23-24</t>
  </si>
  <si>
    <t>Edificio Yemanya</t>
  </si>
  <si>
    <t>Ana 315 7529356</t>
  </si>
  <si>
    <t>Carrera 56 # 3-88</t>
  </si>
  <si>
    <t>BROS, RIESGOS, PROFESIONAL VOLUNTARIO</t>
  </si>
  <si>
    <t>Natalia Torres - Riesgos</t>
  </si>
  <si>
    <t>En atención. (Bros)... Ver punto Nro 6 Informan para rescatar - Alli hay una pajarita - un bocat - una plata electrica - iluminaria - falta EPP - Esta bomberos y ambulancia. (Bros)... Ver punto Nro 6</t>
  </si>
  <si>
    <t>Calle 5B1 #29-75</t>
  </si>
  <si>
    <t>Edifico San Fernando Antiguo</t>
  </si>
  <si>
    <t>Carolina Regino 3157649924</t>
  </si>
  <si>
    <t>Carrea 5 b con 39</t>
  </si>
  <si>
    <t>Avenida 6N # 44-31 La Campiña</t>
  </si>
  <si>
    <t>Daño estructural en vivienda paredes agrietadas</t>
  </si>
  <si>
    <t>Alejandra Rodriguez-3182817107</t>
  </si>
  <si>
    <t>Alejandra Rodríguez 3182817107</t>
  </si>
  <si>
    <t>Calle 5 b 2 # 38-91</t>
  </si>
  <si>
    <t>Calle 1A #22-06</t>
  </si>
  <si>
    <t>Blanca Martinez 3178048953 / ya evacuo, panaderia abajo esta funcionando</t>
  </si>
  <si>
    <t>carrera 46 # 8b -95</t>
  </si>
  <si>
    <t>ICBF /PROFESIONAL VOLUNTARIO</t>
  </si>
  <si>
    <t>Pendiente en validar. (Bros)... Siendo las 01:15 del día 11 agosto continuamos con labores. Persona fallecida y un herido por caída de escombros.
Atendio un niño remitido a sura</t>
  </si>
  <si>
    <t>Carrera 4 con 9</t>
  </si>
  <si>
    <t>El Ingenio</t>
  </si>
  <si>
    <t>Carrera 83 #15-76</t>
  </si>
  <si>
    <t>Juan Pablo Garcia 3182721096</t>
  </si>
  <si>
    <t>Calle 6 carrera 13</t>
  </si>
  <si>
    <t>Carrera 24 # 07 -11</t>
  </si>
  <si>
    <t>Carrera 58 No. 3-125</t>
  </si>
  <si>
    <t>Edificio don Carlos</t>
  </si>
  <si>
    <t>Carrera 36a bis # 6-66</t>
  </si>
  <si>
    <t>Edificio el templete - apartamento 101</t>
  </si>
  <si>
    <t>Ramiro jaramillo - 30078086996</t>
  </si>
  <si>
    <t>Carrera 36 # con 5</t>
  </si>
  <si>
    <t>Carrera 72 #10a - 10</t>
  </si>
  <si>
    <t>Avenida 2b2 # 73 bis -99</t>
  </si>
  <si>
    <t>Conjunto los robles</t>
  </si>
  <si>
    <t>Las torres con mayor afectacion son la torres e y h - Lina Ibargue evacuado</t>
  </si>
  <si>
    <t>Carrera 98 #48-30</t>
  </si>
  <si>
    <t>Conjunto Residencial San Gabriel</t>
  </si>
  <si>
    <t>Jorge Moreno 3016131430 / 10 torres todas afectadas, mas en torre 3</t>
  </si>
  <si>
    <t>Calle 8b #45- 15</t>
  </si>
  <si>
    <t>DCC / PROFESIONAL VOLUNTARIO</t>
  </si>
  <si>
    <t>Una persona desaparecida</t>
  </si>
  <si>
    <t>Calle 5 con 56</t>
  </si>
  <si>
    <t>Edificio andrea</t>
  </si>
  <si>
    <t>Carmen Dominguez y Juan David</t>
  </si>
  <si>
    <t>Carrera 37 #4A Bis - 49</t>
  </si>
  <si>
    <t>Claudia Salgado 3137321945 / 6o piso, muchas grietas</t>
  </si>
  <si>
    <t>Avenida 6ta Oeste # 13-115</t>
  </si>
  <si>
    <t>Adriana Arreaza/ Anna Pulido - Números de contacto: 3173104351/3107489162</t>
  </si>
  <si>
    <t>Carrera 34 #13-51</t>
  </si>
  <si>
    <t>Apto 503 bloque 2 Condominio Marsella</t>
  </si>
  <si>
    <t>Maria Claudia Ossa 3163019780 / Cayo pared de alcoba principal, bloques desocupados, los dos afectados</t>
  </si>
  <si>
    <t>Carrera 36 #5B3-62</t>
  </si>
  <si>
    <t>solicitamos que puedan ir a verificar y si es posible cerrar la zona y revomenardarle a los vecinos - Yasmin Muñoz 3104061886</t>
  </si>
  <si>
    <t>Carrera 94c #2-46</t>
  </si>
  <si>
    <t>Reservas de Melendez, Etapa 1</t>
  </si>
  <si>
    <t>Marcela Salamanca 3156974181 / estructura muy afectada</t>
  </si>
  <si>
    <t>Calle 23N # 3N-63</t>
  </si>
  <si>
    <t>Edificio Almirante</t>
  </si>
  <si>
    <t>Mi nombre Patricia Tovar, 3105180364</t>
  </si>
  <si>
    <t>Carrera 36C #5B1-81</t>
  </si>
  <si>
    <t>Karen Lara 3165337543 / Solicita visita de equipo tecnico para revisar, paredes derribadas, daño total del techo</t>
  </si>
  <si>
    <t>Carrera 90 # 54C - 50</t>
  </si>
  <si>
    <t>Alejandra Sandobal 3176533329 solicita inspeccion ya que hay afectacin importante en el edificio</t>
  </si>
  <si>
    <t>Calle 25Norte # 5bn - 45</t>
  </si>
  <si>
    <t>Carrera 30a # 6 -17</t>
  </si>
  <si>
    <t>Lucy Patricia Garcia - 3012217836 vivienda colapsada - ENTREGAR AYUDA HUMANITARIA</t>
  </si>
  <si>
    <t>Calle 10 Oe 36B 151</t>
  </si>
  <si>
    <t>Unidad apartamento 203 T3</t>
  </si>
  <si>
    <t>Calle 62B 1A9-80 Sector 6, Agrupacion 4, Torre i</t>
  </si>
  <si>
    <t>Sector 6, Agrupacion 4, Torre i</t>
  </si>
  <si>
    <t>No dio # telefonico, daños estructurales y escaleras</t>
  </si>
  <si>
    <t>carrera 40 # 4 - 30</t>
  </si>
  <si>
    <t>Condominio pio XII</t>
  </si>
  <si>
    <t>Cesar Ibañez</t>
  </si>
  <si>
    <t>SE REQUIERE ATENCIÓN DE INGENIERO Se validó con el portero del edificio e informa que no hay personas atrapadas. Apoyo Piscosocial.</t>
  </si>
  <si>
    <t>Carrera 30 # 5a - 52</t>
  </si>
  <si>
    <t>Suroeste</t>
  </si>
  <si>
    <t>calle 1 e # 56-205</t>
  </si>
  <si>
    <t>edgar gomez tel: 3177726302</t>
  </si>
  <si>
    <t>Suroriente</t>
  </si>
  <si>
    <t>Carrera 96 # 59 42</t>
  </si>
  <si>
    <t>Torre 4B Unidad Residencial Magenta B</t>
  </si>
  <si>
    <t>Los cambulos</t>
  </si>
  <si>
    <t>calle 9 con carrera 39</t>
  </si>
  <si>
    <t>(Revisar si es segura la zona)</t>
  </si>
  <si>
    <t>Cra 64A # 13A-74</t>
  </si>
  <si>
    <t>Conjunto Residencial</t>
  </si>
  <si>
    <t>Carrera 41 #7-05</t>
  </si>
  <si>
    <t>Edificio Archinie</t>
  </si>
  <si>
    <t>Nathalia Vasquez 3182267843 / Daños estructurales graves, partes al borde del colapso, no hay heridos pero residentes siguen ingresando a la propiedad}</t>
  </si>
  <si>
    <t>Calle 5C #39-41</t>
  </si>
  <si>
    <t>Andres 3508472641 / techo parcialmente colapsado</t>
  </si>
  <si>
    <t>carrera 28 e6 calle 123 a 1-03</t>
  </si>
  <si>
    <t>Avenida 3 CN #61N-40</t>
  </si>
  <si>
    <t>Edificio Balmoral</t>
  </si>
  <si>
    <t>Nelson Valencia Carmona 3154019510 / muchos daños, pide un tecnico para presentar dictamen</t>
  </si>
  <si>
    <t>Unidad Residencial</t>
  </si>
  <si>
    <t>Carrera 39 # 4b - 29</t>
  </si>
  <si>
    <t>(1 psio afectado)</t>
  </si>
  <si>
    <t>Carrera 39 # 4b-13</t>
  </si>
  <si>
    <t>Calle 2 # 66b -89</t>
  </si>
  <si>
    <t>Palmares del Bayarta</t>
  </si>
  <si>
    <t>Paredes agrietadas y pisos reventados - Humberto Orozco Labrada - 3104125003</t>
  </si>
  <si>
    <t>Calle 7 Oeste # 35 - 09</t>
  </si>
  <si>
    <t>Avenida 3F Nte #55N-120</t>
  </si>
  <si>
    <t>Edificio El Zafiro</t>
  </si>
  <si>
    <t>Nathalia Henao 3176738223 / Se notan grietas en las fotos enviadas</t>
  </si>
  <si>
    <t>Carrera 76 #13a -05</t>
  </si>
  <si>
    <t>Parques del Limonar 2</t>
  </si>
  <si>
    <t>calle 55c # 47-96</t>
  </si>
  <si>
    <t>muro posterior agrietado Nombre: miguel González 
Telefono: 318 389 43 60</t>
  </si>
  <si>
    <t>Calle 6 #5-14</t>
  </si>
  <si>
    <t>Edificio Santiago de Cali</t>
  </si>
  <si>
    <t>Beatriz Lopez</t>
  </si>
  <si>
    <t>Calle 2a #60a-60</t>
  </si>
  <si>
    <t>Parroquia Santa Teresita de Jesus</t>
  </si>
  <si>
    <t>3173710294 / templo esta muy afectado</t>
  </si>
  <si>
    <t>Calle 14# 54-15</t>
  </si>
  <si>
    <t>Cra 57 # 2a-95</t>
  </si>
  <si>
    <t>Edificio Hena</t>
  </si>
  <si>
    <t>AV 11 NORTE 7 - 178</t>
  </si>
  <si>
    <t>Daño estructural en mamposteria y paredes agrietadas</t>
  </si>
  <si>
    <t>Cra 64 # 6a 57</t>
  </si>
  <si>
    <t>Edifio patrio</t>
  </si>
  <si>
    <t>Vivienda</t>
  </si>
  <si>
    <t>Gloria Eugenia Vergara 312 225 1228</t>
  </si>
  <si>
    <t>Carrera 14 #55-15</t>
  </si>
  <si>
    <t>primero de mayo</t>
  </si>
  <si>
    <t>calle 13d 57-81</t>
  </si>
  <si>
    <t>afectacion estructural en edificio de 5 pisos por desprendimiento de muros yina riascos cc 66.749.927</t>
  </si>
  <si>
    <t>Calle 25 # 24 - 98</t>
  </si>
  <si>
    <t>Daños en techo no habitable segun lo visto Felipe Pinzón 3128310232</t>
  </si>
  <si>
    <t>Empresa</t>
  </si>
  <si>
    <t>Carrera 24e Oeste # 6 - 41</t>
  </si>
  <si>
    <t>Prados del norte</t>
  </si>
  <si>
    <t>Calle 34 A Norte # 2 A 70</t>
  </si>
  <si>
    <t>Terracino</t>
  </si>
  <si>
    <t>Patricia Agredo 314 885 7669</t>
  </si>
  <si>
    <t>Av. 7 Norte # 24N - 09</t>
  </si>
  <si>
    <t>versalles</t>
  </si>
  <si>
    <t>Calle 45 Nte #7n-27</t>
  </si>
  <si>
    <t>Eliana Hoyos Madrina 3183062748 / Muro colapsado</t>
  </si>
  <si>
    <t>carrera 15 # 12 - 60</t>
  </si>
  <si>
    <t>edificio con grietas, Stephany Castañeda celular 3176822210</t>
  </si>
  <si>
    <t>calle 76 # 28 - 20</t>
  </si>
  <si>
    <t>UTS Nuevo Latir</t>
  </si>
  <si>
    <t>Carrera 36A 5B1-37</t>
  </si>
  <si>
    <t>apto 101</t>
  </si>
  <si>
    <t>Cleiser Delgado Vargas - 300 8293094</t>
  </si>
  <si>
    <t>calle 4 # 73 91</t>
  </si>
  <si>
    <t>Conjunto residencial quintas de la bocana</t>
  </si>
  <si>
    <t>Juan Lombana 316 091 3796</t>
  </si>
  <si>
    <t>Buenos aires</t>
  </si>
  <si>
    <t>Carrera 6ta # 26 G 22</t>
  </si>
  <si>
    <t>calle 26C # 41a -19</t>
  </si>
  <si>
    <t>daño estructural ana villota 3122953851</t>
  </si>
  <si>
    <t>calle 2c # 65 56</t>
  </si>
  <si>
    <t>Parques del Refugio</t>
  </si>
  <si>
    <t>oeste</t>
  </si>
  <si>
    <t>melendez</t>
  </si>
  <si>
    <t>calle 1A oeste KR 100 bis 61</t>
  </si>
  <si>
    <t>Torre 55</t>
  </si>
  <si>
    <t>Carrera 94b1- calle 2abis</t>
  </si>
  <si>
    <t>daño estructural jesus alvarez gallego 3117402973</t>
  </si>
  <si>
    <t>Se debe llamar al número pertinente para guiar a las personas que van a asistir a la verificación - 3148939502</t>
  </si>
  <si>
    <t>Calle 55 norte 2 an 107</t>
  </si>
  <si>
    <t>Bloque 2 apto 402 pacara cali</t>
  </si>
  <si>
    <t>daño estructural María deissy Silva sanchez cc 52704070. Celular 3137960993</t>
  </si>
  <si>
    <t>calle 3D 75 a 30</t>
  </si>
  <si>
    <t>Cra 24 3 # 7 - 86</t>
  </si>
  <si>
    <t>daño estructural, paredes y techo M</t>
  </si>
  <si>
    <t>cra 25 # 2 oeste - 41</t>
  </si>
  <si>
    <t>calle 64 Norte # 4 - 90</t>
  </si>
  <si>
    <t>Parques de la Flora</t>
  </si>
  <si>
    <t>san fernando</t>
  </si>
  <si>
    <t>Cra 36c # 5b5 - 84</t>
  </si>
  <si>
    <t>Calle 72 n # 26h3 -27</t>
  </si>
  <si>
    <t>Ciudadela recretaiva charco azul y el pondaje</t>
  </si>
  <si>
    <t>Apartamentos q presenta grietas</t>
  </si>
  <si>
    <t>pampalinda</t>
  </si>
  <si>
    <t>Carrera 62 #9-280</t>
  </si>
  <si>
    <t>Edificio Ibiza 1</t>
  </si>
  <si>
    <t>Jairo angel</t>
  </si>
  <si>
    <t>Calle 10 # 10 - 13</t>
  </si>
  <si>
    <t>San nicolas</t>
  </si>
  <si>
    <t>Carrera 7 # 14 - 154</t>
  </si>
  <si>
    <t>calle 11b #58 37</t>
  </si>
  <si>
    <t>Avenida 5ta norte con 37an</t>
  </si>
  <si>
    <t>Edificio que se agrietó por replica</t>
  </si>
  <si>
    <t>Av 6 oeste # 5 oeste - 93</t>
  </si>
  <si>
    <t>Edificio Patrick towers</t>
  </si>
  <si>
    <t>Av 4b Nte # 58N - 60</t>
  </si>
  <si>
    <t>Edificio Paseo Real I</t>
  </si>
  <si>
    <t>Calle 28 # 86-80</t>
  </si>
  <si>
    <t>Nogales de Lili</t>
  </si>
  <si>
    <t>VIVIENDA</t>
  </si>
  <si>
    <t>310 2220926</t>
  </si>
  <si>
    <t>San fernando</t>
  </si>
  <si>
    <t>calle 4b# 35-31</t>
  </si>
  <si>
    <t>Edificio Palma de La Voragene</t>
  </si>
  <si>
    <t>Calle 63 Norte # 3EN-60</t>
  </si>
  <si>
    <t>edificio está muy agrietado, aperturas por donde cabe una mano y hasta una persona Paredes en el piso y demás, se está ladeando hacia adelante. Sandra Velez, soy la administradora del edificio Palma de La Voragene celular 316 7531109</t>
  </si>
  <si>
    <t>Santes Administrativa 318 7120850 /Fisuras en fachadas, fracturas y desprendimientos en muros, fracturas diagonales. Apertura de muros, especialmente en zonas de baños y cocinas.</t>
  </si>
  <si>
    <t>sede educativa san pedro, Montebello-- Avenida Los Estudiantes, sector La Escuela</t>
  </si>
  <si>
    <t>Reporte ciudadano - Daño estructural</t>
  </si>
  <si>
    <t>Institucion educativa Andres Lenis- Montebello- vereda Campo Alegre</t>
  </si>
  <si>
    <t>Avenida 43 Oeste # 5A-49</t>
  </si>
  <si>
    <t>Institucion educativa sede central-</t>
  </si>
  <si>
    <t>Avenida 7 N #66-04</t>
  </si>
  <si>
    <t>Daño estructural en vivienda</t>
  </si>
  <si>
    <t>Reporte ciudadano - Claudia pardo 3108368503, Daño estructural en vivienda</t>
  </si>
  <si>
    <t>Carrera 59 #1d-48</t>
  </si>
  <si>
    <t>Reporte ciudadano - Yised Betancourth-3168378339, Colapso estructural</t>
  </si>
  <si>
    <t>Calle 15 #7-79</t>
  </si>
  <si>
    <t>daño estructural, colapso de techo</t>
  </si>
  <si>
    <t>Reporte ciudadano - 3122486627, daño estructural, colapso de techo</t>
  </si>
  <si>
    <t>Carrera 2 #19-51</t>
  </si>
  <si>
    <t>caida de techo en empresa- ttabajadores evacuados</t>
  </si>
  <si>
    <t>Reporte ciudadano - Carlos nieto 3154331875, caida de techo en empresa- ttabajadores evacuados</t>
  </si>
  <si>
    <t>San pedro</t>
  </si>
  <si>
    <t>Calle 13 #9-20</t>
  </si>
  <si>
    <t>Reporte ciudadano - sergio-+34646932495, Daño estructural</t>
  </si>
  <si>
    <t>calle 7 #37-04</t>
  </si>
  <si>
    <t>Reporte ciudadano - javier plaza- 3108945471, Colapso estructural</t>
  </si>
  <si>
    <t>calle 17 # 17n-44</t>
  </si>
  <si>
    <t>Edificio ancora</t>
  </si>
  <si>
    <t>calle 44n #6dn-42</t>
  </si>
  <si>
    <t>Reporte ciudadano - Alejandra roa-3113659740, Colapso estructural</t>
  </si>
  <si>
    <t>Avenida 5n #43-51</t>
  </si>
  <si>
    <t>Ed. la Flora</t>
  </si>
  <si>
    <t>Reporte ciudadano - carlos zuluaga-3104933501, Daño estructural</t>
  </si>
  <si>
    <t>calle 5b2 #36c-40</t>
  </si>
  <si>
    <t>Reporte ciudadano - Alexandra Holguin-3007652114, daño estructural</t>
  </si>
  <si>
    <t>Avenida 4n #8n-24</t>
  </si>
  <si>
    <t>Reporte ciudadano - daño estructural</t>
  </si>
  <si>
    <t>Calle 12a #56-60</t>
  </si>
  <si>
    <t>Edificio Coquibacoa</t>
  </si>
  <si>
    <t>Reporte ciudadano - diana riascos-3007566653, colapso estructural</t>
  </si>
  <si>
    <t>el lido</t>
  </si>
  <si>
    <t>Carrera 47 #3a-25</t>
  </si>
  <si>
    <t>Reporte ciudadano - uthey vargas-3160960202, colapso estructural</t>
  </si>
  <si>
    <t>Carrera 45 #1a-31</t>
  </si>
  <si>
    <t>Reporte ciudadano - 3104562059, daño estructural</t>
  </si>
  <si>
    <t>Avenida 7norte #44-44</t>
  </si>
  <si>
    <t>Reporte ciudadano - Valerin- 3024909295, colapso estructural</t>
  </si>
  <si>
    <t>Carrera 125 #19-58</t>
  </si>
  <si>
    <t>Conjunto altana Pance</t>
  </si>
  <si>
    <t>Reporte ciudadano - Samuel Serrano-3187177410, daño estructural</t>
  </si>
  <si>
    <t>Calle 2b bis #94b1-15</t>
  </si>
  <si>
    <t>daño estructural-colapso de pared</t>
  </si>
  <si>
    <t>Reporte ciudadano - daño estructural-colapso de pared</t>
  </si>
  <si>
    <t>Calle 4 #85-39</t>
  </si>
  <si>
    <t>Unidad santa veronica</t>
  </si>
  <si>
    <t>Reporte ciudadano - Erika Reyes-3042640144, daño estructural</t>
  </si>
  <si>
    <t>tequendama</t>
  </si>
  <si>
    <t>Carrera 42 #5c-48</t>
  </si>
  <si>
    <t>centro zonal sur ICBF</t>
  </si>
  <si>
    <t>Reporte ciudadano - 3104008932, daño estructural</t>
  </si>
  <si>
    <t>Calle 6 #74a-50</t>
  </si>
  <si>
    <t>Edificio sorrento</t>
  </si>
  <si>
    <t>Reporte ciudadano - 3002652818, daño estructural</t>
  </si>
  <si>
    <t>san pedro</t>
  </si>
  <si>
    <t>Calle 10 #8-27</t>
  </si>
  <si>
    <t>Casa matria</t>
  </si>
  <si>
    <t>Reporte ciudadano - malcom-3173682705, daño estructural</t>
  </si>
  <si>
    <t>Carrera 56 # 2-157</t>
  </si>
  <si>
    <t>Calle 8 #32-07</t>
  </si>
  <si>
    <t>Calle 4a oeste #94-34</t>
  </si>
  <si>
    <t>daño estructural cida parcial de muros</t>
  </si>
  <si>
    <t>Reporte ciudadano - adriana marin- 3126446068, daño estructural cida parcial de muros</t>
  </si>
  <si>
    <t>Avenida 2ds norte #7n-66</t>
  </si>
  <si>
    <t>Reporte ciudadano - jenny marquez-3183239935, daño estructural</t>
  </si>
  <si>
    <t>Carrera 59a #5-41</t>
  </si>
  <si>
    <t>Edificio multicolores</t>
  </si>
  <si>
    <t>Reporte ciudadano - jose betancourt 3115635804, daño estructural</t>
  </si>
  <si>
    <t>Calle 2a #93-68</t>
  </si>
  <si>
    <t>ed. color morado</t>
  </si>
  <si>
    <t>Reporte ciudadano - 3133279790, daño estructural</t>
  </si>
  <si>
    <t>Avenida 6n #30n-54</t>
  </si>
  <si>
    <t>La esquina del sabor</t>
  </si>
  <si>
    <t>daño estructural, colapso en techo</t>
  </si>
  <si>
    <t>Reporte ciudadano - 3177882393, daño estructural, colapso en techo</t>
  </si>
  <si>
    <t>san vicente</t>
  </si>
  <si>
    <t>Avenida 2d norte #24n-17</t>
  </si>
  <si>
    <t>Edificio Onix</t>
  </si>
  <si>
    <t>Reporte ciudadano - Jorge manosalva-3194126981, daño estructural</t>
  </si>
  <si>
    <t>el cedro</t>
  </si>
  <si>
    <t>Calle 7 #30-25</t>
  </si>
  <si>
    <t>Reporte ciudadano - 3148589147, daño estructural</t>
  </si>
  <si>
    <t>limonar</t>
  </si>
  <si>
    <t>Calle 10 #65a-66</t>
  </si>
  <si>
    <t>Ed- eclipse</t>
  </si>
  <si>
    <t>Reporte ciudadano - pedro-3168215630, daño estructural</t>
  </si>
  <si>
    <t>Avenida 6bn #35-34</t>
  </si>
  <si>
    <t>ed. portal de la estacion 2</t>
  </si>
  <si>
    <t>daño estructural en fachada</t>
  </si>
  <si>
    <t>Reporte ciudadano - daniela cabrera-3176462949, daño estructural en fachada</t>
  </si>
  <si>
    <t>Cra. 1D2 # 52-109</t>
  </si>
  <si>
    <t>Parroquia nuestra señora de los andes- Validar</t>
  </si>
  <si>
    <t>Reporte ciudadano - padre edgar-3184935031, daño estructural</t>
  </si>
  <si>
    <t>Avenida 6n #28-83</t>
  </si>
  <si>
    <t>daño estructural y colapso en techo de local comercial</t>
  </si>
  <si>
    <t>Reporte ciudadano - julian uribe-3114862810, daño estructural y colapso en techo de local comercial</t>
  </si>
  <si>
    <t>Carrera 2 oeste #21-94</t>
  </si>
  <si>
    <t>Vereda atenas. sector la palma</t>
  </si>
  <si>
    <t>Reporte ciudadano - Jakeline- 3116700448, daño estructural</t>
  </si>
  <si>
    <t>valle del lili</t>
  </si>
  <si>
    <t>Calle 48 #92-107</t>
  </si>
  <si>
    <t>colapso estructural de pared sobre techo</t>
  </si>
  <si>
    <t>Reporte ciudadano - 3128286550, colapso estructural de pared sobre techo</t>
  </si>
  <si>
    <t>el refugio</t>
  </si>
  <si>
    <t>Calle 1c #66b-100</t>
  </si>
  <si>
    <t>Unidad los cedros</t>
  </si>
  <si>
    <t>Reporte ciudadano - abelardo castillo-3183496898, daño estructural</t>
  </si>
  <si>
    <t>Calle 12a #29b-78</t>
  </si>
  <si>
    <t>Reporte ciudadano - juan naranjo-3150539019, daño estructural</t>
  </si>
  <si>
    <t>Avenida 10n #21-06</t>
  </si>
  <si>
    <t>Edificio lomalinda</t>
  </si>
  <si>
    <t>Reporte ciudadano - 3174378987, daño estructural</t>
  </si>
  <si>
    <t>Calle 23n #6an-17</t>
  </si>
  <si>
    <t>Antiguo ed- dinners</t>
  </si>
  <si>
    <t>Reporte ciudadano - gerardo moreno 3174378987, daño estructural</t>
  </si>
  <si>
    <t>Avenida 3n #23bn-43</t>
  </si>
  <si>
    <t>Ed. España</t>
  </si>
  <si>
    <t>daño estructural, caida de paredes</t>
  </si>
  <si>
    <t>Reporte ciudadano - daño estructural, caida de paredes</t>
  </si>
  <si>
    <t>Calle 25 #127-100</t>
  </si>
  <si>
    <t>Reporte ciudadano - yned rengifo-3115714441, daño estructural</t>
  </si>
  <si>
    <t>Carrera 24b #33c-150</t>
  </si>
  <si>
    <t>Santa monica popular. unidad Fiorentina</t>
  </si>
  <si>
    <t>Reporte ciudadano - diana 3166178349, daño estructural</t>
  </si>
  <si>
    <t>panamericano</t>
  </si>
  <si>
    <t>Carrera 46a #12-36</t>
  </si>
  <si>
    <t>Reporte ciudadano - julian angulo-3117601563, daño estructural</t>
  </si>
  <si>
    <t>Calle 9 #38-06</t>
  </si>
  <si>
    <t>colapso de vivienda- persona lesionada</t>
  </si>
  <si>
    <t>Reporte ciudadano - 3117529629, colapso de vivienda- persona lesionada</t>
  </si>
  <si>
    <t>Calle 10A # 49A - 11</t>
  </si>
  <si>
    <t>Reporte ciudadano - 3138095974, daño estructural</t>
  </si>
  <si>
    <t>colseguros</t>
  </si>
  <si>
    <t>Carrera 33 #10-39</t>
  </si>
  <si>
    <t>daño estructural, caida parcial de techo</t>
  </si>
  <si>
    <t>Reporte ciudadano - leidy duarte 3166287709, daño estructural, caida parcial de techo</t>
  </si>
  <si>
    <t>Calle 8 oeste #4-32</t>
  </si>
  <si>
    <t>ed. alqueria</t>
  </si>
  <si>
    <t>daño estructural, caida parcial pared de fachada</t>
  </si>
  <si>
    <t>Reporte ciudadano - diana-3165393064, daño estructural, caida parcial pared de fachada</t>
  </si>
  <si>
    <t>Avenida 8 n #46n-27</t>
  </si>
  <si>
    <t>ed. el bosquecito</t>
  </si>
  <si>
    <t>Reporte ciudadano - camilo sanchez, daño estructural</t>
  </si>
  <si>
    <t>Calle 48n #con avenida 4</t>
  </si>
  <si>
    <t>Esquina</t>
  </si>
  <si>
    <t>Reporte ciudadano - carlos castro-3128336580, daño estructural</t>
  </si>
  <si>
    <t>Calle 3 #63-34</t>
  </si>
  <si>
    <t>Unidad puente blanco</t>
  </si>
  <si>
    <t>Reporte ciudadano - 3237536719, daño estructural</t>
  </si>
  <si>
    <t>Carrera 33b #27-43</t>
  </si>
  <si>
    <t>Reporte ciudadano - lida gutierrez-3186290982, daño estructural</t>
  </si>
  <si>
    <t>la merced</t>
  </si>
  <si>
    <t>Calle 6 #5-50</t>
  </si>
  <si>
    <t>Reporte ciudadano - sergio zapata-3163326023, daño estructural, caida parcial de techo</t>
  </si>
  <si>
    <t>Calle 5 #35-38</t>
  </si>
  <si>
    <t>Reporte ciudadano - luisa torres-3505119402, daño estructural</t>
  </si>
  <si>
    <t>Calle 7 #10-82</t>
  </si>
  <si>
    <t>Reporte ciudadano - nestor nieva-3225543597, daño estructural</t>
  </si>
  <si>
    <t>champagnat</t>
  </si>
  <si>
    <t>Calle 8 #32-32</t>
  </si>
  <si>
    <t>templete</t>
  </si>
  <si>
    <t>Carrera 37a #6-43</t>
  </si>
  <si>
    <t>daño estructural-edif contiguo tambien con daño estructural</t>
  </si>
  <si>
    <t>Reporte ciudadano - 34643668474, daño estructural-edif contiguo tambien con daño estructural</t>
  </si>
  <si>
    <t>Carrera 44 #14-71</t>
  </si>
  <si>
    <t>Reporte ciudadano - lizeth carrillo-3132733537, daño estructural</t>
  </si>
  <si>
    <t>Calle 2a #66-56</t>
  </si>
  <si>
    <t>ed- remanso del refugio</t>
  </si>
  <si>
    <t>Reporte ciudadano - mara gonzalez-3153507602, daño estructural</t>
  </si>
  <si>
    <t>Carrera 42 #5a-39</t>
  </si>
  <si>
    <t>Fundacion para personas con discapacidad cognitiva</t>
  </si>
  <si>
    <t>daño estructural. colapso parcial de techo</t>
  </si>
  <si>
    <t>Reporte ciudadano - maria puccini-3127771269, daño estructural. colapso parcial de techo</t>
  </si>
  <si>
    <t>las vegas</t>
  </si>
  <si>
    <t>Carrera 86a #5-10</t>
  </si>
  <si>
    <t>ed. santa ana de la vega</t>
  </si>
  <si>
    <t>Reporte ciudadano - luis Cardona-3116342521, daño estructural</t>
  </si>
  <si>
    <t>Calle 1A Oeste # 100A-12</t>
  </si>
  <si>
    <t>Altos de santa elena bloque 85</t>
  </si>
  <si>
    <t>daño estructural, cida de techo parcial en ultimo piso</t>
  </si>
  <si>
    <t>Reporte ciudadano - constanza montoya-3041057452, daño estructural, cida de techo parcial en ultimo piso</t>
  </si>
  <si>
    <t>Carrera 41a oeste #1b-57</t>
  </si>
  <si>
    <t>colapso parcial de pared hacia via publica</t>
  </si>
  <si>
    <t>Reporte ciudadano - pastor duque-3045572044, colapso parcial de pared hacia via publica</t>
  </si>
  <si>
    <t>Calle 9b #50-15</t>
  </si>
  <si>
    <t>Ed. torres de la 50</t>
  </si>
  <si>
    <t>Reporte ciudadano - diana ramos-3213505584, daño estructural</t>
  </si>
  <si>
    <t>Carrera 17 #39-87</t>
  </si>
  <si>
    <t>colapso estructural</t>
  </si>
  <si>
    <t>Reporte ciudadano - juliana cruz-3182589866, colapso estructural</t>
  </si>
  <si>
    <t>Calle 2a #92-10</t>
  </si>
  <si>
    <t>colapso parcial en paredes</t>
  </si>
  <si>
    <t>Reporte ciudadano - colapso parcial en paredes</t>
  </si>
  <si>
    <t>Calle 11 #3-25</t>
  </si>
  <si>
    <t>colapso en pared trasera</t>
  </si>
  <si>
    <t>Reporte ciudadano - andrea osorio, colapso en pared trasera</t>
  </si>
  <si>
    <t>juanambu</t>
  </si>
  <si>
    <t>Avenida 5n #4n-116</t>
  </si>
  <si>
    <t>Reporte ciudadano - yesenia gomez-3239471332, daño estructural</t>
  </si>
  <si>
    <t>libertadores</t>
  </si>
  <si>
    <t>Calle 2a #18-60</t>
  </si>
  <si>
    <t>Reporte ciudadano - geraldin ruiz-3156742447, daño estructural</t>
  </si>
  <si>
    <t>Calle 1a oeste #73d-19</t>
  </si>
  <si>
    <t>daño estructural, colapso parcial en paredes</t>
  </si>
  <si>
    <t>Reporte ciudadano - claudia rivas-3148474505, daño estructural, colapso parcial en paredes</t>
  </si>
  <si>
    <t>Carrera 66 #2b-4</t>
  </si>
  <si>
    <t>Avenida 6n #37bn-50</t>
  </si>
  <si>
    <t>Reporte ciudadano - adriana libreros-3013327670, daño estructural</t>
  </si>
  <si>
    <t>Camino real</t>
  </si>
  <si>
    <t>Carrera 56 #5-152</t>
  </si>
  <si>
    <t>Unidad camino real 2</t>
  </si>
  <si>
    <t>daño estructural. parcial de muro</t>
  </si>
  <si>
    <t>Reporte ciudadano - patricia-3208347507, daño estructural. parcial de muro</t>
  </si>
  <si>
    <t>CALLE 17 # 85 C- 44</t>
  </si>
  <si>
    <t>APTO. 402</t>
  </si>
  <si>
    <t>Reporte ciudadano - Marcela Cifuentes 317 3801146, daño estructural</t>
  </si>
  <si>
    <t>Carrera 2 #59B</t>
  </si>
  <si>
    <t>Reporte ciudadano - Brittany Valencia Medina
 Tel 3225187275, daño estructural</t>
  </si>
  <si>
    <t>Carrera 42a #5C-67</t>
  </si>
  <si>
    <t>Reporte ciudadano - Yesenia Maquilon 310 350 1227, daño estructural</t>
  </si>
  <si>
    <t>carrera 69 # 2 c 02 y calle 2 c # 69-01</t>
  </si>
  <si>
    <t>Reporte ciudadano - Luz nidia Lopez 3172526598, daño estructural</t>
  </si>
  <si>
    <t>calle 70 bis # 4 cn 103</t>
  </si>
  <si>
    <t>Edificio Guaduales</t>
  </si>
  <si>
    <t>Reporte ciudadano - fabian, daño estructural</t>
  </si>
  <si>
    <t>calle 17 85 c 44</t>
  </si>
  <si>
    <t>Carrera 7Pbis # 62-124</t>
  </si>
  <si>
    <t>Reporte ciudadano - Alba Gloria Jordan 3177287044, daño estructural</t>
  </si>
  <si>
    <t>Carrera 30 # 9 50</t>
  </si>
  <si>
    <t>Edificio Chapagna</t>
  </si>
  <si>
    <t>Reporte ciudadano - 3145392021, daño estructural</t>
  </si>
  <si>
    <t>Calle 1d oeste # 100bis -76</t>
  </si>
  <si>
    <t>Torre 87</t>
  </si>
  <si>
    <t>daño estrucutural colap de muros</t>
  </si>
  <si>
    <t>Reporte ciudadano - Edwar lozada 316 6493175, daño estrucutural colap de muros</t>
  </si>
  <si>
    <t>carrera 47 c 7 sur # 28</t>
  </si>
  <si>
    <t>Reporte ciudadano - jhonny cardenas 3153157706, colapso estructural de pared sobre techo</t>
  </si>
  <si>
    <t>Calle 45 norte # 6DN - 39</t>
  </si>
  <si>
    <t>daño estrucutural</t>
  </si>
  <si>
    <t>Reporte ciudadano - 316 2827975, daño estrucutural</t>
  </si>
  <si>
    <t>Calle 30 Norte # 2BN-42</t>
  </si>
  <si>
    <t>Reporte ciudadano - Walid Bultaif Yamal 3137439266, daño estrucutural</t>
  </si>
  <si>
    <t>Calle 40 Norte # 6A-45</t>
  </si>
  <si>
    <t>Edificio miradores de chipichape apto 502A</t>
  </si>
  <si>
    <t>Reporte ciudadano - Martha oliveros Ospina cc 29287534 Celular 3007898398, daño estructural</t>
  </si>
  <si>
    <t>calle 30 a # 29 a 109</t>
  </si>
  <si>
    <t>Reporte ciudadano - dora milena lozano 3152347410, daño estructural</t>
  </si>
  <si>
    <t>calle 57N #2BN-30</t>
  </si>
  <si>
    <t>Piso 02 B/Ciudad los Álamos, Cali</t>
  </si>
  <si>
    <t>Reporte ciudadano - Oscar López L. CC 16693340 - 3208697515, daño estructural</t>
  </si>
  <si>
    <t>Carrera 36B con 9</t>
  </si>
  <si>
    <t>Reporte ciudadano - Paola Diaz 3186047423, daño estructural</t>
  </si>
  <si>
    <t>calle 3 # 23 b -93</t>
  </si>
  <si>
    <t>Reporte ciudadano - michael lynch 310 3749315, daño estructural</t>
  </si>
  <si>
    <t>Calle 12#15-51</t>
  </si>
  <si>
    <t>daño en vivienda por colapso de estructura</t>
  </si>
  <si>
    <t>Reporte ciudadano - Diego Andrade 3146158809, daño en vivienda por colapso de estructura</t>
  </si>
  <si>
    <t>Calle 1B #60 - 44</t>
  </si>
  <si>
    <t>Unidad residencial gemelos de los chorros</t>
  </si>
  <si>
    <t>Reporte ciudadano - Cielo Valero 3181503278, daño estructural</t>
  </si>
  <si>
    <t>Calle 9 # 44-56</t>
  </si>
  <si>
    <t>Torres de Alicante</t>
  </si>
  <si>
    <t>Germán Ñustes - Cel. 3187120850 - 3176738230 / Fisuras en fachadas y en losas de pisos, especialmente fracturas y desprendimientos en esquinas de muros, fracturas diagonales. Fractura y caida de vidrios.</t>
  </si>
  <si>
    <t>La flora</t>
  </si>
  <si>
    <t>Avenida 4B Norte # 52N-70</t>
  </si>
  <si>
    <t>Conjunto Castilla</t>
  </si>
  <si>
    <t>Germán Ñustes - Cel. 3187120850 - 3176738225	/ Caída de muros en pisos 1 y 2 de las torres 1, 3, 4 y 5, presenta fisuras en pisos 3 y 4. Fisuras en fachadas</t>
  </si>
  <si>
    <t>transversal 29 # 23-09</t>
  </si>
  <si>
    <t>Calle 63 Norte # 3e-60</t>
  </si>
  <si>
    <t>Conjunto Portal de la Flora</t>
  </si>
  <si>
    <t>Germán Ñustes - Cel. 3187120850 - 3176738226 / Fisuras en fachadas, fracturas y desprendimientos en muros, fracturas diagonales. Apertura de muros, especialmente en zonas de baños y cocinas.</t>
  </si>
  <si>
    <t>Calle 5 #27-09</t>
  </si>
  <si>
    <t>Calle 10 Oeste #27-48</t>
  </si>
  <si>
    <t>daño estructural, daño en paredes exteriores del edificio</t>
  </si>
  <si>
    <t>Martín Cuéllar Romero - 3195700460</t>
  </si>
  <si>
    <t>Calle 58nte # 5b N - 62</t>
  </si>
  <si>
    <t>Conjunto residencial santa maria del los vientos</t>
  </si>
  <si>
    <t>Calle 22 A # 118-100</t>
  </si>
  <si>
    <t>Condominio Barcelona</t>
  </si>
  <si>
    <t>Germán Ñustes - Cel. 3187120850 – 3176738223 / Fisuras en fachadas y en losas de pisos, especialmente fracturas y desprendimientos en esquinas de muros, fracturas diagonales.</t>
  </si>
  <si>
    <t>Calle 62 Norte No. 3GN – 80</t>
  </si>
  <si>
    <t>Conjunto Cartuja</t>
  </si>
  <si>
    <t>Germán Ñustes - Cel. 3187120850 - 3176738224, Desprendimiento de Fachadas</t>
  </si>
  <si>
    <t>Carrera 115 # 18-43</t>
  </si>
  <si>
    <t>Conjunto Portal del Alferez</t>
  </si>
  <si>
    <t>Germán Ñustes - Cel. 3187120850 - 3176738227 / Fisuras en la fachada 
Nathalia Henao 3176738223 / Se notan grietas en las fotos enviadas</t>
  </si>
  <si>
    <t>Calle 34AN # 2BN-120</t>
  </si>
  <si>
    <t>Edificio Torres del prado</t>
  </si>
  <si>
    <t>Germán Ñustes - Cel. 3187120850 - 3176738229 / Fisuras en fachadas, fisuras en pasillos, desprendimiento de muro.</t>
  </si>
  <si>
    <t>Valle de Lili</t>
  </si>
  <si>
    <t>Calle 50 # 92-56</t>
  </si>
  <si>
    <t>Conjunto Lusitania</t>
  </si>
  <si>
    <t>Germán Ñustes - Cel. 3187120850 - 3176738231 / Fisuras en fachadas, fisuras en pasillos, desprendimiento de muro.</t>
  </si>
  <si>
    <t>terron colorado</t>
  </si>
  <si>
    <t>Avenida 5 ta Oeste # 16-13</t>
  </si>
  <si>
    <t>Terron colorado, sector el tablazo</t>
  </si>
  <si>
    <t>Calle 10 No. 39-19</t>
  </si>
  <si>
    <t>Tel. 3164828110 ivan quintero</t>
  </si>
  <si>
    <t>Calle 55 # 98-58</t>
  </si>
  <si>
    <t>Conjunto Rivera del Valle</t>
  </si>
  <si>
    <t>Germán Ñustes - Cel. 3187120850 - 3176738232 / Fisuras leves en bases de las casas y en algunas fachadas.</t>
  </si>
  <si>
    <t>Carrera 14 13A 2 (6,8,10)</t>
  </si>
  <si>
    <t>Edificio tres pisos</t>
  </si>
  <si>
    <t>Calle 13 A 13 A 110 (122)</t>
  </si>
  <si>
    <t>Carrera 14 13-90</t>
  </si>
  <si>
    <t>Calle 35 AN # 2BN-109</t>
  </si>
  <si>
    <t>Conjunto Zoila</t>
  </si>
  <si>
    <t>Germán Ñustes - Cel. 3187120850 - 3176738233 / Fisuras leves en torres 2,3 y 4 en los terceros pisos (últimos).</t>
  </si>
  <si>
    <t>Cuarto de legua</t>
  </si>
  <si>
    <t>Carrera 3 # 57b -72</t>
  </si>
  <si>
    <t>Calle 13 13-84</t>
  </si>
  <si>
    <t>san juan bosco</t>
  </si>
  <si>
    <t>carrera 13 # 10 - 128</t>
  </si>
  <si>
    <t>vivienda con afectacion en estructura, grietas cel 3206422698 Aymer Darío Pérez Ramírez Anexo otro número de contacto 3148578390</t>
  </si>
  <si>
    <t>Carrera 56 con calle 3ra</t>
  </si>
  <si>
    <t>Jaime Herrera 318 5219101 / Edificio colapsado que aun no ha sido atendido</t>
  </si>
  <si>
    <t>alto jordan</t>
  </si>
  <si>
    <t>carrera 94 # 1a oeste - 03</t>
  </si>
  <si>
    <t>Alto Jordán</t>
  </si>
  <si>
    <t>afectacion por daños en cubierta y estructura, Carlos Duvan Rendón 310 3732331</t>
  </si>
  <si>
    <t>Cra 93 A Oeste #3a-23</t>
  </si>
  <si>
    <t>Adriana Fandiños, 3117190631 / Mi casa quedo fracturada en la. Pared se la cocina bastante agrietada</t>
  </si>
  <si>
    <t>Carrera 1g # 51-40</t>
  </si>
  <si>
    <t>carrera 85E 28-06</t>
  </si>
  <si>
    <t>Toscana residencial tel. 3015286319 Boris</t>
  </si>
  <si>
    <t>Calle 33 No. 94-210</t>
  </si>
  <si>
    <t>Apto 1615 condominio nova plus, valle del lili</t>
  </si>
  <si>
    <t>Calle 4 66-49</t>
  </si>
  <si>
    <t>Apto 103 B unidad cayaru tel. 3137938101</t>
  </si>
  <si>
    <t>avenida 6an # 6 -104</t>
  </si>
  <si>
    <t>Edificio san marino</t>
  </si>
  <si>
    <t>Encargada Ana Arcos funcionaria 3147559642</t>
  </si>
  <si>
    <t>Calle 14 # 18a - 24</t>
  </si>
  <si>
    <t>Edificio Torre Continental</t>
  </si>
  <si>
    <t>Cra 48 3a 53</t>
  </si>
  <si>
    <t>Edificio Marcela</t>
  </si>
  <si>
    <t>Avenida 4b norte # 58 N 62</t>
  </si>
  <si>
    <t>Edificio paseo real 2</t>
  </si>
  <si>
    <t>Vanesa Alzate 3152347062 / Hay daño estructural en la mayoria de torres, evacuaron a todos los propietarios, necesitamos ayuda para evaluar los dalos</t>
  </si>
  <si>
    <t>Carrera 94c #2-82</t>
  </si>
  <si>
    <t>Resevas de melendez atapa 1</t>
  </si>
  <si>
    <t>Carolina Snachez 3012231461</t>
  </si>
  <si>
    <t>Carrera 27#10a-57</t>
  </si>
  <si>
    <t>Carolina Ortiz Ruiz 3174052528 / La pared de la casa de al lado que es de 2 pisos se desplomó y cayó sobre el techo de la casa de mis tías ocasionando que colapsaran las tejas y cielo falso</t>
  </si>
  <si>
    <t>Avenda 2a # 75en -47</t>
  </si>
  <si>
    <t>Alameda del rio</t>
  </si>
  <si>
    <t>reporta daños, dfisuras, rompimiento de paredes y daños de la fachada 3137590589 Alexandr Diaz</t>
  </si>
  <si>
    <t>san fernando viejo</t>
  </si>
  <si>
    <t>carrera 39 4b 63</t>
  </si>
  <si>
    <t>San fernando viejo</t>
  </si>
  <si>
    <t>Alférez Real</t>
  </si>
  <si>
    <t>Carrera 76 # 2A-31</t>
  </si>
  <si>
    <t>Edificio de 5 pisos que esta totalmente destruido y esta a punto colapsar sobre vivienda de 2 ancianos y niños discapacitado no tienen a donde evacuar. Por favor ayuda. Dejo imagen del edificio Solana.</t>
  </si>
  <si>
    <t>Calle 3A # 22-58</t>
  </si>
  <si>
    <t>se le cayó el techo a las habitaciones y viven 2 adultos mayores de la tercera edad
Angela Viveros 311 715 8940</t>
  </si>
  <si>
    <t>Carrera 83 # 6a - 32 alqueria c -403 c</t>
  </si>
  <si>
    <t>Grietas en todas las paredes ,necesitamos evaluación por estructurales .</t>
  </si>
  <si>
    <t>Angelica Maria Sepulveda Hoyos 3108260426</t>
  </si>
  <si>
    <t>Calle 5# 14-37</t>
  </si>
  <si>
    <t>afectacion en paredes y riesgo de caida de cubierta</t>
  </si>
  <si>
    <t>Laureano Gomez</t>
  </si>
  <si>
    <t>Calle 53 # 36 25</t>
  </si>
  <si>
    <t>Jhon Fredy Tenorio 314 297 9205</t>
  </si>
  <si>
    <t>El Jordan</t>
  </si>
  <si>
    <t>calle 2 # 93</t>
  </si>
  <si>
    <t>Ana Milena Lopez 317 424 0648</t>
  </si>
  <si>
    <t>edificio</t>
  </si>
  <si>
    <t>carrera 65 # 3 a- 34</t>
  </si>
  <si>
    <t>Calle 45 98a 28</t>
  </si>
  <si>
    <t>Edificio maritana</t>
  </si>
  <si>
    <t>Mario Daniel Dorado 3043383312 / edificio afectado</t>
  </si>
  <si>
    <t>Calle 45 98a 32</t>
  </si>
  <si>
    <t>calle 2c # 94bis 1b - 23</t>
  </si>
  <si>
    <t>apartamento con afectacion en estructura y perdida parcial de cielo falso.</t>
  </si>
  <si>
    <t>Calle 10 # 65A-51</t>
  </si>
  <si>
    <t>daño estructural,</t>
  </si>
  <si>
    <t>Sonia Gallego 311 3836781</t>
  </si>
  <si>
    <t>Cra 24b #39-18</t>
  </si>
  <si>
    <t>Grietas en todos los pisos pero no sabemos qué tan graves puedan llegar a ser. Es una casa de 3 pisos con terraza y vemos que cada piso hay grietas en los techos y paredes.</t>
  </si>
  <si>
    <t>Maria Fernanda Perlaza Sanchez 301 376 4539</t>
  </si>
  <si>
    <t>Carrera 18 oeste 4 -68</t>
  </si>
  <si>
    <t>Carrera 25 U 72 U 26</t>
  </si>
  <si>
    <t>Silvia Surez 316 624 6262</t>
  </si>
  <si>
    <t>Carrera 1D #53 -140</t>
  </si>
  <si>
    <t>Unidad residencial encinar</t>
  </si>
  <si>
    <t>Carrera 36A 5-145</t>
  </si>
  <si>
    <t>Edificio torre mantis tel. 3154392429 Carlos Molina</t>
  </si>
  <si>
    <t>carrera 72 13A1 -40</t>
  </si>
  <si>
    <t>Edificio fuente de las quintas 3154392429 Carlos Molina</t>
  </si>
  <si>
    <t>quintas de don simon</t>
  </si>
  <si>
    <t>Cra 72 # 13A-56</t>
  </si>
  <si>
    <t>apto 101 torre C Unidad Pontevedra</t>
  </si>
  <si>
    <t>edificio con afectaciones en fachada y grietas</t>
  </si>
  <si>
    <t>Calle 62 b1 # a9 -365</t>
  </si>
  <si>
    <t>torre c unidad chiminagos 2 sector 1 agrupacion 5</t>
  </si>
  <si>
    <t>Encargado Zayde Inga Paz 3132439398</t>
  </si>
  <si>
    <t>Calle 2 # 66 B 129</t>
  </si>
  <si>
    <t>Daniela Guerrero 310 500 7142</t>
  </si>
  <si>
    <t>PH AV 9 norte # 25-32</t>
  </si>
  <si>
    <t>Calle 7 # 14 a-67</t>
  </si>
  <si>
    <t>Se cayó el techo del patio de piso 1 Tres paredes con perdida total Una pared presenta fisura El edificio contiguo propiedad de Emcali se corrió en el piso 1, un centímetro y en el último piso se orrió cerca de 5 a 7 centímetros y la presión nos dañó el baño del piso 4</t>
  </si>
  <si>
    <t>los andes</t>
  </si>
  <si>
    <t>calle 52 # 1E -53</t>
  </si>
  <si>
    <t>Afectacion a vivienda por grietas, 301 2160701</t>
  </si>
  <si>
    <t>Av. de las Americas #22 Norte-45</t>
  </si>
  <si>
    <t>San Vicente, Cali, Valle del Cauca</t>
  </si>
  <si>
    <t>Fondo Nacional del Ahorro Sede Las Americas - requiere revision de las instalaciones para poder ingresar los empleados y resumir operaciones.</t>
  </si>
  <si>
    <t>Andres Ortega 318 2242055</t>
  </si>
  <si>
    <t>Calle 30 Norte # 5N - 35</t>
  </si>
  <si>
    <t>Calle 2b # 66 - 52 Arboleda 1</t>
  </si>
  <si>
    <t>carrera 77 #1c - 140</t>
  </si>
  <si>
    <t>Daño estructural en vivienda Paola Vargas 3187207404</t>
  </si>
  <si>
    <t>Cra. 56 #5-80</t>
  </si>
  <si>
    <t>Pampa Linda, Cali, Valle del Cauca</t>
  </si>
  <si>
    <t>Carrera 31A # 14C - 47</t>
  </si>
  <si>
    <t>Mirador de Pasoancho</t>
  </si>
  <si>
    <t>Daños en 5 de las 7 torres, hubo desprendimiento de techo de 3 torres, los escombros cayeron a la calle y sobre la swingla, no hay heridos, no trapados, 4 torres están inclinadas Múltiples grietas en todas las torres, dilatación ente los pasillo</t>
  </si>
  <si>
    <t>la campiña</t>
  </si>
  <si>
    <t>calle 44 norte # 7 -60</t>
  </si>
  <si>
    <t>La merced</t>
  </si>
  <si>
    <t>Calle 47n #2i -24</t>
  </si>
  <si>
    <t>Edificio de 3 pisos con grietas encargado juan camilo 3117525803</t>
  </si>
  <si>
    <t>Carrera 36 b# 5b2-21</t>
  </si>
  <si>
    <t>Casa de 3 pisos</t>
  </si>
  <si>
    <t>Angela Córdoba 321 2473109</t>
  </si>
  <si>
    <t>Calle 5 No. 37A 65</t>
  </si>
  <si>
    <t>Edificio Elizondo</t>
  </si>
  <si>
    <t>Carrera 13 # 6-32.</t>
  </si>
  <si>
    <t>Tengo una pared interna apunto de desplomarse - Lorena Charria Laverde 
3177850654</t>
  </si>
  <si>
    <t>Calle 56norte # 2hn-33</t>
  </si>
  <si>
    <t>Conjunto Santa Mariana</t>
  </si>
  <si>
    <t>Administrador 3154560292</t>
  </si>
  <si>
    <t>Carrera 84 No. 13B 11</t>
  </si>
  <si>
    <t>Edificio Marcherie</t>
  </si>
  <si>
    <t>carrera 36a 5B 1-37</t>
  </si>
  <si>
    <t>calle 2 A bis 94B1 -43</t>
  </si>
  <si>
    <t>Alto melendez</t>
  </si>
  <si>
    <t>calle 56#84~33</t>
  </si>
  <si>
    <t>Las vegas de confandi</t>
  </si>
  <si>
    <t>Lo atiende virtual ingeniero andres noreña</t>
  </si>
  <si>
    <t>Cra77a #3D-56</t>
  </si>
  <si>
    <t>Barrio napoles</t>
  </si>
  <si>
    <t>Calle 16 # 29A-105</t>
  </si>
  <si>
    <t>daño estructural caida de techo 3105392101</t>
  </si>
  <si>
    <t>Calle 6 No. 43-66</t>
  </si>
  <si>
    <t>Edificio Olga Lucia</t>
  </si>
  <si>
    <t>Isaac Piso 321 682 2353
Diana ximena Piso 312 842 6835</t>
  </si>
  <si>
    <t>Calle 28 # 98-75</t>
  </si>
  <si>
    <t>Condominio residencial Alameda del Lili</t>
  </si>
  <si>
    <t>El edificio presenta grietas externas que atraviesan hasta dentro del apartamento.
El apartamento tiene grietas entre el techo y la pared en casi todas las esquinas.</t>
  </si>
  <si>
    <t>Calle 4 c # 35 A 07</t>
  </si>
  <si>
    <t>Alejandro Bolaños 320 715 5167</t>
  </si>
  <si>
    <t>Carrera 86 17-35</t>
  </si>
  <si>
    <t>Supermercado</t>
  </si>
  <si>
    <t>Cl. 13 #80 - 187</t>
  </si>
  <si>
    <t>Calle 13 #75 - 85</t>
  </si>
  <si>
    <t>Ara carrera 70</t>
  </si>
  <si>
    <t>Carrera 38 # 5b1 - 39</t>
  </si>
  <si>
    <t>Colegio Instituto Para Niños Ciegos y Sordos</t>
  </si>
  <si>
    <t>Carrera 94B 2 -190</t>
  </si>
  <si>
    <t>Calle 5b2 #37a - 50</t>
  </si>
  <si>
    <t>Clinica Instituto Para Niños Ciegos y Sordos</t>
  </si>
  <si>
    <t>Carrera 85 D # 55-100</t>
  </si>
  <si>
    <t>Apto 402 torre c</t>
  </si>
  <si>
    <t>Sorangi Velasquez 311 671 7245</t>
  </si>
  <si>
    <t>Valle Grande</t>
  </si>
  <si>
    <t>Calle 83c #22-08</t>
  </si>
  <si>
    <t>Pisos y escaleras que cedieron y una pared que está por caer y pone en riesgo las casas de al lado.</t>
  </si>
  <si>
    <t>Diagonal 23 # 10b - 54</t>
  </si>
  <si>
    <t>los cambulos</t>
  </si>
  <si>
    <t>Calle 9 #40-24</t>
  </si>
  <si>
    <t>Luis Diaz 315 2995659</t>
  </si>
  <si>
    <t>Calle 5b2 # 37 A-75</t>
  </si>
  <si>
    <t>Instituto Tobias Emanuel</t>
  </si>
  <si>
    <t>Carrera108 # 44-75</t>
  </si>
  <si>
    <t>Torre 3 apartamento 306K-108 NOGAL</t>
  </si>
  <si>
    <t>afectacion por grietas, requiere verificacion Gloria Isabel Rincón 
3148383882</t>
  </si>
  <si>
    <t>Calle 63 norte # 3e - 70</t>
  </si>
  <si>
    <t>Carrea 16 # 8A 18</t>
  </si>
  <si>
    <t>Janeth Castro 300 439 9881</t>
  </si>
  <si>
    <t>Carrera 34 # 13-51</t>
  </si>
  <si>
    <t>Calle 2b 66A 46</t>
  </si>
  <si>
    <t>Corregimiento de Golondrinas sector la María, casa Ariel Montero</t>
  </si>
  <si>
    <t>las casas están agrietadas y paredes caídas y otras en riesgo inminente de colapso,</t>
  </si>
  <si>
    <t>3104114069 y 3173984279</t>
  </si>
  <si>
    <t>casa</t>
  </si>
  <si>
    <t>carrera 23 # 8 - 07</t>
  </si>
  <si>
    <t>vivienda con afectacion por grietas, requiere verificacion</t>
  </si>
  <si>
    <t>Nororiente</t>
  </si>
  <si>
    <t>Carrera 7B #82-18</t>
  </si>
  <si>
    <t>B// alfonso</t>
  </si>
  <si>
    <t>daño estructural Yoselin santana 3159254781</t>
  </si>
  <si>
    <t>Calle 9 # 42-78</t>
  </si>
  <si>
    <t>B/Cambulos</t>
  </si>
  <si>
    <t>Edificio vecino inclinado con alto riesgo de caer sobre este registrado, e igualmente este presenta daños estructurales, defensa civil recomendo evacuar (ya lo hicieron)</t>
  </si>
  <si>
    <t>calle 70 # 7j - 04</t>
  </si>
  <si>
    <t>pared de tercer piso con grietas, desprendida de columna, tienda elige llantas, Daniel Muelas administrador 3122586869
3182081805</t>
  </si>
  <si>
    <t>Carrera 39d# 56-101</t>
  </si>
  <si>
    <t>El vallado</t>
  </si>
  <si>
    <t>Carrera 47 #4-157</t>
  </si>
  <si>
    <t>Unidades Residencial Antonio Nariño III Etapa y Quinta Etapa</t>
  </si>
  <si>
    <t>Jolio Cesar Upegui-3146170049</t>
  </si>
  <si>
    <t>Maria Cristina Botero 318-8225745</t>
  </si>
  <si>
    <t>Carrera 48 # 4-71</t>
  </si>
  <si>
    <t>Av 6AN # 23N-90</t>
  </si>
  <si>
    <t>Santa Monica</t>
  </si>
  <si>
    <t>Pared descolgada que amenaza caer en casa vecina</t>
  </si>
  <si>
    <t>Javier Molina 3104580674</t>
  </si>
  <si>
    <t>Calle 5B2 # 38-91</t>
  </si>
  <si>
    <t>Calle 26 Norte # 2BN 15</t>
  </si>
  <si>
    <t>Edificio Vacobo</t>
  </si>
  <si>
    <t>presenta unas fisuras entre el primero y sexto piso séptimo y octavo otras fisuras menos evidentes más delgadas. El Ascensor no está en funcionamiento y el contrapeso averió la cabina de Ascensor.</t>
  </si>
  <si>
    <t>Ana Luisa Revelo 3164782459</t>
  </si>
  <si>
    <t>Carrera 94 C # 3-46</t>
  </si>
  <si>
    <t>Reservas de melendez etapa I</t>
  </si>
  <si>
    <t>Maria jose Nuñez 315 751 6597
Marcela Salmanca 315 697 4781</t>
  </si>
  <si>
    <t>Carrera 92 # 25-81</t>
  </si>
  <si>
    <t>Torres de Valgarda 25</t>
  </si>
  <si>
    <t>Carrera 1D1 # 53-140</t>
  </si>
  <si>
    <t>Conjunto Residencial Encinar, Etapa B</t>
  </si>
  <si>
    <t>Xiomara Certuche 317 668 4378</t>
  </si>
  <si>
    <t>Carrera 41a # 31- 28</t>
  </si>
  <si>
    <t>Parroquia Santa Mariana</t>
  </si>
  <si>
    <t>Sacerdote Arnoldo</t>
  </si>
  <si>
    <t>Carrera 36B # 5B2 - 04</t>
  </si>
  <si>
    <t>daño estructural, local vehimarcas del valle Ivon Katherine Sánchez tel 3128332023-3147921804, email delvallevehimarcas@gmail.com</t>
  </si>
  <si>
    <t>oriente</t>
  </si>
  <si>
    <t>carrera 15 # 43 - 28</t>
  </si>
  <si>
    <t>afectacion en fachada por grietas, requiere verificacion</t>
  </si>
  <si>
    <t>Calle 5B 2 #36c-03</t>
  </si>
  <si>
    <t>Felipe Ramirez 3157455889</t>
  </si>
  <si>
    <t>Carrera 35 # 14-42</t>
  </si>
  <si>
    <t>Calle 9 # 24 20</t>
  </si>
  <si>
    <t>Calle 1B 55-25</t>
  </si>
  <si>
    <t>Calle 4 con 61A</t>
  </si>
  <si>
    <t>Alto jordan</t>
  </si>
  <si>
    <t>carrera 94b oeste #1b-65</t>
  </si>
  <si>
    <t>Stella Potes 3206860075</t>
  </si>
  <si>
    <t>Calle 5b3 # 37 - 85</t>
  </si>
  <si>
    <t>Calle 6# 13-49</t>
  </si>
  <si>
    <t>calle 2A Bis # 82-10</t>
  </si>
  <si>
    <t>colapso total de cubierta, requiere verificacion Jesús Arnoby López 322 4991384</t>
  </si>
  <si>
    <t>cra 28 #5b -117</t>
  </si>
  <si>
    <t>Edificio long</t>
  </si>
  <si>
    <t>San Luis</t>
  </si>
  <si>
    <t>Calle 70 C1 #1a 4C-33</t>
  </si>
  <si>
    <t>Carrera 22 # 11A-34</t>
  </si>
  <si>
    <t>Techos y muros colapsados, daño severo</t>
  </si>
  <si>
    <t>Carolina Muñoz 3138193246</t>
  </si>
  <si>
    <t>Carrera 32 #12c-25</t>
  </si>
  <si>
    <t>afectacion estructural requiere verificacion en todo el edificio</t>
  </si>
  <si>
    <t>ciudad 2000</t>
  </si>
  <si>
    <t>Calle 33 #67B 62</t>
  </si>
  <si>
    <t>Casa 3 pisos</t>
  </si>
  <si>
    <t>casa de 3 pisos con afectacion estructural, María Elizabeth Medina Leal
Contactos 3182970023
3136612178
3171387883</t>
  </si>
  <si>
    <t>Cra 1C3 #65-24</t>
  </si>
  <si>
    <t>bloque 11C apto 402 chiminangos</t>
  </si>
  <si>
    <t>afectacion estructurar se requiere verificacion del edificio</t>
  </si>
  <si>
    <t>san nicolas</t>
  </si>
  <si>
    <t>Calle 10 #12-39</t>
  </si>
  <si>
    <t>3159746934 Omar Ricardo Montoya</t>
  </si>
  <si>
    <t>Carrera 24c Oeste # 6 - 11</t>
  </si>
  <si>
    <t>Edificio Miraflores; apto 401</t>
  </si>
  <si>
    <t>Carrera 5L con Calle 39</t>
  </si>
  <si>
    <t>Calle 3 # 66 - 38</t>
  </si>
  <si>
    <t>Edificio El Portal de Vizcaya</t>
  </si>
  <si>
    <t>Calle 3 D # 66B-42</t>
  </si>
  <si>
    <t>Datos: Jessica Unda cel: 3155797387</t>
  </si>
  <si>
    <t>afectacion en pared por desplome de edificio vecino, requiere verificacion</t>
  </si>
  <si>
    <t>el Jordan</t>
  </si>
  <si>
    <t>Calle 2B # 94-10</t>
  </si>
  <si>
    <t>Casa Cultural Tejiendo Sororidades</t>
  </si>
  <si>
    <t>afectacion en pared exterior con riesgo de caida</t>
  </si>
  <si>
    <t>Carrera 86A#5-10</t>
  </si>
  <si>
    <t>Edificio Santa Ana de la Vega</t>
  </si>
  <si>
    <t>Fachada agrietada alrededor de ventanas</t>
  </si>
  <si>
    <t>Luis Eduardo Cardona Aguilar 3116342521</t>
  </si>
  <si>
    <t>Cr 1c bis 67-42</t>
  </si>
  <si>
    <t>Bloque 6D apartamento 301</t>
  </si>
  <si>
    <t>Carrera 35 #29 - 74</t>
  </si>
  <si>
    <t>Calle 38A Norte – Av. 2B Norte</t>
  </si>
  <si>
    <t>Edificio Barceló</t>
  </si>
  <si>
    <t>Calle 5 # 45A-125</t>
  </si>
  <si>
    <t>URESA. Bloque 1- Apto. 301</t>
  </si>
  <si>
    <t>afectacion estructural, ÁLVARO FERNANDO CÁRDENAS YARCE
cc. 94.511.374 de Cali
Cel.: 300 603 32 41</t>
  </si>
  <si>
    <t>Av. 2 B2 Norte 73-151</t>
  </si>
  <si>
    <t>Edificio Las Margaritas</t>
  </si>
  <si>
    <t>Grietas en la torre i</t>
  </si>
  <si>
    <t>Luis Zambrano 315 201 88 53</t>
  </si>
  <si>
    <t>Calle 38 Norte con Avenida 2E Norte</t>
  </si>
  <si>
    <t>Carrera 34 # 25 -42</t>
  </si>
  <si>
    <t>datos: 3165751072 Mi nombre odilia Salazar</t>
  </si>
  <si>
    <t>afectacion en cielo falso y paredes agrietadas, requiere verificacion</t>
  </si>
  <si>
    <t>Kilómetro 4 via la buitrera</t>
  </si>
  <si>
    <t>Casa 403</t>
  </si>
  <si>
    <t>Calle 5B2 con Carrera 36A Edificio el Estadio</t>
  </si>
  <si>
    <t>Natalia Sarasty Calderón - Móvil : 3137502880</t>
  </si>
  <si>
    <t>Fabian Rojas 3164485087 - Colapso úlitmo piso- Riesgo estructural por grietas en escaleras y grietas en las paredes y techos de todos los apartamentos. Pisos desnivelados. - Adulta mayor se niega a evacuar en el 4 piso, con alto riesgo.</t>
  </si>
  <si>
    <t>Avenida 3 # 37 -26</t>
  </si>
  <si>
    <t>Porvenir de la Flora</t>
  </si>
  <si>
    <t>Avenida 3 # 35N - 76</t>
  </si>
  <si>
    <t>Av. 6 con Calle 44, esquina – Edificio A Caner Llanera</t>
  </si>
  <si>
    <t>Edificio A Caner Llanera</t>
  </si>
  <si>
    <t>CRA 39 # 5B-22</t>
  </si>
  <si>
    <t>centro medico santa teresa</t>
  </si>
  <si>
    <t>afectacion estructural, requiere verificacion,Teléfono Comtacto en sitio 
Geisler 
+57 (300) 283-2681 Teléfono contacto 
Ximena Delgado M
3045216867</t>
  </si>
  <si>
    <t>Casas - varias</t>
  </si>
  <si>
    <r>
      <rPr>
        <rFont val="Arial"/>
      </rPr>
      <t>Corregimiento La Paz, Via Golondrinas,</t>
    </r>
    <r>
      <rPr>
        <rFont val="Arial"/>
        <color rgb="FF1155CC"/>
        <u/>
      </rPr>
      <t>https://maps.app.goo.gl/tdiqNxax5rBKegBK7</t>
    </r>
  </si>
  <si>
    <t>Daños estructurales en 14 casas, una casa es perdida total, 33 personas afectadas, muchos niños.</t>
  </si>
  <si>
    <t>Rafael López Jaramillo gestor comunitario de equipos básicos de salud ladera, 321 7881028 - Reporte ciudadano - sol angela cantor-3137299304, colapso estructural</t>
  </si>
  <si>
    <t>Calle 7 OE Avenida 43B 33</t>
  </si>
  <si>
    <t>sur</t>
  </si>
  <si>
    <t>Calle 14 # 54-15</t>
  </si>
  <si>
    <t>Agrietamiento en estructura fachada del edificio</t>
  </si>
  <si>
    <t>Lus Marina Santa 3117454538</t>
  </si>
  <si>
    <t>Carrera 35 4-40</t>
  </si>
  <si>
    <t>Portal de San Fernando</t>
  </si>
  <si>
    <t>James Idrobo, Cel.3155504747 - Edificio de 5 pisos. Sufrió daños considerables en fachada, zona social, apartamentos, zonas comunes. No hubo heridos.</t>
  </si>
  <si>
    <t>Avenida 43 # 10A-54</t>
  </si>
  <si>
    <t>Los estudiantes Violedy Escobar</t>
  </si>
  <si>
    <t>Calle 64N 4 - 35</t>
  </si>
  <si>
    <t>Conjunto paseo real III Maria Isabel Trujillo</t>
  </si>
  <si>
    <t>Avenida 5 Oeste # 23-12</t>
  </si>
  <si>
    <t>afectaciones importantes tanto internas como externas. Se cayeron algunas paredes y se evidencian grietas en varias paredes y elementos de la estructura</t>
  </si>
  <si>
    <t>Gustavo Atehortua 3128452134</t>
  </si>
  <si>
    <t>Calle 13B # 66B-56 – Unidad Bosques de la Fontana</t>
  </si>
  <si>
    <t>Unidad Bosques de la Fontana</t>
  </si>
  <si>
    <t>afectacion estructural, requiere verificacion</t>
  </si>
  <si>
    <t>Apto 303-A contacto 3117477824 Elmy Escobar</t>
  </si>
  <si>
    <t>Calle 62B cra1A 9-365 sector 1 Agrupación 5 Torre A</t>
  </si>
  <si>
    <t>Las escaleras del 4 y 5 piso se encuentran agrietadas y en el el segundo piso las escaleras tienen una abertura en la unión de las gradas que ya se desprendió el cemento y no aguantan otro sismo, y los apartamentos tienen grietas</t>
  </si>
  <si>
    <t>Luisa Fernanda Santos 300 5763778</t>
  </si>
  <si>
    <t>Calle 126 # 23-24</t>
  </si>
  <si>
    <t>Avenida 3N # 35n - 76</t>
  </si>
  <si>
    <t>Panaderia El Molino</t>
  </si>
  <si>
    <t>Sector 6 agrupación torre B apto 11</t>
  </si>
  <si>
    <t>Grietas leves. escaleras con grietas</t>
  </si>
  <si>
    <t>Marisol Chavez 310 408 9742</t>
  </si>
  <si>
    <t>Calle 38 Norte #2bn - 173</t>
  </si>
  <si>
    <t>Edificio El Molino</t>
  </si>
  <si>
    <t>Calle 14c No.48-55 Apto 204c unidad residencial Rincón del Parque, barrio la Selva</t>
  </si>
  <si>
    <t>Sara María Osorio Quiñones, 3004912993</t>
  </si>
  <si>
    <t>afectacion estructural requiere verificacion</t>
  </si>
  <si>
    <t>carrera 13 # 5 - 31</t>
  </si>
  <si>
    <t>Avenida 43 oeste #10a-54</t>
  </si>
  <si>
    <t>Carrera 71A 10bis-19</t>
  </si>
  <si>
    <t>CAlle 51 Norte # 3 an 175</t>
  </si>
  <si>
    <t>Margarita Henao 
310 827 6619 Urgente, viven personas mayores y con discapacidad.</t>
  </si>
  <si>
    <t>Carrera 9c # 30 - 37</t>
  </si>
  <si>
    <t>Centenario</t>
  </si>
  <si>
    <t>Avenida 4 Norte # 7N-53 – Edificio/Torre de Consultorios</t>
  </si>
  <si>
    <t>Edificio, torre consultorio al lado de la sebastian</t>
  </si>
  <si>
    <t>Ana Maria Hincapié
302 331 3616</t>
  </si>
  <si>
    <t>Cra 83 oeste # 1B - 04</t>
  </si>
  <si>
    <t>Evidenciamos una grieta en la casa, el segundo piso, cerca a la columna hacia al abismo</t>
  </si>
  <si>
    <t>Natalia Torres 3108105514</t>
  </si>
  <si>
    <t>chipichape</t>
  </si>
  <si>
    <t>av 6 a norte # 38-60 Alameda de chipichape 3</t>
  </si>
  <si>
    <t>Leydy Joana Marin palma 
Teléfono 3102341273</t>
  </si>
  <si>
    <t>edificio evacuado por afectacion estructural</t>
  </si>
  <si>
    <t>Calle 13 # 53-45 – Unidad Villa Marcela Revisar Aptos: 202 -201-102 B; 101- 102 A</t>
  </si>
  <si>
    <t>Unidad Villa Marcela</t>
  </si>
  <si>
    <t>norte</t>
  </si>
  <si>
    <t>Calle 51 # 8-58</t>
  </si>
  <si>
    <t>Marta Cecilia Morales - 300 3399288 tengo daños internos en el techo de mi casa</t>
  </si>
  <si>
    <t>Calle 5B3 Bis # 38-25</t>
  </si>
  <si>
    <t>Calle 5b3 bis # 31 21</t>
  </si>
  <si>
    <t>Carrera 1F # 58-50, Conjunto Punta del Este</t>
  </si>
  <si>
    <t>Punta del este, Daniela Saavedra Henao
 3216607354</t>
  </si>
  <si>
    <t>Calle 5b 3bis # 38 - 32</t>
  </si>
  <si>
    <t>Hotel Maderos</t>
  </si>
  <si>
    <t>Calle 55A Norte # 2AN-99 y # 2AN-107</t>
  </si>
  <si>
    <t>Pacara II</t>
  </si>
  <si>
    <t>Daño estructural en las escaleras</t>
  </si>
  <si>
    <t>juan manuel silva sanchez 313 7960993</t>
  </si>
  <si>
    <t>Calle 2A Bis # 82A-23</t>
  </si>
  <si>
    <t>Erum Rescate Colombia</t>
  </si>
  <si>
    <t>El terreno de la casa tiene, entre ambas columnas, coon grietas horizontales y verticales; habitan 5 personas la vivienda, se recomienda evacuar.</t>
  </si>
  <si>
    <t>Carrera 26P # 103D-17</t>
  </si>
  <si>
    <t>tel. 3105147126 Mariano Rodriguez Diaz</t>
  </si>
  <si>
    <t>Calle 82 # 7b bis-12 - unidad atalaya</t>
  </si>
  <si>
    <t>Reporte ciudadano - Leidy Ramos del apto 707 - 305 2369837</t>
  </si>
  <si>
    <t>Calle 64N #4-35. Apto 1001C Paseo real 3</t>
  </si>
  <si>
    <t>Paseo Real 3, Mi número es 3107288753</t>
  </si>
  <si>
    <t>los andes calle 56 con carrea 1d2 Edificio portal del encinar</t>
  </si>
  <si>
    <t>edificio portal del encinar 1</t>
  </si>
  <si>
    <t>Reporte ciudadano - Robert correa Plazas 3235315158, daño en estructura---daño en estructuras</t>
  </si>
  <si>
    <t>carrera 41 con roosvelt</t>
  </si>
  <si>
    <t>Reporte ciudadano - colapso total de vivienda</t>
  </si>
  <si>
    <t>Calle 41 con Carrera 7</t>
  </si>
  <si>
    <t>Reporte ciudadano - jose david gil--- 3216191682, colapso de edificio</t>
  </si>
  <si>
    <t>carrera 38a # 7 - 5 , hotel flamingo</t>
  </si>
  <si>
    <t>hotel flamingo</t>
  </si>
  <si>
    <t>daño estructural en edificio</t>
  </si>
  <si>
    <t>Reporte ciudadano - daño estructural en edificio</t>
  </si>
  <si>
    <t>calle 5# 13-58</t>
  </si>
  <si>
    <t>nueva tequendama</t>
  </si>
  <si>
    <t>Edificio afectado Calle 8c #47-35 barrio nueva tequendama, edificio cerca a Palmetto</t>
  </si>
  <si>
    <t>Edificio afectado; edificio cerca a Palmetto</t>
  </si>
  <si>
    <t>Reporte ciudadano - , +34 603 80 75 43, daño estructural</t>
  </si>
  <si>
    <t>calle 5 #23-33 2do piso---- colapso de teccho en tres hacbitaciones , 5 familias en la edificacion----</t>
  </si>
  <si>
    <t>piso colapso de teccho en tres hacbitaciones</t>
  </si>
  <si>
    <t>Daño estructural, colapso de techo</t>
  </si>
  <si>
    <t>Reporte ciudadano - gustavo vargas 3167275348---3235833173, colapso de techo, daño estructural</t>
  </si>
  <si>
    <t>Reporta persona atrapada en el apartamento, la puerta se dañó y no ha podido evacuar, Calle 58 Nte #5b N - 62, @sebas.avila.cabal</t>
  </si>
  <si>
    <t>apartamento</t>
  </si>
  <si>
    <t>persona atrapada- daño estructural</t>
  </si>
  <si>
    <t>Reporte ciudadano - persona atrapada- daño estructural</t>
  </si>
  <si>
    <t>Daños en Carrera 96 #2a-11, reenvía Catherine de CITEL</t>
  </si>
  <si>
    <t>daños estructurales</t>
  </si>
  <si>
    <t>Reporte ciudadano - daños estructurales</t>
  </si>
  <si>
    <t>Carrera 1 G # 59 - 04, en el barrio Paseo de los Almendros, frente al Polideportivo Dakota.</t>
  </si>
  <si>
    <t>Reporte ciudadano - 310 5949294, daños estructurales</t>
  </si>
  <si>
    <t>Para reportar que se cayó 2 edificios en el conjunto residencial bariloche carrera 53 # 13-65 bloque 7 - 102 hay personas de la tercera edad en silla de ruedas, barrio Primero de Mayo.</t>
  </si>
  <si>
    <t>conjunto residencial bariloche; bloque 7 - 102 hay personas de la</t>
  </si>
  <si>
    <t>Reporte ciudadano - 313 4602795, daño estructural</t>
  </si>
  <si>
    <t>edificio frente a la DIAN antiguo colpátria</t>
  </si>
  <si>
    <t>Reporte ciudadano - no suminnoistrado, daños estructurales</t>
  </si>
  <si>
    <t>Afectaciones en unidad residencial, Calle 69 # 5-85, Johana Tovar, @kennyjohanatovar</t>
  </si>
  <si>
    <t>unidad residencial</t>
  </si>
  <si>
    <t>Reporte ciudadano</t>
  </si>
  <si>
    <t>teatro municipal Carrera 5 # 6-64</t>
  </si>
  <si>
    <t>Reporte ciudadano - no suministrado, daños estructurales en exteriores</t>
  </si>
  <si>
    <t>Carrera 61A # 3-114 Edificio San Antonio</t>
  </si>
  <si>
    <t>Paula Moreno tel. 3009794535</t>
  </si>
  <si>
    <t>daños estructurales en multiples casas del sector</t>
  </si>
  <si>
    <t>Reporte ciudadano - daños estructurales en multiples casas del sector</t>
  </si>
  <si>
    <t>junin</t>
  </si>
  <si>
    <t>Hotel la luna, calle 13 con autopista suroriental</t>
  </si>
  <si>
    <t>Hotel la luna</t>
  </si>
  <si>
    <t>Reporte ciudadano - no suministrado, daños estructurales y colapso parcial del techo</t>
  </si>
  <si>
    <t>Carrera 4 con calle 10- Casinno aladdin</t>
  </si>
  <si>
    <t>colapso estructural piso superior</t>
  </si>
  <si>
    <t>Reporte ciudadano - no suministradp, colapso estructural piso superior</t>
  </si>
  <si>
    <t>DOLLAR CITYD Carrera 3 # 69-59</t>
  </si>
  <si>
    <t>colapso en pared perimetral, techo averiado</t>
  </si>
  <si>
    <t>Reporte ciudadano - no suministrado, colapso en pared perimetral, techo averiado</t>
  </si>
  <si>
    <t>sucre</t>
  </si>
  <si>
    <t>carrera 9 #19-20 barrio sucre</t>
  </si>
  <si>
    <t>agrietamiento de paredes en edificio, afectacion es estructura</t>
  </si>
  <si>
    <t>Reporte ciudadano - 3019332856 daniel chacon, agrietamiento de paredes en edificio, afectacion es estructura</t>
  </si>
  <si>
    <t>Carrera 3N #24-58</t>
  </si>
  <si>
    <t>Daño estructural, techo colapsado</t>
  </si>
  <si>
    <t>Reporte ciudadano - 3148050013, María aurora rayo, Techo colapsado</t>
  </si>
  <si>
    <t>Carrera 12 #9-55</t>
  </si>
  <si>
    <t>Vivienda con graves afectaciones</t>
  </si>
  <si>
    <t>Reporte ciudadano - María Olivia Ospina, 3155837205, Vivienda con graves afectaciones</t>
  </si>
  <si>
    <t>calle 5 con 57</t>
  </si>
  <si>
    <t>daño estructural, reportan personas atrapadas</t>
  </si>
  <si>
    <t>Reporte ciudadano - no suministrado, daño estructural, reportan personas atrapadas</t>
  </si>
  <si>
    <t>edificio contiguoa a la iglesia de la Ermita</t>
  </si>
  <si>
    <t>daño estructural en pisos intermedios</t>
  </si>
  <si>
    <t>Reporte ciudadano - no suministrado, daño estructural en pisos intermedios</t>
  </si>
  <si>
    <t>Calle 18a #55-105 Samanes de Guadalupe</t>
  </si>
  <si>
    <t>Se presentan muchas grietas dentro de los apartamentos y en las escaleras de la torre, nos da miedo volver a subir sin revisión de la estructura</t>
  </si>
  <si>
    <t>Reporte ciudadano - Stephania Urbano a Rodríguez , 3232881929, Se presentan muchas grietas dentro de los apartamentos y en las escaleras de la torre, nos da miedo volver a subir sin revisión de la estructura</t>
  </si>
  <si>
    <t>bosques del limonar</t>
  </si>
  <si>
    <t>carrera 66 con 13</t>
  </si>
  <si>
    <t>edificios colapsados, en la zona</t>
  </si>
  <si>
    <t>Reporte ciudadano - edificios colapsados, en la zona</t>
  </si>
  <si>
    <t>urbanizacion militar</t>
  </si>
  <si>
    <t>calle 9 con 45</t>
  </si>
  <si>
    <t>daño estructural estructura comerciar</t>
  </si>
  <si>
    <t>Reporte ciudadano - no suministrado, daño estructural estructura comerciar</t>
  </si>
  <si>
    <t>calle 9 con 44</t>
  </si>
  <si>
    <t>daño estructural en edificio de viviendas- apartamentos</t>
  </si>
  <si>
    <t>Reporte ciudadano - daño estructural en edificio de viviendas- apartamentos</t>
  </si>
  <si>
    <t>Carrera 25 # 3- 51 Oeste San Fernando</t>
  </si>
  <si>
    <t>Afectaciones en la vivienda, grietas, solicita verificación de la vivienda, edificio de 3 pisos</t>
  </si>
  <si>
    <t>Reporte ciudadano - Johana Sandoval, 3187761862, Afectaciones en la vivienda, grietas, solicita verificación de la vivienda, edificio de 3 pisos</t>
  </si>
  <si>
    <t>el ingenio</t>
  </si>
  <si>
    <t>Calle 13A#85C -27</t>
  </si>
  <si>
    <t>Afectaciones en fachada del edificio</t>
  </si>
  <si>
    <t>Reporte ciudadano - 3165230326, Afectaciones en fachada del edificio</t>
  </si>
  <si>
    <t>edificio capitolio 5 con 66</t>
  </si>
  <si>
    <t>afectaciones en parte posterior de fachada</t>
  </si>
  <si>
    <t>Reporte ciudadano - no suministrado, afectaciones en parte posterior de fachada</t>
  </si>
  <si>
    <t>palacio de justicia en plaza de caycedo</t>
  </si>
  <si>
    <t>daño estructural en fachada- sin revisar</t>
  </si>
  <si>
    <t>Reporte ciudadano - no suministrado, daño estructural en fachada- sin revisar</t>
  </si>
  <si>
    <t>Calle 14 con Carrera 66 – Edificio Parques de la Fontana</t>
  </si>
  <si>
    <t>Edificio Parques de la Fontana</t>
  </si>
  <si>
    <t>daño estructural en fachadas y escaleras</t>
  </si>
  <si>
    <t>Reporte ciudadano - daño estructural en fachadas y escaleras - catalina gomez-3174365785, daño estructural</t>
  </si>
  <si>
    <t>Unidad residencial Villa Marcela calle 13#53-45</t>
  </si>
  <si>
    <t>Unidad residencial Villa Marcela</t>
  </si>
  <si>
    <t>Agrietamiento en el edificio</t>
  </si>
  <si>
    <t>Reporte ciudadano - Agrietamiento en el edificio</t>
  </si>
  <si>
    <t>calle 5 #40-90 edi.</t>
  </si>
  <si>
    <t>daño estructural, con inclinacion de estructura</t>
  </si>
  <si>
    <t>Reporte ciudadano - diana alvares- 3165345643, daño estructural, con inclinacion de estructura</t>
  </si>
  <si>
    <t>Avenida 10 Norte # 7N-130, Edificio Colinas de Juanambu</t>
  </si>
  <si>
    <t>Edificio Colinas de Juanambu</t>
  </si>
  <si>
    <t>Afectaciones en el edificio</t>
  </si>
  <si>
    <t>Reporte ciudadano - 3183401630, Afectaciones en el edificio</t>
  </si>
  <si>
    <t>capri</t>
  </si>
  <si>
    <t>carrera 72 con 7bis capri</t>
  </si>
  <si>
    <t>colapso estructural total en edificio</t>
  </si>
  <si>
    <t>Reporte ciudadano - no suministrado, colapso estructural total en edificio</t>
  </si>
  <si>
    <t>calle 5B con carrera 42a parroquia la asencion-</t>
  </si>
  <si>
    <t>parroquia la asencion</t>
  </si>
  <si>
    <t>colapso parcial de estructura</t>
  </si>
  <si>
    <t>Reporte ciudadano - no suministrado, colapso parcial de estructura</t>
  </si>
  <si>
    <t>Calle 7 #19 -74, Alameda</t>
  </si>
  <si>
    <t>reporta afectaciones en vivienda</t>
  </si>
  <si>
    <t>Reporte ciudadano - Alicia Escobar 3233898026, reporta afectaciones en vivienda</t>
  </si>
  <si>
    <t>Carrera 12 #4-10 edificio esquina, San Cayetano</t>
  </si>
  <si>
    <t>edificio esquina</t>
  </si>
  <si>
    <t>agrietamiento en vivienda, afectaciones en estructura</t>
  </si>
  <si>
    <t>Reporte ciudadano - Isabel Jarrín, 3173231063, agrietamiento en vivienda, afectaciones en estructura</t>
  </si>
  <si>
    <t>Avenida guadalupe con 3a-</t>
  </si>
  <si>
    <t>caida de edificio</t>
  </si>
  <si>
    <t>Reporte ciudadano - no suministrado, caida de edificio</t>
  </si>
  <si>
    <t>Nor Oriente</t>
  </si>
  <si>
    <t>Carrera 2bn 72d04 floralia</t>
  </si>
  <si>
    <t>Afectaciones en vivienda</t>
  </si>
  <si>
    <t>Reporte ciudadano - Inés Elvira Hernández trejos, 3136804159, Afectaciones en vivienda</t>
  </si>
  <si>
    <t>la base</t>
  </si>
  <si>
    <t>calle 59 y 62 #8-100 barrio la base unidad marco fidel suarez</t>
  </si>
  <si>
    <t>unidad marco fidel suarez</t>
  </si>
  <si>
    <t>agrietamientos en estructura</t>
  </si>
  <si>
    <t>Reporte ciudadano - adriana quiroga 3216429835, agrietamientos en estructura</t>
  </si>
  <si>
    <t>Carrera 72 #10bis-21 torre b comuna 17</t>
  </si>
  <si>
    <t>torre b</t>
  </si>
  <si>
    <t>colapso de estructura</t>
  </si>
  <si>
    <t>Reporte ciudadano - no suministrado, colapso de estructura</t>
  </si>
  <si>
    <t>calle 2bis #76-09 barrio colinas del sur</t>
  </si>
  <si>
    <t>colapso de estructura-viviendas</t>
  </si>
  <si>
    <t>Reporte ciudadano - johana Arenas- 31368116-98, colapso de estructura-viviendas</t>
  </si>
  <si>
    <t>Avenida 7b oeste 19a56, Terrón Colorado</t>
  </si>
  <si>
    <t>Colaspo de estructura</t>
  </si>
  <si>
    <t>Reporte ciudadano - Eduardo Cuellar, 3104540170, Colaspo de estructura</t>
  </si>
  <si>
    <t>calle 18 #85c-47 edificio la zafra</t>
  </si>
  <si>
    <t>edificio la zafra</t>
  </si>
  <si>
    <t>agrietamiento de estructura y eescaleras</t>
  </si>
  <si>
    <t>Reporte ciudadano - agrietamiento de estructura y eescaleras</t>
  </si>
  <si>
    <t>calle 77 #28f-95</t>
  </si>
  <si>
    <t>colapso del techo y pared medianera</t>
  </si>
  <si>
    <t>Reporte ciudadano - nelsy calderon- 3025244664, colapso del techo y pared medianera</t>
  </si>
  <si>
    <t>Sur - Occidente</t>
  </si>
  <si>
    <t>Calle 2 B # 66 A 46, Colegio San José Refugio</t>
  </si>
  <si>
    <t>Colegio San José Refugio</t>
  </si>
  <si>
    <t>Agrietamiento en fachada</t>
  </si>
  <si>
    <t>Reporte ciudadano - Martha Cecilia González, 3113159859, Agrietamiento en fachada</t>
  </si>
  <si>
    <t>Carrera 34 #5b-77 san fernando</t>
  </si>
  <si>
    <t>caida de techo y muro</t>
  </si>
  <si>
    <t>Reporte ciudadano - carolina filigrana-3182618833, caida de techo y muro</t>
  </si>
  <si>
    <t>universidad UNAD- roosvelt</t>
  </si>
  <si>
    <t>colapso parcial de fachada y paredes. con afectacion e techo</t>
  </si>
  <si>
    <t>Reporte ciudadano - no suministrado, colapso parcial de fachada y paredes. con afectacion e techo</t>
  </si>
  <si>
    <t>Av. 5 Nte. #22 Norte-2 a 22 Norte-100</t>
  </si>
  <si>
    <t>colapso de techo y pared en estructura de uno mixto</t>
  </si>
  <si>
    <t>Maribel Cortés Carvajal</t>
  </si>
  <si>
    <t>Riesgo estructural con posibilidad de colapso de edificio que contaba con 8 pisos. La via se encuebtra con paso restrigido por riesgo de desprendimiento de la fachada. La estructura se encuentra comprometida en vigas y elementos no estructurales con fallas graves.</t>
  </si>
  <si>
    <t>valle grande</t>
  </si>
  <si>
    <t>Calle 79e casa 2010</t>
  </si>
  <si>
    <t>grieta en fachada de vivienda</t>
  </si>
  <si>
    <t>Reporte ciudadano - Diana rincon, 313 5346822, grieta en fachada de vivienda</t>
  </si>
  <si>
    <t>Calle 59 #1C-73 Torres de comfandi conjunto B</t>
  </si>
  <si>
    <t>conjunto B</t>
  </si>
  <si>
    <t>agrietamiento en vivienda</t>
  </si>
  <si>
    <t>Reporte ciudadano - Valentina Oviedo Ramírez, 3115708332, agrietamiento en vivienda</t>
  </si>
  <si>
    <t>antigua clinica saludcop Calle 9 # 29 (Calle 9 con Carrera 30, barrio Champagnat / La Alameda).</t>
  </si>
  <si>
    <t>clinica saludcop</t>
  </si>
  <si>
    <t>colapso de paredes de fachada, agrietamiento de estructura</t>
  </si>
  <si>
    <t>Reporte ciudadano - no suministrado, colapso de paredes de fachada, agrietamiento de estructura</t>
  </si>
  <si>
    <t>Sur-Occidental</t>
  </si>
  <si>
    <t>Calle 8 c #47-35</t>
  </si>
  <si>
    <t>agrietamiento en edificio</t>
  </si>
  <si>
    <t>Reporte ciudadano - no suministrado, agrietamiento en edificio</t>
  </si>
  <si>
    <t>Calle 3D 69-33</t>
  </si>
  <si>
    <t>techo colapsado</t>
  </si>
  <si>
    <t>Reporte ciudadano - no suministrado, techo colapsado</t>
  </si>
  <si>
    <t>Carrera 17f #3012 Droguería Superior</t>
  </si>
  <si>
    <t>afectaciones en la fachada</t>
  </si>
  <si>
    <t>Reporte ciudadano - 322 6045307, afectaciones en la fachada</t>
  </si>
  <si>
    <t>El limonar</t>
  </si>
  <si>
    <t>Carrera 66 con Calle 12</t>
  </si>
  <si>
    <t>Daños materiales sin víctimas</t>
  </si>
  <si>
    <t>Reporte ciudadano - no suministrado, Daños materiales sin víctimas</t>
  </si>
  <si>
    <t>3 de julio</t>
  </si>
  <si>
    <t>avenida roosvelt con 26</t>
  </si>
  <si>
    <t>daño en estructura en varias edificaciones de uso mixto seguidas de 3 pisos</t>
  </si>
  <si>
    <t>Reporte ciudadano - no suministrado, daño en estructura en varias edificaciones de uso mixto seguidas de 3 pisos</t>
  </si>
  <si>
    <t>Calle 21N#4-09</t>
  </si>
  <si>
    <t>afectacion en fachada de edificio</t>
  </si>
  <si>
    <t>Reporte ciudadano - afectacion en fachada de edificio</t>
  </si>
  <si>
    <t>Sur-Occidente</t>
  </si>
  <si>
    <t>calle 5b con 36 edificio los profesiol}nales</t>
  </si>
  <si>
    <t>edificio los profesiol}nales</t>
  </si>
  <si>
    <t>daño en estructura de edificio, caida de materia de fachada</t>
  </si>
  <si>
    <t>Reporte ciudadano - no suministrado, daño en estructura de edificio, caida de materia de fachada</t>
  </si>
  <si>
    <t>carrera 17 con calle 15</t>
  </si>
  <si>
    <t>colapso de edificaciones varias.</t>
  </si>
  <si>
    <t>Reporte ciudadano - no suministrado, colapso de edificaciones varias.</t>
  </si>
  <si>
    <t>Carrera 39 #5E-46</t>
  </si>
  <si>
    <t>afectaciones en vivienda</t>
  </si>
  <si>
    <t>Reporte ciudadano - Karla Fernanda González, 3108457836, afectaciones en vivienda</t>
  </si>
  <si>
    <t>Centro-Oeste</t>
  </si>
  <si>
    <t>Carrera 36 con 5b3 detras del estadio pascual guerrero</t>
  </si>
  <si>
    <t>afectacion estructural en edifico con caida de material</t>
  </si>
  <si>
    <t>Reporte ciudadano - no sumistrado, afectacion estructural en edifico con caida de material</t>
  </si>
  <si>
    <t>Avenida 9 norte con 21- edificio de ancianos</t>
  </si>
  <si>
    <t>edificio de ancianos</t>
  </si>
  <si>
    <t>daño estructural con caida de material</t>
  </si>
  <si>
    <t>Reporte ciudadano - no suministrado, daño estructural con caida de material</t>
  </si>
  <si>
    <t>Avenida Roosevelt #39A-20</t>
  </si>
  <si>
    <t>edificio colapsado</t>
  </si>
  <si>
    <t>Reporte ciudadano - edificio colapsado</t>
  </si>
  <si>
    <t>Calle 42 Nte. # 7 - 71 conjunto Terrazas de Chipichape</t>
  </si>
  <si>
    <t>conjunto Terrazas de Chipichape</t>
  </si>
  <si>
    <t>agrietamiento en fachada</t>
  </si>
  <si>
    <t>Reporte ciudadano - no suministrado, agrietamiento en fachada</t>
  </si>
  <si>
    <t>calle 1 bis 70-34 edificio las palmas</t>
  </si>
  <si>
    <t>edificio las palmas</t>
  </si>
  <si>
    <t>daño en estructura, vigas y columnas afectadas</t>
  </si>
  <si>
    <t>Reporte ciudadano - patricia ordoñez-3150722121, daño en estructura, vigas y columnas afectadas</t>
  </si>
  <si>
    <t>Carrera 70 #1c-70 barrio caldas. torres de san mitchel</t>
  </si>
  <si>
    <t>se desplomó techo y fachada</t>
  </si>
  <si>
    <t>Reporte ciudadano - melisa obando- 3117756292, se desplomó techo y fachada</t>
  </si>
  <si>
    <t>Carrera 39 # 5E-46, edificio Bachue</t>
  </si>
  <si>
    <t>edificio Bachue</t>
  </si>
  <si>
    <t>colpaso en paredes internas del edificio</t>
  </si>
  <si>
    <t>Reporte ciudadano - no suministrado, colpaso en paredes internas del edificio</t>
  </si>
  <si>
    <t>Calle 2#2-33</t>
  </si>
  <si>
    <t>grietas en pared</t>
  </si>
  <si>
    <t>Reporte ciudadano - Catalina Mesa, 3183023500, grietas en pared</t>
  </si>
  <si>
    <t>calle 6 con 13, toda la cuadra</t>
  </si>
  <si>
    <t>colapso de paredes, daños estructurales</t>
  </si>
  <si>
    <t>Reporte ciudadano - no suministrado, colapso de paredes, daños estructurales</t>
  </si>
  <si>
    <t>El Templete</t>
  </si>
  <si>
    <t>calle 7 #35-10 - 35-12el templete</t>
  </si>
  <si>
    <t>edificio de 4 pisos, fisuras en columnas y desplazamiento de la edificacion</t>
  </si>
  <si>
    <t>Reporte ciudadano - beatriz marin-3116155454, edificio de 4 pisos, fisuras en columnas y desplazamiento de la edificacion</t>
  </si>
  <si>
    <t>Avenida 3 norte 21-22 edificio calima, barrio Versalles</t>
  </si>
  <si>
    <t>edificio calima</t>
  </si>
  <si>
    <t>edificio de 16 pisos afectaciones internas en muros evacuados el 50% hay personas de movilidad reducida ciegos</t>
  </si>
  <si>
    <t>Reporte ciudadano - 3243079575 Alejandro Hidalgo, edificio de 16 pisos afectaciones internas en muros evacuados el 50% hay personas de movilidad reducida ciegos</t>
  </si>
  <si>
    <t>salud total, avenida de las amenricas Avenida 3 Norte # 19N-03, Barrio San Vicente.</t>
  </si>
  <si>
    <t>daño estructural, con caida de material en via publica</t>
  </si>
  <si>
    <t>Reporte ciudadano - no suministrado, daño estructural, con caida de material en via publica</t>
  </si>
  <si>
    <t>calle 38 norte 3#gn-09 ed. torre ddel prado</t>
  </si>
  <si>
    <t>torre ddel prado</t>
  </si>
  <si>
    <t>agrietamiento en estructura, edificio de 5 pisos, sobre todo el pirmer piso</t>
  </si>
  <si>
    <t>Reporte ciudadano - sofia llanos- 3128497403, agrietamiento en estructura, edificio de 5 pisos, sobre todo el pirmer piso</t>
  </si>
  <si>
    <t>Gran Limonar</t>
  </si>
  <si>
    <t>carrera 66 #9-81</t>
  </si>
  <si>
    <t>colapso de estructura, aplastando carros en parqueadero</t>
  </si>
  <si>
    <t>Reporte ciudadano - no suministrado, colapso de estructura, aplastando carros en parqueadero</t>
  </si>
  <si>
    <t>Edifico Comfenalco Cambulos</t>
  </si>
  <si>
    <t>Reporte ciudadano - 3186013312</t>
  </si>
  <si>
    <t>Carrera 15 #20-08</t>
  </si>
  <si>
    <t>argietamiento en estructura en tercer piso y terraza, con riesgo de colapso</t>
  </si>
  <si>
    <t>Reporte ciudadano - paola figueroa-3164553266, argietamiento en estructura en tercer piso y terraza, con riesgo de colapso</t>
  </si>
  <si>
    <t>Carrera 98f #58.66 unidad indigo</t>
  </si>
  <si>
    <t>unidad indigo</t>
  </si>
  <si>
    <t>arietamiento en edificio de 10 oisos</t>
  </si>
  <si>
    <t>Reporte ciudadano - graciela rojas-3206181565, arietamiento en edificio de 10 oisos</t>
  </si>
  <si>
    <t>San Cayetano</t>
  </si>
  <si>
    <t>calle 5 con 13</t>
  </si>
  <si>
    <t>caida materia en via publica, daños en fachadas en estructuras de uso mixto</t>
  </si>
  <si>
    <t>Reporte ciudadano - no suministrado, caida materia en via publica, daños en fachadas en estructuras de uso mixto</t>
  </si>
  <si>
    <t>Occidente</t>
  </si>
  <si>
    <t>calle 12 oeste #54-130</t>
  </si>
  <si>
    <t>dañoe en estructura de edificio de viviendas, tanque dañado con riesgo de caer</t>
  </si>
  <si>
    <t>Reporte ciudadano - yorme escobar-3008581086, dañoe en estructura de edificio de viviendas, tanque dañado con riesgo de caer</t>
  </si>
  <si>
    <t>Avenida 10 norte #7n.130 colinas de</t>
  </si>
  <si>
    <t>call 8 entre 32 y 32a</t>
  </si>
  <si>
    <t>Reporte ciudadano - no cuministrado, daño estructural en edificio</t>
  </si>
  <si>
    <t>calle 36 con 5</t>
  </si>
  <si>
    <t>dañoe estructural en edificio de apartamentos</t>
  </si>
  <si>
    <t>Reporte ciudadano - dañoe estructural en edificio de apartamentos</t>
  </si>
  <si>
    <t>corregimiento de golondrinas- sector la maria</t>
  </si>
  <si>
    <t>5 viviendas colapsadas del grupo satic</t>
  </si>
  <si>
    <t>Reporte ciudadano - satic golondrinas, jose orlando valencia, 5 viviendas colapsadas del grupo satic</t>
  </si>
  <si>
    <t>Carrera 37a #3bis-19 lomas de san fernando torre 1</t>
  </si>
  <si>
    <t>torre 1</t>
  </si>
  <si>
    <t>agrietamiento en estructura de edificio de apartamentos</t>
  </si>
  <si>
    <t>Reporte ciudadano - carolina devia-3181355739, agrietamiento en estructura de edificio de apartamentos</t>
  </si>
  <si>
    <t>Nueva tequendama</t>
  </si>
  <si>
    <t>Carrera 43 #6a -115 nueva tequendama 6</t>
  </si>
  <si>
    <t>Reporte ciudadano - no suministrado, agrietamiento en estructura de edificio de apartamentos</t>
  </si>
  <si>
    <t>calle 13e #55-02</t>
  </si>
  <si>
    <t>kilometro 10.5 altos del rosario corregimiento de la buitrera</t>
  </si>
  <si>
    <t>agrietamientos profundos en vivienda, con riesgo de colapso</t>
  </si>
  <si>
    <t>Reporte ciudadano - no suministrado, agrietamientos profundos en vivienda, con riesgo de colapso</t>
  </si>
  <si>
    <t>edificio altavista 2000</t>
  </si>
  <si>
    <t>persona atrapada en edificacion</t>
  </si>
  <si>
    <t>Reporte ciudadano - no suministrado, persona atrapada en edificacion</t>
  </si>
  <si>
    <t>Calle 2c #65-22, La Cascada, Cali, Valle del Cauca</t>
  </si>
  <si>
    <t>edificio de apartamentos con colapso interno</t>
  </si>
  <si>
    <t>Reporte ciudadano - no suministrado, edificio de apartamentos con colapso interno</t>
  </si>
  <si>
    <t>calle 9 con 54</t>
  </si>
  <si>
    <t>agrietamiento estructurral caida parcial de techo en edificacion de 10 pisos de uno mixto</t>
  </si>
  <si>
    <t>Reporte ciudadano - no suministrado, agrietamiento estructurral caida parcial de techo en edificacion de 10 pisos de uno mixto</t>
  </si>
  <si>
    <t>calle 2c #93-42 melendez</t>
  </si>
  <si>
    <t>afectacion forntal de vivienda por colapso de muros en manposteria, riesgo de colapso</t>
  </si>
  <si>
    <t>Reporte ciudadano - no suministrado, afectacion forntal de vivienda por colapso de muros en manposteria, riesgo de colapso</t>
  </si>
  <si>
    <t>Avenida 4bnorte #58-n60 paseo real- la flora</t>
  </si>
  <si>
    <t>afectaciones internas y en escaleras de edificio de aoartamend¿tos de 9 pisos 7 torres afectadas</t>
  </si>
  <si>
    <t>Reporte ciudadano - maria delgado-3146526159, afectaciones internas y en escaleras de edificio de aoartamend¿tos de 9 pisos 7 torres afectadas</t>
  </si>
  <si>
    <t>Las camelias</t>
  </si>
  <si>
    <t>Calle 14c #49a-29 las camelias</t>
  </si>
  <si>
    <t>daño estructural en edificacion de apartamentos</t>
  </si>
  <si>
    <t>Reporte ciudadano - no suministrado, daño estructural en edificacion de apartamentos</t>
  </si>
  <si>
    <t>Carrera 44a con 10</t>
  </si>
  <si>
    <t>colapso parcial de techo, daño en estructura en vivienda de 4 pisos</t>
  </si>
  <si>
    <t>Reporte ciudadano - no suministrado, colapso parcial de techo, daño en estructura en vivienda de 4 pisos</t>
  </si>
  <si>
    <t>Prados del sur</t>
  </si>
  <si>
    <t>Carrera 78 #1a-176 prados del sur</t>
  </si>
  <si>
    <t>daño estructural en columnas y fachada</t>
  </si>
  <si>
    <t>Reporte ciudadano - johan monsillo-3174820816, daño estructural en columnas y fachada</t>
  </si>
  <si>
    <t>Calle 5 con 36</t>
  </si>
  <si>
    <t>edificacion de uso mixto de 4 pisos con agrietamiento de pardes y fachada</t>
  </si>
  <si>
    <t>Reporte ciudadano - no suministrado, edificacion de uso mixto de 4 pisos con agrietamiento de pardes y fachada</t>
  </si>
  <si>
    <t>El colegio José Holguín garses y las escuelas del sector ulpiano lloreda y anamaría lloreda sector terrón colorado</t>
  </si>
  <si>
    <t>colegio José Holguín garses y las escuelas del</t>
  </si>
  <si>
    <t>edificacion de uso de colegio, agrietamiento en paredes y caida de tejas en techo.</t>
  </si>
  <si>
    <t>Reporte ciudadano - samir hoyos- 312 8232728, edificacion de uso de colegio, agrietamiento en paredes y caida de tejas en techo.</t>
  </si>
  <si>
    <t>La campiña</t>
  </si>
  <si>
    <t>CALLE 43N 8N30 LA CAMPIÑA CASA DE JAIRO</t>
  </si>
  <si>
    <t>agrietamiento en vivienda de dos pisos</t>
  </si>
  <si>
    <t>Reporte ciudadano - 317 5078935 jairhoyos, agrietamiento en vivienda de dos pisos</t>
  </si>
  <si>
    <t>Santa Anita</t>
  </si>
  <si>
    <t>Carrera 53 con calle 12</t>
  </si>
  <si>
    <t>agrietamiento en edifivio de apartamentos</t>
  </si>
  <si>
    <t>Reporte ciudadano - 315 4627123 ana collazos, agrietamiento en edifivio de apartamentos</t>
  </si>
  <si>
    <t>calle 22 norte 9-87</t>
  </si>
  <si>
    <t>agrietamiento en vivienda, con dalo en pared medianera</t>
  </si>
  <si>
    <t>Reporte ciudadano - Andrés Pedraza-310 2511010, agrietamiento en vivienda, con dalo en pared medianera</t>
  </si>
  <si>
    <t>Carrera 43 # 5C-34
 Barrio Tequendama- Fundación Lazzos de Amor</t>
  </si>
  <si>
    <t>colapso de paredes, con dañoe estructural. reportan femenina muerta en la escena</t>
  </si>
  <si>
    <t>Reporte ciudadano - 3185425898, colapso de paredes, con dañoe estructural. reportan femenina muerta en la escena</t>
  </si>
  <si>
    <t>Carrera 23D # 13-31</t>
  </si>
  <si>
    <t>colapso parcial de edificio residencial</t>
  </si>
  <si>
    <t>Reporte ciudadano - Dayana Duran 3202175947, colapso parcial de edificio residencial</t>
  </si>
  <si>
    <t>Avenida Los Estudiantes, sector La Escuela – Sede Educativa San Pedro</t>
  </si>
  <si>
    <t>Vereda Campo Alegre – Institución Educativa Andrés Lenis</t>
  </si>
  <si>
    <t>Felidia- sin direccion</t>
  </si>
  <si>
    <t>Reporte ciudadano - Ana Araujo 3177444194, Daño estructural</t>
  </si>
  <si>
    <t>Carrera 72a #13a-80</t>
  </si>
  <si>
    <t>daño estructural en pisos altos</t>
  </si>
  <si>
    <t>Reporte ciudadano - daño estructural en pisos altos</t>
  </si>
  <si>
    <t>Calle 5b1 #29-17</t>
  </si>
  <si>
    <t>Reporte ciudadano - 3156627583, daño estructural 3214038455 Carlos Morcillo</t>
  </si>
  <si>
    <t>parroquia nuestra señora de los andes- Validar</t>
  </si>
  <si>
    <t>Calle 23n #6an-17 antigu ed- dinners</t>
  </si>
  <si>
    <t>Avenida 3n #23bn-43 Ed. España</t>
  </si>
  <si>
    <t>Daño estructural, caida de paredes</t>
  </si>
  <si>
    <t>jordan</t>
  </si>
  <si>
    <t>Carrera 94 #2-20</t>
  </si>
  <si>
    <t>Daño estructural, Cida parcial de techo</t>
  </si>
  <si>
    <t>Reporte ciudadano - erika montes-3158886554, daño estructural, acida parccial de techo</t>
  </si>
  <si>
    <t>Calle 48n #4bn-42 Ed. petriza</t>
  </si>
  <si>
    <t>Carrera 2 #59B, esquina</t>
  </si>
  <si>
    <t>Calle 1d oeste # 100bis -76 Torre 87</t>
  </si>
  <si>
    <t>Daño estructural, colapso de muros</t>
  </si>
  <si>
    <t>calle 57N #2BN-30 Piso 02 B/Ciudad los Álamos, Cali</t>
  </si>
  <si>
    <t>Piso 02 B/Ciudad los Álamos</t>
  </si>
  <si>
    <t>CALLE 55 A NORTE NROS. 2-AN-99 Y 2-AN-107</t>
  </si>
  <si>
    <t>Reporte ciudadano - juan manuel silva sanchez - 313 7960993</t>
  </si>
  <si>
    <t>Av 1 oeste # 6-28 piso 1</t>
  </si>
  <si>
    <t>Ana Maria Hincapié 
302 331 3616</t>
  </si>
  <si>
    <t>calle 5c #29-54</t>
  </si>
  <si>
    <t>Sebastian Moreno 3225860193</t>
  </si>
  <si>
    <t>Daño estructural, grietas</t>
  </si>
  <si>
    <t>Ave 2 bn 32 an 33 - rincón de la flora dos etapa d</t>
  </si>
  <si>
    <t>Reporte ciudadano - Fredy Rosas 3186763430</t>
  </si>
  <si>
    <t>Calle 47 norte # 2i-24 edificio 3 pisos</t>
  </si>
  <si>
    <t>Adriana Cortes
311 632 8410</t>
  </si>
  <si>
    <t>Calle 12-A. No 50-25</t>
  </si>
  <si>
    <t>Condominio Parque 50</t>
  </si>
  <si>
    <t>Consuelo Lopez 300 6551768</t>
  </si>
  <si>
    <t>San fernando nuevo</t>
  </si>
  <si>
    <t>Casa antigua</t>
  </si>
  <si>
    <t>Carrea 36 c # 5 B 1-60</t>
  </si>
  <si>
    <t>Grietas graves y derrumbe alrededor</t>
  </si>
  <si>
    <t>M. Fernanda 300 317 7607
Hilda Mera 300 304 9458
ANTENDER URGENTE PRIORITARIO 3 ADULTOS MAYORES DE 75 AÑOS</t>
  </si>
  <si>
    <t>Calle 55A # 30B-50</t>
  </si>
  <si>
    <t>buenos aires</t>
  </si>
  <si>
    <t>calle 3 # 71-03</t>
  </si>
  <si>
    <t>Daño estructural edificio de 6 pisos con riesgo de colapso</t>
  </si>
  <si>
    <t>Cra 7Lbis # 76-96</t>
  </si>
  <si>
    <t>Viviana Valencia Ocampo,3116113872 - 3163866479</t>
  </si>
  <si>
    <t>Carrera 32 # 12C-25</t>
  </si>
  <si>
    <t>Oasis de Pasoancho</t>
  </si>
  <si>
    <t>Carrera 15 # 8 - 50 hasta el 56</t>
  </si>
  <si>
    <t>KR 15 # 8 - 50</t>
  </si>
  <si>
    <t>Calle 99 # 55 - 250</t>
  </si>
  <si>
    <t>Remanso del Lili</t>
  </si>
  <si>
    <t>comuna 17</t>
  </si>
  <si>
    <t>Edificio multiusos</t>
  </si>
  <si>
    <t>Carrer 100 # 34 96</t>
  </si>
  <si>
    <t>Unidad Fronteira Valle del Lili</t>
  </si>
  <si>
    <t>Edificio rosales</t>
  </si>
  <si>
    <t>Carrera 14 # 5-19</t>
  </si>
  <si>
    <t>4 pisos</t>
  </si>
  <si>
    <t>Rocio Rosales 3156279529</t>
  </si>
  <si>
    <t>Carrera 8 # 10 - 47</t>
  </si>
  <si>
    <t>Coopser</t>
  </si>
  <si>
    <t>Carrera 38 # 9a Oste -50</t>
  </si>
  <si>
    <t>Cristales 2</t>
  </si>
  <si>
    <t>colegio</t>
  </si>
  <si>
    <t>Carrera 14 # 74-55</t>
  </si>
  <si>
    <t>Colegio Instituto Nuestra Señora de la Asunción</t>
  </si>
  <si>
    <t>evacuacion controlada, requiere verificacion Rector: Patricia Escobar Cel. 3113446002 Paulo Cesar Sabogal Administrador 3103900816</t>
  </si>
  <si>
    <t>Avenida 10n # 7n -10 apart 502</t>
  </si>
  <si>
    <t>3 paredes averiadas con riesgo de colapso</t>
  </si>
  <si>
    <t>Calle 2 #66B-19, apto 203</t>
  </si>
  <si>
    <t>Conjunto Manantial</t>
  </si>
  <si>
    <t>Daños grandes en la estructura, torres 3 &amp; 4 ya evacuadas</t>
  </si>
  <si>
    <t>ANGÉLICA MARIA DELGADO, 316 4782943</t>
  </si>
  <si>
    <t>capilla</t>
  </si>
  <si>
    <t>Calle 79 # 9A-32</t>
  </si>
  <si>
    <t>capilla puerto mallarino</t>
  </si>
  <si>
    <t>afectacion en cubierta y estructura</t>
  </si>
  <si>
    <t>carrera 41a #16_40</t>
  </si>
  <si>
    <t>afectación como caídas de las láminas del cielo raso de la cocina</t>
  </si>
  <si>
    <t>wilber Sinisterra 301 4598017</t>
  </si>
  <si>
    <t>Calle 5 B 3 # 38 16</t>
  </si>
  <si>
    <t>Casa segundo piso</t>
  </si>
  <si>
    <t>Colapso completo de habitaciones, y posible derrumbe de estructura</t>
  </si>
  <si>
    <t>Claudia Fabiola Díaz 
310 505 8707</t>
  </si>
  <si>
    <t>centro</t>
  </si>
  <si>
    <t>Cra 1 No. 4 A 70D 08 bloque 95 apto 101</t>
  </si>
  <si>
    <t>Daño estructural, en el bloque varios aptos tienes grietas queremos saber si son de riesgo</t>
  </si>
  <si>
    <t>Claudia Patricia Arenas 313 595 9920</t>
  </si>
  <si>
    <t>Calle 10 # 21 47</t>
  </si>
  <si>
    <t>Grieta leve</t>
  </si>
  <si>
    <t>Beatriz Campo 
316 319 6037</t>
  </si>
  <si>
    <t>Carrera 36d #12 oeste - 143</t>
  </si>
  <si>
    <t>Daño estructural 5 torres de 5 apartamentos</t>
  </si>
  <si>
    <t>Requiere una visita para saber si se habita el edificio - Katerine Cardona 3165229005</t>
  </si>
  <si>
    <t>Carrera 59# 1-10</t>
  </si>
  <si>
    <t>Mirador de Guadalupe</t>
  </si>
  <si>
    <t>Cada apartamento presenta grietas fuertes internas y de fachada, 3 familias viven alli</t>
  </si>
  <si>
    <t>Vanessa Tamayo 300 8780103</t>
  </si>
  <si>
    <t>Calle 14 #42-12</t>
  </si>
  <si>
    <t>Rosalba</t>
  </si>
  <si>
    <t>Techo parcialmente caido, muros/paredes agrietados</t>
  </si>
  <si>
    <t>Alexander Jiménez 3154661329</t>
  </si>
  <si>
    <t>Avenida 4 con 37 A</t>
  </si>
  <si>
    <t>prados del norte</t>
  </si>
  <si>
    <t>Avenida 3H con Calle 37 (prados del Norte)</t>
  </si>
  <si>
    <t>CAlle 10 #12-63</t>
  </si>
  <si>
    <t>Edificio Cuellar</t>
  </si>
  <si>
    <t>Estado grave, residentes actualmente durmiendo en la calle, son casi 20</t>
  </si>
  <si>
    <t>Pomeo Uribe 3146670978</t>
  </si>
  <si>
    <t>Calle 10 #12-69</t>
  </si>
  <si>
    <t>Edificio amarillo al lado</t>
  </si>
  <si>
    <t>Calle 39 N avenida 36 Esquina entre 3H y 36 (la juana)</t>
  </si>
  <si>
    <t>Calle 12 A Norte 6N 50 (bloque 3 apto 902)</t>
  </si>
  <si>
    <t>Antonio nariño</t>
  </si>
  <si>
    <t>Calle 42 # 7 - 49</t>
  </si>
  <si>
    <t>Calle 8 A No. 42-56</t>
  </si>
  <si>
    <t>Edificio Multifamiliar Katrina</t>
  </si>
  <si>
    <t>Grietas considerables en todo el edificio</t>
  </si>
  <si>
    <t>Carolina Arroyabe 310 6713113</t>
  </si>
  <si>
    <t>Carrera 27 No. 4 Oeste-74</t>
  </si>
  <si>
    <t>Edificio Tejares</t>
  </si>
  <si>
    <t>Grieta grande en la parte externa</t>
  </si>
  <si>
    <t>La Selva</t>
  </si>
  <si>
    <t>Cl. 13c #49-15</t>
  </si>
  <si>
    <t>Edificio Tribeca</t>
  </si>
  <si>
    <t>Bryan Taborda 310 3782035, es arrendatario en apto 1008 torre 1, y esta haciendo el reporte para todo el edificio de forma independiente</t>
  </si>
  <si>
    <t>Calle 26 norte #6-13</t>
  </si>
  <si>
    <t>Edificio meca</t>
  </si>
  <si>
    <t>Grietas balcon inclinado hacia delante</t>
  </si>
  <si>
    <t>Ana Lucia Holande
311 3897225</t>
  </si>
  <si>
    <t>Calle 2c # 66b -47</t>
  </si>
  <si>
    <t>Grietas en la vivienda</t>
  </si>
  <si>
    <t>El Vallado</t>
  </si>
  <si>
    <t>Carrea 38 # 55 a 29</t>
  </si>
  <si>
    <t>Casa de 4 pisos</t>
  </si>
  <si>
    <t>Se rompió ubo de agua, paredes agrietadas a punto de caerse y baños dañados</t>
  </si>
  <si>
    <t>Diego Miranda 
315 462 0342 / 315 543 2557</t>
  </si>
  <si>
    <t>Primero de Mayo</t>
  </si>
  <si>
    <t>Calle 12A-No.57-21CR Palmar de Coomeva II</t>
  </si>
  <si>
    <t>grietas en toda la estructura, riesgo de colapso, evacuado, esperando concepto tecnico de riesgo</t>
  </si>
  <si>
    <t>Maria Clemencia Sandoval- Adulto Mayor - 315 4454854</t>
  </si>
  <si>
    <t>Calle 7 oeste avenida 43B-33</t>
  </si>
  <si>
    <t>Al frente del Fruver</t>
  </si>
  <si>
    <t>Grietas en el 100% de la estructura</t>
  </si>
  <si>
    <t>Oscar Dario Sepulvedad-3147467273</t>
  </si>
  <si>
    <t>Calle 3 oeste # 94A-35</t>
  </si>
  <si>
    <t>Sector Algarrobos</t>
  </si>
  <si>
    <t>Caida de techo y paredes, al borde del colapso total</t>
  </si>
  <si>
    <t>avenida Guadalupe # 2-157</t>
  </si>
  <si>
    <t>Edificio Sottomonte</t>
  </si>
  <si>
    <t>Grave agrietamiento en estructura, riesgo de colapso, evacuado</t>
  </si>
  <si>
    <t>willian Gonzales hijo del afectado (hda Mpl), sin mas datos</t>
  </si>
  <si>
    <t>Calle 2 # 66B-87</t>
  </si>
  <si>
    <t>Edificio Gracias a Dios</t>
  </si>
  <si>
    <t>Daño severo de la estructura, alto riesgo de colapso</t>
  </si>
  <si>
    <t>Katerine Marmolejo 3028405609</t>
  </si>
  <si>
    <t>Calle 72W # 28B1-06</t>
  </si>
  <si>
    <t>Fabrica de fajas</t>
  </si>
  <si>
    <t>Edificio inclinado con alto riesgo de colapsar sobre Guarderia</t>
  </si>
  <si>
    <t>Sin datos disponibles</t>
  </si>
  <si>
    <t>calle 2A 93A - 176</t>
  </si>
  <si>
    <t>La hacienda</t>
  </si>
  <si>
    <t>calle 13 A # 69-74</t>
  </si>
  <si>
    <t>Unidad la Castellana</t>
  </si>
  <si>
    <t>Daño Estructural</t>
  </si>
  <si>
    <t>Calle 9 # 27 - 60 Alameda</t>
  </si>
  <si>
    <t>Daño estructural, colapso parcial paredes de fachada</t>
  </si>
  <si>
    <t>Cl 12A #56-25</t>
  </si>
  <si>
    <t>unidad Santa María de Guadalupe</t>
  </si>
  <si>
    <t>daño estructural</t>
  </si>
  <si>
    <t>Calle 3 oeste No 94A35 Barrio alto Polvorines</t>
  </si>
  <si>
    <t>sector algarrobos</t>
  </si>
  <si>
    <t>daño estructural grave, vivienda inhabitable</t>
  </si>
  <si>
    <t>MEDIA</t>
  </si>
  <si>
    <t>Calle 12A-No.57-21</t>
  </si>
  <si>
    <t>CR Palmar de Coomeva II</t>
  </si>
  <si>
    <t>Daño estructural, 67 de 72 familias evacuadas</t>
  </si>
  <si>
    <t>Calle 8 # 42 - 55</t>
  </si>
  <si>
    <t>Daño estructural grave, edificio evacuado con riesgo de colapso</t>
  </si>
  <si>
    <t>Calle 51 # 8H - 10</t>
  </si>
  <si>
    <t>Carrera 42A1 #42-88</t>
  </si>
  <si>
    <t>daño estructural en columna de construccion de dos pisos</t>
  </si>
  <si>
    <t>Cra. 23 #8-07</t>
  </si>
  <si>
    <t>Reporte ciudadano -Yenny Ordóñez 311 3379067</t>
  </si>
  <si>
    <t>Calle 13 oeste # 55 - 72 Edificio Gualanday</t>
  </si>
  <si>
    <t>Daño en paredes y la base del edificio</t>
  </si>
  <si>
    <t>Reporte ciudadano - Diana Monroy 3004070945</t>
  </si>
  <si>
    <t>Calle 13c # 49 -15 conjunto multifamiliar triveca</t>
  </si>
  <si>
    <t>4 torres de 20 pisos son 540 apartamentos</t>
  </si>
  <si>
    <t>Reporte ciudadano - Martha Navia 3332635877</t>
  </si>
  <si>
    <t>El cedro</t>
  </si>
  <si>
    <t>Calle 7 # 30-21</t>
  </si>
  <si>
    <t>Cuenta con 3 psos nueve apartamentos con grietas</t>
  </si>
  <si>
    <t>Reporte ciudadano - Gustavo Lozano - 3006001020</t>
  </si>
  <si>
    <t>Santa Monica norte</t>
  </si>
  <si>
    <t>Avenida 6N #26N -36</t>
  </si>
  <si>
    <t>Casa de dos pisos</t>
  </si>
  <si>
    <t>El segundo piso se agrieto</t>
  </si>
  <si>
    <t>Reporte ciudadano - Viven dos personas revisar - Luis Felipe Ballecilla 3188990666</t>
  </si>
  <si>
    <t>Carrera 2b # 78 -03</t>
  </si>
  <si>
    <t>Edificio de tres</t>
  </si>
  <si>
    <t>Todos los pisos estan afectados con grietas son 2 apartamentos por psios</t>
  </si>
  <si>
    <t>Reporte ciudadano - Wilmer Valencia 3106171719</t>
  </si>
  <si>
    <t>Casas</t>
  </si>
  <si>
    <t>Carrera 97 #2a -50</t>
  </si>
  <si>
    <t>Son varias casas con grietas y afectaciones estructurales</t>
  </si>
  <si>
    <t>Reporte ciudadano - Gloria Giraldo 3207093529</t>
  </si>
  <si>
    <t>Fachada y gradas agrietadas</t>
  </si>
  <si>
    <t>afectación estructural</t>
  </si>
  <si>
    <t>Reporte ciudadano - Sara Duque Naranjo 3058988977</t>
  </si>
  <si>
    <t>Calle 51 norte # 3 AN 175</t>
  </si>
  <si>
    <t>Edificio germel</t>
  </si>
  <si>
    <t>Pedro pablo Ateortua 
316 869 6546
Ruben Dario Lozano 
310 894 2874</t>
  </si>
  <si>
    <t>Carrera 100 oeste #1B-26</t>
  </si>
  <si>
    <t>ALTOS DE SANTA ELENA</t>
  </si>
  <si>
    <t>DAÑOS EN PAREDES DE LA SALA EL PATIO COCINA NOS PIDIERON EVACUAR</t>
  </si>
  <si>
    <t>MARTHA LUCÍA CASTILLO 3137367169</t>
  </si>
  <si>
    <t>Pendeiente</t>
  </si>
  <si>
    <t>El edificio es 5 pisos con 4 apartamentos - preesenta grietas y problemas en la base del edificio</t>
  </si>
  <si>
    <t>Reporte ciudadano - Alaba Cecilia Lenis 3208556225</t>
  </si>
  <si>
    <t>Calle 72 P # 26 H 3 - 58</t>
  </si>
  <si>
    <t>charco azul el pondaje bloque 2 303</t>
  </si>
  <si>
    <t>Presenta grietas. rejas movidas y sin poder cerrar.</t>
  </si>
  <si>
    <t>Afectacion estructural.</t>
  </si>
  <si>
    <t>Milena Palacio 321 508 5974</t>
  </si>
  <si>
    <t>Calle 4b # 35 - 19 Edificio amarillo</t>
  </si>
  <si>
    <t>El edificio es 5 pisos con 5 apartamentos y 5 oficinas - presenta grietas y problemas en la base del edificio</t>
  </si>
  <si>
    <t>Carrera 38 # 6-58</t>
  </si>
  <si>
    <t>Colapso el techo y un muro
Paredes agrietadas</t>
  </si>
  <si>
    <t>Lady Hinojosa Grajales- habitante 320 381 4667
321 898 6050</t>
  </si>
  <si>
    <t>Carrera 28 # 7 -47</t>
  </si>
  <si>
    <t>Se le callo el techo y los pisos estan donde unos vecinos</t>
  </si>
  <si>
    <t>Reporte ciudadano - Angela Liliana Campo 3215871870 - 3104539750</t>
  </si>
  <si>
    <t>Edificios</t>
  </si>
  <si>
    <t>Carrera 27 #5B-29</t>
  </si>
  <si>
    <t>edificio de 10 apartamentos. 4 de ellos bien afectados. El primer piso agrietados pero los 3 y 4 están las paredes acabadas se cayó la pared de baños. Azulejos. El sótano está intacto.</t>
  </si>
  <si>
    <t>afectacion estructural</t>
  </si>
  <si>
    <t>Patricia Cardona 3128345988, estan alojados en otra parte</t>
  </si>
  <si>
    <t>Carrera 23d # 10a - 02</t>
  </si>
  <si>
    <t>Al lado de la iglesia de colseguros</t>
  </si>
  <si>
    <t>Casa de dos pisos, tiene grietas</t>
  </si>
  <si>
    <t>Reporte ciudadano - Luis Fernanda Gonzalez 3043919767</t>
  </si>
  <si>
    <t>Carrera 42 # 6-29</t>
  </si>
  <si>
    <t>Torres de Santiago de Cali</t>
  </si>
  <si>
    <t>Daño estructural en vigas y muros</t>
  </si>
  <si>
    <t>Afectacion estructural</t>
  </si>
  <si>
    <t>Administradora Sandra Milena Zuluaga - Cel: 300 863 3441</t>
  </si>
  <si>
    <t>Avenida las americas # 22n _45 fondo nacional del ahorro</t>
  </si>
  <si>
    <t>Grietas en las peredes y se callo un techo en la parte de atras</t>
  </si>
  <si>
    <t>Reporte ciudadano Diana Maria Omen - 3005117287</t>
  </si>
  <si>
    <t>Hotel</t>
  </si>
  <si>
    <t>Hotel/Edificio</t>
  </si>
  <si>
    <t>El edificio tiene grietas, paredes rajadas</t>
  </si>
  <si>
    <t>Nicolas Romero 3124680618</t>
  </si>
  <si>
    <t>Carrera 56 # 5 -80</t>
  </si>
  <si>
    <t>Al lado del magdonal</t>
  </si>
  <si>
    <t>Grietas en las peredes, daños visibles en estructura</t>
  </si>
  <si>
    <t>Jorge eliecer gaitan</t>
  </si>
  <si>
    <t>Calle 71 a # 2 C 68</t>
  </si>
  <si>
    <t>Pared de tercer piso colapsada y escaleras dañadas.</t>
  </si>
  <si>
    <t>Amanda valencia
316 087 2204</t>
  </si>
  <si>
    <t>Carrera 24 #7-71</t>
  </si>
  <si>
    <t>Negocio en 2ndo Piso</t>
  </si>
  <si>
    <t>problemas en la estructura del inmueble tenemos paredes con grietas</t>
  </si>
  <si>
    <t>Monica Hurtado 3218787178</t>
  </si>
  <si>
    <t>Nor oriente</t>
  </si>
  <si>
    <t>Sin atender</t>
  </si>
  <si>
    <t>Centro-sur</t>
  </si>
  <si>
    <t>Cra 16 #9-30</t>
  </si>
  <si>
    <t>Terraza se cayó muro, 2 centímetros, agrietado terraza, grietas Estructurales en toda la vivienda, vivienda de 2 pisos y terraza</t>
  </si>
  <si>
    <t>320 623 6981 Gloria esperanza giraldo</t>
  </si>
  <si>
    <t>parroquia</t>
  </si>
  <si>
    <t>Carrera 50B con Avenida 12 Oeste</t>
  </si>
  <si>
    <t>capilla San antonio Nonato</t>
  </si>
  <si>
    <t>daño estructural en torre que tiene unas campanas con más de 100 kilos, con casas al rededor</t>
  </si>
  <si>
    <t>afetacion estructural</t>
  </si>
  <si>
    <t>Nueva Granada</t>
  </si>
  <si>
    <t>Calle 4b #39-47</t>
  </si>
  <si>
    <t>Casa, 2o piso</t>
  </si>
  <si>
    <t>una pared de la casa vecina cayo sobre el techo y este ocaciono el colapso del mismo, aun no se ha caido del todo pero esta apunto de hacerlo</t>
  </si>
  <si>
    <t>Horson Quintero Quintero 3154906370</t>
  </si>
  <si>
    <t>Calle 12 # 39-40</t>
  </si>
  <si>
    <t>unidad residencial Alhambra AB, torre 6</t>
  </si>
  <si>
    <t>las escaleras se ven con mucho daño y mucha grieta</t>
  </si>
  <si>
    <t>ARacely Otero Leyton 3122696942</t>
  </si>
  <si>
    <t>Avenida 5B Norte # 64-80 Apartamento 402 Torre A</t>
  </si>
  <si>
    <t>Unidad Balcón de las Flores</t>
  </si>
  <si>
    <t>Grietas en paredes y muros</t>
  </si>
  <si>
    <t>Afectación Estructural</t>
  </si>
  <si>
    <t>Alfredo Nicolás Olivar Cardozo 3148139989</t>
  </si>
  <si>
    <t>Calle 5B #52A - 5</t>
  </si>
  <si>
    <t>daño estructural -grietas</t>
  </si>
  <si>
    <t>Cra 36b #5-127</t>
  </si>
  <si>
    <t>Vivienda de dos pisos, Se cayó la culata del vecino en el techo del ciudadano, un herido golpe en la cabeza con heridas leves pero atendidos medicamente, un segundo afectado con golpes en el cuerpo pero son lesiones graves</t>
  </si>
  <si>
    <t>321 242 1905 Walter López</t>
  </si>
  <si>
    <t>Carrera 48 # 4-163</t>
  </si>
  <si>
    <t>edificio multiusos</t>
  </si>
  <si>
    <t>daño estructural, con caida de paredes en interiores y zona de parqueaderos</t>
  </si>
  <si>
    <t>323 5806544 Yuliana Florez</t>
  </si>
  <si>
    <t>ALTO</t>
  </si>
  <si>
    <t>Calle 13 # 13 -86</t>
  </si>
  <si>
    <t>Edificio de 4 pisos</t>
  </si>
  <si>
    <t xml:space="preserve">Del 3 al 1 hay dilatacion de las columnas a las paredes con grietas, el 4 piso se callo la fachada quedo colgando con peligro inminente </t>
  </si>
  <si>
    <t>Reporte ciudadano - Tania Correa 3505798080</t>
  </si>
  <si>
    <t>Edifico</t>
  </si>
  <si>
    <t>Carrera 12 D 30 08</t>
  </si>
  <si>
    <t>Abajo es un local y arriba 4 apartemanetos</t>
  </si>
  <si>
    <t>Viga doblada, grieta leve, viga en segundo piso fracturada, marcos de puerta en cuarto piso dañados.
Actualmente estna viviendo ahí, hay menores de edad.</t>
  </si>
  <si>
    <t>Karen Egidi 
310 867 05 89
Nazareth cabezas (secretaria)
314 730 6885</t>
  </si>
  <si>
    <t>Prioritaria</t>
  </si>
  <si>
    <t>Carrera 62 #2A-96</t>
  </si>
  <si>
    <t>Puente Palma</t>
  </si>
  <si>
    <t>Daños graves en fachada</t>
  </si>
  <si>
    <t>Informacion compartida internamente</t>
  </si>
  <si>
    <t>Calle 13A # 39-51</t>
  </si>
  <si>
    <t>presenta unas grietas muy fuertes y columnas averiadas</t>
  </si>
  <si>
    <t>María Consuelo Quintero 315 5485776</t>
  </si>
  <si>
    <t>Carrera 51 # 8h-10</t>
  </si>
  <si>
    <t>CASCADAS DE LA CAROLINA</t>
  </si>
  <si>
    <t>están destruidos y afectados 6 de 8 aptos</t>
  </si>
  <si>
    <t>Erika Andrea Azcarate 3174024161</t>
  </si>
  <si>
    <t xml:space="preserve">Carrera 42A1 #42-88  B// union de vivienda popular </t>
  </si>
  <si>
    <t xml:space="preserve">BAJO </t>
  </si>
  <si>
    <t xml:space="preserve">Sur </t>
  </si>
  <si>
    <t>La alameda</t>
  </si>
  <si>
    <t xml:space="preserve">Edifico </t>
  </si>
  <si>
    <t>Calle 8 22 87</t>
  </si>
  <si>
    <t xml:space="preserve">Edifico de 5 pisos </t>
  </si>
  <si>
    <t xml:space="preserve">Grietas leves </t>
  </si>
  <si>
    <t>Luz Esperanza Bravo 
320 681 2598</t>
  </si>
  <si>
    <t>Mariano Ramos</t>
  </si>
  <si>
    <t>Call 42 a cr 47 b 41 marianos ramos</t>
  </si>
  <si>
    <t>vivienda</t>
  </si>
  <si>
    <t>daño estructural, con caida parcial de techo y de pared</t>
  </si>
  <si>
    <t>313 6202232</t>
  </si>
  <si>
    <t>calle 63 #23-36 Nueva floresta</t>
  </si>
  <si>
    <t>dañoe estructural, caida de pared en techo de vivienda</t>
  </si>
  <si>
    <t xml:space="preserve">3207860761
Paola Andrea Parra Sánchez </t>
  </si>
  <si>
    <t>CRA 43A # 13-77 barrio Guabal</t>
  </si>
  <si>
    <t>daño en estructura, con caida parcial de pared y techo en parte trasera</t>
  </si>
  <si>
    <t>Clara victoria Calderón Vega
3165058528</t>
  </si>
  <si>
    <t>calle 5B1 29-51</t>
  </si>
  <si>
    <t>Edificio Los Mangos</t>
  </si>
  <si>
    <t>afectaciones en vigas y columnas en la parte interna</t>
  </si>
  <si>
    <t>Horacio Parra 315 5511934</t>
  </si>
  <si>
    <t>Calle 2 #66B-93</t>
  </si>
  <si>
    <t>Gloria Elena Garcia Garcia CC 66.870.579</t>
  </si>
  <si>
    <t>daño estructural por desprendimiento parcial de muros</t>
  </si>
  <si>
    <t>afectacion estructural en riesgo</t>
  </si>
  <si>
    <t>rural</t>
  </si>
  <si>
    <t>Vereda las pilas del cabuyal casa 15 b</t>
  </si>
  <si>
    <t>Luz Elena Quintana Duque Celular 3216914175</t>
  </si>
  <si>
    <t>Luz Elena Quintana Duque
Celular 3216914175
Vereda las pilas del cabuyal casa 15 b
Urgente Visita</t>
  </si>
  <si>
    <t>Centrica</t>
  </si>
  <si>
    <t>Calle 11 # 13-79</t>
  </si>
  <si>
    <t>colapso del techo</t>
  </si>
  <si>
    <t>Fernando Yusti Montero 3206110776</t>
  </si>
  <si>
    <t>Calle 48Nte #4A-80</t>
  </si>
  <si>
    <t>Calle 9 3-38</t>
  </si>
  <si>
    <t xml:space="preserve">Hotel </t>
  </si>
  <si>
    <t>Grietas en paredes</t>
  </si>
  <si>
    <t xml:space="preserve">Afectación estructural </t>
  </si>
  <si>
    <t>Reporte ciudadano Cel 316 3498900</t>
  </si>
  <si>
    <t>Calle 4ta # 58-70 cuarto de legua edificio Mariana lloreda</t>
  </si>
  <si>
    <t>edificio mariano lloreda</t>
  </si>
  <si>
    <t>Calle 4ta # 58-70 cuarto de legua edificio Mariana lloreda de 7 pisos requiere valoración contacto: 3113330588- 3155202535 Jairo Otero</t>
  </si>
  <si>
    <t xml:space="preserve">Carrera 26T #73-136  </t>
  </si>
  <si>
    <t xml:space="preserve">Carrera 26T #73-136 Alfonso Bonilla Aragón. </t>
  </si>
  <si>
    <t>daño estructural en paredes, vigas y techo</t>
  </si>
  <si>
    <t xml:space="preserve">afectacion estructural </t>
  </si>
  <si>
    <t>Sandra Mónica Cabezas Soto Teléfono 316 5851857</t>
  </si>
  <si>
    <t xml:space="preserve">Avenida 2AN # 39- 213 </t>
  </si>
  <si>
    <t>Avenida 2AN # 39- 213 barrio Vipasa
Multifamiliar Ochoa</t>
  </si>
  <si>
    <t xml:space="preserve">Edificio </t>
  </si>
  <si>
    <t>Calle 99 39 00</t>
  </si>
  <si>
    <t xml:space="preserve">Edificio 5 pisos </t>
  </si>
  <si>
    <t>Grietas, escaleras deterioradas, grietas en fachas, internanmente puertas y ventanas colapsadas.</t>
  </si>
  <si>
    <t>Gloria Cerquerea 
312 887 3817</t>
  </si>
  <si>
    <t xml:space="preserve">norte </t>
  </si>
  <si>
    <t xml:space="preserve">casa </t>
  </si>
  <si>
    <t xml:space="preserve">Calle 64 1 ibis -02 B//la rivera guayacanes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</si>
</sst>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65">
    <font>
      <sz val="11.0"/>
      <color theme="1"/>
      <name val="Aptos Narrow"/>
      <scheme val="minor"/>
    </font>
    <font>
      <b/>
      <sz val="12.0"/>
      <color theme="1"/>
      <name val="Arial"/>
    </font>
    <font>
      <sz val="11.0"/>
      <color theme="1"/>
      <name val="Aptos Narrow"/>
    </font>
    <font>
      <sz val="11.0"/>
      <color theme="1"/>
      <name val="Arial"/>
    </font>
    <font>
      <color theme="1"/>
      <name val="Arial"/>
    </font>
    <font>
      <b/>
      <color rgb="FFFF0000"/>
      <name val="Arial"/>
    </font>
    <font>
      <color theme="1"/>
      <name val="Aptos Narrow"/>
      <scheme val="minor"/>
    </font>
    <font>
      <sz val="13.0"/>
      <color theme="1"/>
      <name val="Aptos Narrow"/>
      <scheme val="minor"/>
    </font>
    <font>
      <b/>
      <sz val="18.0"/>
      <color theme="1"/>
      <name val="Arial"/>
    </font>
    <font>
      <i/>
      <color rgb="FF666666"/>
      <name val="Arial"/>
    </font>
    <font>
      <color rgb="FFFFFFFF"/>
      <name val="Arial"/>
    </font>
    <font>
      <b/>
      <sz val="13.0"/>
      <color theme="1"/>
      <name val="Arial"/>
    </font>
    <font>
      <b/>
      <sz val="13.0"/>
      <color rgb="FFFFFFFF"/>
      <name val="Arial"/>
    </font>
    <font>
      <sz val="13.0"/>
      <color theme="1"/>
      <name val="Arial"/>
    </font>
    <font>
      <b/>
      <color rgb="FFFFFFFF"/>
      <name val="Arial"/>
    </font>
    <font>
      <b/>
      <sz val="20.0"/>
      <color rgb="FFFFFFFF"/>
      <name val="Arial"/>
    </font>
    <font>
      <color rgb="FF000000"/>
      <name val="Arial"/>
    </font>
    <font>
      <b/>
      <sz val="17.0"/>
      <color theme="1"/>
      <name val="Arial"/>
    </font>
    <font/>
    <font>
      <b/>
      <sz val="14.0"/>
      <color theme="1"/>
      <name val="Arial"/>
    </font>
    <font>
      <b/>
      <sz val="19.0"/>
      <color theme="1"/>
      <name val="Arial"/>
    </font>
    <font>
      <sz val="21.0"/>
      <color theme="1"/>
      <name val="Arial"/>
    </font>
    <font>
      <strike/>
      <color rgb="FF000000"/>
      <name val="Arial"/>
    </font>
    <font>
      <strike/>
      <color rgb="FFFFFFFF"/>
      <name val="Arial"/>
    </font>
    <font>
      <strike/>
      <sz val="11.0"/>
      <color theme="1"/>
      <name val="Arial"/>
    </font>
    <font>
      <i/>
      <color theme="1"/>
      <name val="Arial"/>
    </font>
    <font>
      <sz val="9.0"/>
      <color theme="1"/>
      <name val="Arial"/>
    </font>
    <font>
      <b/>
      <sz val="11.0"/>
      <color rgb="FFFFFFFF"/>
      <name val="Arial"/>
    </font>
    <font>
      <b/>
      <color rgb="FFFFFFFF"/>
      <name val="Aptos Narrow"/>
      <scheme val="minor"/>
    </font>
    <font>
      <b/>
      <sz val="11.0"/>
      <color theme="1"/>
      <name val="Arial"/>
    </font>
    <font>
      <strike/>
      <color theme="1"/>
      <name val="Arial"/>
    </font>
    <font>
      <sz val="9.0"/>
      <color rgb="FF002D60"/>
      <name val="Calibri"/>
    </font>
    <font>
      <sz val="8.0"/>
      <color theme="1"/>
      <name val="Calibri"/>
    </font>
    <font>
      <sz val="8.0"/>
      <color rgb="FF00527C"/>
      <name val="Calibri"/>
    </font>
    <font>
      <sz val="8.0"/>
      <color theme="1"/>
      <name val="&quot;Arial MT&quot;"/>
    </font>
    <font>
      <sz val="8.0"/>
      <color rgb="FF4B0000"/>
      <name val="Calibri"/>
    </font>
    <font>
      <sz val="8.0"/>
      <color rgb="FF0056AA"/>
      <name val="&quot;Arial MT&quot;"/>
    </font>
    <font>
      <sz val="8.0"/>
      <color rgb="FF996D66"/>
      <name val="Calibri"/>
    </font>
    <font>
      <sz val="9.0"/>
      <color theme="1"/>
      <name val="Calibri"/>
    </font>
    <font>
      <sz val="8.0"/>
      <color rgb="FF0056AA"/>
      <name val="Calibri"/>
    </font>
    <font>
      <sz val="9.0"/>
      <color theme="1"/>
      <name val="&quot;Arial MT&quot;"/>
    </font>
    <font>
      <sz val="8.0"/>
      <color rgb="FF6D99FF"/>
      <name val="Calibri"/>
    </font>
    <font>
      <color theme="0"/>
      <name val="Arial"/>
    </font>
    <font>
      <b/>
      <color theme="0"/>
      <name val="Arial"/>
    </font>
    <font>
      <sz val="11.0"/>
      <color theme="0"/>
      <name val="Arial"/>
    </font>
    <font>
      <sz val="11.0"/>
      <color rgb="FF000000"/>
      <name val="Arial"/>
    </font>
    <font>
      <b/>
      <color theme="1"/>
      <name val="Arial"/>
    </font>
    <font>
      <sz val="11.0"/>
      <color rgb="FFFFFFFF"/>
      <name val="Aptos Narrow"/>
    </font>
    <font>
      <sz val="11.0"/>
      <color rgb="FFFFFFFF"/>
      <name val="Arial"/>
    </font>
    <font>
      <strike/>
      <sz val="11.0"/>
      <color theme="1"/>
      <name val="Aptos Narrow"/>
    </font>
    <font>
      <sz val="11.0"/>
      <color rgb="FF000000"/>
      <name val="Aptos Narrow"/>
    </font>
    <font>
      <color rgb="FFFF0000"/>
      <name val="Arial"/>
    </font>
    <font>
      <b/>
      <sz val="11.0"/>
      <color rgb="FFFF0000"/>
      <name val="Arial"/>
    </font>
    <font>
      <b/>
      <sz val="20.0"/>
      <color theme="1"/>
      <name val="Arial"/>
    </font>
    <font>
      <sz val="19.0"/>
      <color theme="1"/>
      <name val="Arial"/>
    </font>
    <font>
      <sz val="11.0"/>
      <color rgb="FF0A0A0A"/>
      <name val="Arial"/>
    </font>
    <font>
      <sz val="12.0"/>
      <color rgb="FF0A0A0A"/>
      <name val="Arial"/>
    </font>
    <font>
      <b/>
      <sz val="16.0"/>
      <color theme="1"/>
      <name val="Arial"/>
    </font>
    <font>
      <u/>
      <color rgb="FF0000FF"/>
      <name val="Arial"/>
    </font>
    <font>
      <sz val="11.0"/>
      <color rgb="FF000000"/>
      <name val="&quot;Aptos Narrow&quot;"/>
    </font>
    <font>
      <sz val="10.0"/>
      <color rgb="FF000000"/>
      <name val="Helvetica"/>
    </font>
    <font>
      <sz val="13.0"/>
      <color rgb="FF1F1F1F"/>
      <name val="&quot;Google Sans Flex&quot;"/>
    </font>
    <font>
      <b/>
      <color theme="1"/>
      <name val="Aptos Narrow"/>
      <scheme val="minor"/>
    </font>
    <font>
      <sz val="12.0"/>
      <color theme="1"/>
      <name val="Arial"/>
    </font>
    <font>
      <sz val="14.0"/>
      <color theme="1"/>
      <name val="Arial"/>
    </font>
  </fonts>
  <fills count="18">
    <fill>
      <patternFill patternType="none"/>
    </fill>
    <fill>
      <patternFill patternType="lightGray"/>
    </fill>
    <fill>
      <patternFill patternType="solid">
        <fgColor rgb="FFFF9900"/>
        <bgColor rgb="FFFF9900"/>
      </patternFill>
    </fill>
    <fill>
      <patternFill patternType="solid">
        <fgColor rgb="FF9900FF"/>
        <bgColor rgb="FF9900FF"/>
      </patternFill>
    </fill>
    <fill>
      <patternFill patternType="solid">
        <fgColor rgb="FFFF0000"/>
        <bgColor rgb="FFFF0000"/>
      </patternFill>
    </fill>
    <fill>
      <patternFill patternType="solid">
        <fgColor rgb="FF444444"/>
        <bgColor rgb="FF444444"/>
      </patternFill>
    </fill>
    <fill>
      <patternFill patternType="solid">
        <fgColor rgb="FFCC0000"/>
        <bgColor rgb="FFCC0000"/>
      </patternFill>
    </fill>
    <fill>
      <patternFill patternType="solid">
        <fgColor rgb="FF2E7D32"/>
        <bgColor rgb="FF2E7D32"/>
      </patternFill>
    </fill>
    <fill>
      <patternFill patternType="solid">
        <fgColor rgb="FF000000"/>
        <bgColor rgb="FF000000"/>
      </patternFill>
    </fill>
    <fill>
      <patternFill patternType="solid">
        <fgColor rgb="FFB6D7A8"/>
        <bgColor rgb="FFB6D7A8"/>
      </patternFill>
    </fill>
    <fill>
      <patternFill patternType="solid">
        <fgColor rgb="FFFFFF00"/>
        <bgColor rgb="FFFFFF00"/>
      </patternFill>
    </fill>
    <fill>
      <patternFill patternType="solid">
        <fgColor rgb="FFD9D9D9"/>
        <bgColor rgb="FFD9D9D9"/>
      </patternFill>
    </fill>
    <fill>
      <patternFill patternType="solid">
        <fgColor rgb="FFDDDDDD"/>
        <bgColor rgb="FFDDDDDD"/>
      </patternFill>
    </fill>
    <fill>
      <patternFill patternType="solid">
        <fgColor rgb="FFD9EAD3"/>
        <bgColor rgb="FFD9EAD3"/>
      </patternFill>
    </fill>
    <fill>
      <patternFill patternType="solid">
        <fgColor rgb="FFFFFFFF"/>
        <bgColor rgb="FFFFFFFF"/>
      </patternFill>
    </fill>
    <fill>
      <patternFill patternType="solid">
        <fgColor theme="1"/>
        <bgColor theme="1"/>
      </patternFill>
    </fill>
    <fill>
      <patternFill patternType="solid">
        <fgColor rgb="FF3C78D8"/>
        <bgColor rgb="FF3C78D8"/>
      </patternFill>
    </fill>
    <fill>
      <patternFill patternType="solid">
        <fgColor rgb="FFF2F0F0"/>
        <bgColor rgb="FFF2F0F0"/>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right/>
      <top/>
      <bottom/>
    </border>
  </borders>
  <cellStyleXfs count="1">
    <xf borderId="0" fillId="0" fontId="0" numFmtId="0" applyAlignment="1" applyFont="1"/>
  </cellStyleXfs>
  <cellXfs count="385">
    <xf borderId="0" fillId="0" fontId="0" numFmtId="0" xfId="0" applyAlignment="1" applyFont="1">
      <alignment readingOrder="0" shrinkToFit="0" vertical="bottom" wrapText="0"/>
    </xf>
    <xf borderId="0" fillId="0" fontId="1" numFmtId="0" xfId="0" applyAlignment="1" applyFont="1">
      <alignment horizontal="left" readingOrder="0" shrinkToFit="0" textRotation="0" vertical="center" wrapText="1"/>
    </xf>
    <xf borderId="0" fillId="0" fontId="1" numFmtId="0" xfId="0" applyAlignment="1" applyFont="1">
      <alignment horizontal="center" readingOrder="0" shrinkToFit="0" textRotation="0" vertical="center" wrapText="1"/>
    </xf>
    <xf borderId="0" fillId="0" fontId="1" numFmtId="0" xfId="0" applyAlignment="1" applyFont="1">
      <alignment horizontal="center" shrinkToFit="0" textRotation="0" wrapText="1"/>
    </xf>
    <xf borderId="0" fillId="0" fontId="1" numFmtId="0" xfId="0" applyAlignment="1" applyFont="1">
      <alignment horizontal="center" readingOrder="0" shrinkToFit="0" textRotation="0" wrapText="1"/>
    </xf>
    <xf borderId="0" fillId="0" fontId="1" numFmtId="0" xfId="0" applyAlignment="1" applyFont="1">
      <alignment horizontal="center" shrinkToFit="0" textRotation="0" vertical="bottom" wrapText="1"/>
    </xf>
    <xf borderId="0" fillId="0" fontId="2" numFmtId="0" xfId="0" applyFont="1"/>
    <xf borderId="0" fillId="2" fontId="3" numFmtId="0" xfId="0" applyAlignment="1" applyFill="1" applyFont="1">
      <alignment horizontal="left" readingOrder="0" shrinkToFit="0" textRotation="0" vertical="center" wrapText="1"/>
    </xf>
    <xf borderId="0" fillId="2" fontId="4" numFmtId="0" xfId="0" applyAlignment="1" applyFont="1">
      <alignment horizontal="left" readingOrder="0" shrinkToFit="0" textRotation="0" vertical="center" wrapText="1"/>
    </xf>
    <xf borderId="0" fillId="2" fontId="5" numFmtId="0" xfId="0" applyAlignment="1" applyFont="1">
      <alignment horizontal="center" readingOrder="0" shrinkToFit="0" vertical="center" wrapText="1"/>
    </xf>
    <xf borderId="0" fillId="2" fontId="4" numFmtId="0" xfId="0" applyAlignment="1" applyFont="1">
      <alignment horizontal="center" readingOrder="0" shrinkToFit="0" textRotation="0" vertical="center" wrapText="1"/>
    </xf>
    <xf borderId="0" fillId="3" fontId="3" numFmtId="0" xfId="0" applyAlignment="1" applyFill="1" applyFont="1">
      <alignment horizontal="center" readingOrder="0" shrinkToFit="0" textRotation="0" vertical="center" wrapText="1"/>
    </xf>
    <xf borderId="0" fillId="0" fontId="6" numFmtId="0" xfId="0" applyFont="1"/>
    <xf borderId="0" fillId="2" fontId="3" numFmtId="0" xfId="0" applyAlignment="1" applyFont="1">
      <alignment horizontal="center" readingOrder="0" shrinkToFit="0" textRotation="0" vertical="center" wrapText="1"/>
    </xf>
    <xf borderId="0" fillId="0" fontId="7" numFmtId="0" xfId="0" applyFont="1"/>
    <xf borderId="0" fillId="0" fontId="7" numFmtId="0" xfId="0" applyAlignment="1" applyFont="1">
      <alignment horizontal="center"/>
    </xf>
    <xf borderId="0" fillId="2" fontId="3" numFmtId="0" xfId="0" applyAlignment="1" applyFont="1">
      <alignment horizontal="left" shrinkToFit="0" textRotation="0" vertical="center" wrapText="1"/>
    </xf>
    <xf borderId="0" fillId="0" fontId="8" numFmtId="0" xfId="0" applyAlignment="1" applyFont="1">
      <alignment readingOrder="0" shrinkToFit="0" vertical="bottom" wrapText="0"/>
    </xf>
    <xf borderId="0" fillId="2" fontId="4" numFmtId="0" xfId="0" applyAlignment="1" applyFont="1">
      <alignment horizontal="left" shrinkToFit="0" textRotation="0" vertical="center" wrapText="1"/>
    </xf>
    <xf borderId="0" fillId="0" fontId="9" numFmtId="0" xfId="0" applyAlignment="1" applyFont="1">
      <alignment readingOrder="0" shrinkToFit="0" vertical="bottom" wrapText="0"/>
    </xf>
    <xf borderId="0" fillId="4" fontId="10" numFmtId="0" xfId="0" applyAlignment="1" applyFill="1" applyFont="1">
      <alignment horizontal="left" readingOrder="0" shrinkToFit="0" textRotation="0" vertical="center" wrapText="1"/>
    </xf>
    <xf borderId="0" fillId="0" fontId="11" numFmtId="0" xfId="0" applyAlignment="1" applyFont="1">
      <alignment horizontal="center" readingOrder="0" shrinkToFit="0" vertical="bottom" wrapText="0"/>
    </xf>
    <xf borderId="0" fillId="0" fontId="4" numFmtId="0" xfId="0" applyAlignment="1" applyFont="1">
      <alignment horizontal="left" shrinkToFit="0" textRotation="0" vertical="center" wrapText="1"/>
    </xf>
    <xf borderId="0" fillId="5" fontId="12" numFmtId="0" xfId="0" applyAlignment="1" applyFill="1" applyFont="1">
      <alignment readingOrder="0" shrinkToFit="0" vertical="bottom" wrapText="0"/>
    </xf>
    <xf borderId="0" fillId="5" fontId="12" numFmtId="0" xfId="0" applyAlignment="1" applyFont="1">
      <alignment horizontal="center" readingOrder="0" shrinkToFit="0" vertical="bottom" wrapText="0"/>
    </xf>
    <xf borderId="0" fillId="0" fontId="13" numFmtId="0" xfId="0" applyAlignment="1" applyFont="1">
      <alignment readingOrder="0" shrinkToFit="0" vertical="bottom" wrapText="0"/>
    </xf>
    <xf borderId="0" fillId="0" fontId="6" numFmtId="164" xfId="0" applyFont="1" applyNumberFormat="1"/>
    <xf borderId="0" fillId="3" fontId="4" numFmtId="0" xfId="0" applyAlignment="1" applyFont="1">
      <alignment horizontal="left" readingOrder="0" shrinkToFit="0" textRotation="0" vertical="center" wrapText="1"/>
    </xf>
    <xf borderId="0" fillId="3" fontId="5" numFmtId="0" xfId="0" applyAlignment="1" applyFont="1">
      <alignment horizontal="center" readingOrder="0" shrinkToFit="0" textRotation="0" vertical="center" wrapText="1"/>
    </xf>
    <xf borderId="0" fillId="6" fontId="14" numFmtId="0" xfId="0" applyAlignment="1" applyFill="1" applyFont="1">
      <alignment horizontal="center" readingOrder="0" shrinkToFit="0" vertical="bottom" wrapText="0"/>
    </xf>
    <xf borderId="0" fillId="3" fontId="4" numFmtId="0" xfId="0" applyAlignment="1" applyFont="1">
      <alignment horizontal="center" readingOrder="0" shrinkToFit="0" textRotation="0" vertical="center" wrapText="1"/>
    </xf>
    <xf borderId="0" fillId="0" fontId="14" numFmtId="0" xfId="0" applyAlignment="1" applyFont="1">
      <alignment horizontal="center" readingOrder="0" shrinkToFit="0" vertical="bottom" wrapText="0"/>
    </xf>
    <xf borderId="0" fillId="5" fontId="15" numFmtId="0" xfId="0" applyAlignment="1" applyFont="1">
      <alignment horizontal="center" readingOrder="0" shrinkToFit="0" vertical="bottom" wrapText="0"/>
    </xf>
    <xf borderId="0" fillId="3" fontId="4" numFmtId="0" xfId="0" applyAlignment="1" applyFont="1">
      <alignment horizontal="left" shrinkToFit="0" textRotation="0" vertical="center" wrapText="1"/>
    </xf>
    <xf borderId="0" fillId="6" fontId="15" numFmtId="0" xfId="0" applyAlignment="1" applyFont="1">
      <alignment horizontal="center" readingOrder="0" shrinkToFit="0" vertical="bottom" wrapText="0"/>
    </xf>
    <xf borderId="0" fillId="3" fontId="4" numFmtId="0" xfId="0" applyAlignment="1" applyFont="1">
      <alignment horizontal="center" shrinkToFit="0" textRotation="0" vertical="center" wrapText="1"/>
    </xf>
    <xf borderId="0" fillId="0" fontId="15" numFmtId="0" xfId="0" applyAlignment="1" applyFont="1">
      <alignment horizontal="center" readingOrder="0" shrinkToFit="0" vertical="bottom" wrapText="0"/>
    </xf>
    <xf borderId="0" fillId="2" fontId="11" numFmtId="0" xfId="0" applyAlignment="1" applyFont="1">
      <alignment horizontal="center" readingOrder="0" shrinkToFit="0" vertical="bottom" wrapText="0"/>
    </xf>
    <xf borderId="0" fillId="0" fontId="13" numFmtId="0" xfId="0" applyAlignment="1" applyFont="1">
      <alignment horizontal="center" readingOrder="0" shrinkToFit="0" vertical="bottom" wrapText="0"/>
    </xf>
    <xf borderId="0" fillId="0" fontId="4" numFmtId="0" xfId="0" applyAlignment="1" applyFont="1">
      <alignment horizontal="left" readingOrder="0" shrinkToFit="0" textRotation="0" vertical="center" wrapText="1"/>
    </xf>
    <xf borderId="0" fillId="3" fontId="11" numFmtId="0" xfId="0" applyAlignment="1" applyFont="1">
      <alignment horizontal="center" readingOrder="0" shrinkToFit="0" vertical="bottom" wrapText="0"/>
    </xf>
    <xf borderId="0" fillId="7" fontId="12" numFmtId="0" xfId="0" applyAlignment="1" applyFill="1" applyFont="1">
      <alignment horizontal="center" readingOrder="0" shrinkToFit="0" vertical="bottom" wrapText="0"/>
    </xf>
    <xf borderId="0" fillId="0" fontId="3" numFmtId="0" xfId="0" applyAlignment="1" applyFont="1">
      <alignment horizontal="left" readingOrder="0"/>
    </xf>
    <xf borderId="0" fillId="8" fontId="4" numFmtId="0" xfId="0" applyAlignment="1" applyFill="1" applyFont="1">
      <alignment horizontal="left" readingOrder="0" shrinkToFit="0" textRotation="0" vertical="center" wrapText="1"/>
    </xf>
    <xf borderId="0" fillId="8" fontId="10" numFmtId="0" xfId="0" applyAlignment="1" applyFont="1">
      <alignment horizontal="left" readingOrder="0" shrinkToFit="0" textRotation="0" vertical="center" wrapText="1"/>
    </xf>
    <xf borderId="0" fillId="9" fontId="11" numFmtId="0" xfId="0" applyAlignment="1" applyFill="1" applyFont="1">
      <alignment horizontal="center" readingOrder="0" shrinkToFit="0" vertical="bottom" wrapText="0"/>
    </xf>
    <xf borderId="0" fillId="10" fontId="11" numFmtId="0" xfId="0" applyAlignment="1" applyFill="1" applyFont="1">
      <alignment horizontal="center" readingOrder="0" shrinkToFit="0" vertical="bottom" wrapText="0"/>
    </xf>
    <xf borderId="0" fillId="4" fontId="11" numFmtId="0" xfId="0" applyAlignment="1" applyFont="1">
      <alignment horizontal="center" readingOrder="0" shrinkToFit="0" vertical="bottom" wrapText="0"/>
    </xf>
    <xf borderId="0" fillId="0" fontId="10" numFmtId="0" xfId="0" applyAlignment="1" applyFont="1">
      <alignment horizontal="left" readingOrder="0" shrinkToFit="0" textRotation="0" vertical="center" wrapText="1"/>
    </xf>
    <xf borderId="0" fillId="11" fontId="11" numFmtId="0" xfId="0" applyAlignment="1" applyFill="1" applyFont="1">
      <alignment horizontal="center" readingOrder="0" shrinkToFit="0" vertical="bottom" wrapText="0"/>
    </xf>
    <xf borderId="0" fillId="0" fontId="6" numFmtId="0" xfId="0" applyAlignment="1" applyFont="1">
      <alignment horizontal="center"/>
    </xf>
    <xf borderId="0" fillId="8" fontId="6" numFmtId="0" xfId="0" applyFont="1"/>
    <xf borderId="0" fillId="0" fontId="4" numFmtId="0" xfId="0" applyAlignment="1" applyFont="1">
      <alignment readingOrder="0"/>
    </xf>
    <xf borderId="0" fillId="3" fontId="16" numFmtId="0" xfId="0" applyAlignment="1" applyFont="1">
      <alignment horizontal="center" readingOrder="0" shrinkToFit="0" textRotation="0" vertical="center" wrapText="1"/>
    </xf>
    <xf borderId="1" fillId="0" fontId="17" numFmtId="0" xfId="0" applyAlignment="1" applyBorder="1" applyFont="1">
      <alignment horizontal="center" readingOrder="0"/>
    </xf>
    <xf borderId="2" fillId="0" fontId="18" numFmtId="0" xfId="0" applyBorder="1" applyFont="1"/>
    <xf borderId="3" fillId="0" fontId="18" numFmtId="0" xfId="0" applyBorder="1" applyFont="1"/>
    <xf borderId="4" fillId="0" fontId="19" numFmtId="0" xfId="0" applyAlignment="1" applyBorder="1" applyFont="1">
      <alignment horizontal="center" readingOrder="0" shrinkToFit="0" textRotation="0" wrapText="1"/>
    </xf>
    <xf borderId="1" fillId="0" fontId="19" numFmtId="0" xfId="0" applyAlignment="1" applyBorder="1" applyFont="1">
      <alignment horizontal="center" readingOrder="0" shrinkToFit="0" textRotation="0" wrapText="1"/>
    </xf>
    <xf borderId="4" fillId="0" fontId="19" numFmtId="0" xfId="0" applyAlignment="1" applyBorder="1" applyFont="1">
      <alignment horizontal="center" shrinkToFit="0" textRotation="0" wrapText="1"/>
    </xf>
    <xf borderId="4" fillId="10" fontId="19" numFmtId="0" xfId="0" applyAlignment="1" applyBorder="1" applyFont="1">
      <alignment horizontal="center" shrinkToFit="0" textRotation="0" wrapText="1"/>
    </xf>
    <xf borderId="4" fillId="0" fontId="20" numFmtId="0" xfId="0" applyAlignment="1" applyBorder="1" applyFont="1">
      <alignment horizontal="left" readingOrder="0" shrinkToFit="0" textRotation="0" vertical="center" wrapText="1"/>
    </xf>
    <xf borderId="1" fillId="0" fontId="21" numFmtId="0" xfId="0" applyAlignment="1" applyBorder="1" applyFont="1">
      <alignment horizontal="center" readingOrder="0"/>
    </xf>
    <xf borderId="0" fillId="8" fontId="22" numFmtId="0" xfId="0" applyAlignment="1" applyFont="1">
      <alignment horizontal="left" readingOrder="0" shrinkToFit="0" textRotation="0" vertical="center" wrapText="1"/>
    </xf>
    <xf borderId="4" fillId="0" fontId="20" numFmtId="0" xfId="0" applyAlignment="1" applyBorder="1" applyFont="1">
      <alignment horizontal="center" shrinkToFit="0" textRotation="0" vertical="center" wrapText="1"/>
    </xf>
    <xf borderId="0" fillId="8" fontId="23" numFmtId="0" xfId="0" applyAlignment="1" applyFont="1">
      <alignment horizontal="left" readingOrder="0" shrinkToFit="0" textRotation="0" vertical="center" wrapText="1"/>
    </xf>
    <xf borderId="4" fillId="10" fontId="20" numFmtId="0" xfId="0" applyAlignment="1" applyBorder="1" applyFont="1">
      <alignment horizontal="center" shrinkToFit="0" textRotation="0" vertical="center" wrapText="1"/>
    </xf>
    <xf borderId="4" fillId="10" fontId="20" numFmtId="0" xfId="0" applyAlignment="1" applyBorder="1" applyFont="1">
      <alignment horizontal="center" readingOrder="0" shrinkToFit="0" textRotation="0" vertical="center" wrapText="1"/>
    </xf>
    <xf borderId="0" fillId="8" fontId="24" numFmtId="0" xfId="0" applyAlignment="1" applyFont="1">
      <alignment shrinkToFit="0" textRotation="0" wrapText="1"/>
    </xf>
    <xf borderId="0" fillId="0" fontId="25" numFmtId="0" xfId="0" applyAlignment="1" applyFont="1">
      <alignment readingOrder="0"/>
    </xf>
    <xf borderId="0" fillId="8" fontId="24" numFmtId="0" xfId="0" applyAlignment="1" applyFont="1">
      <alignment horizontal="center" shrinkToFit="0" textRotation="0" wrapText="1"/>
    </xf>
    <xf borderId="0" fillId="8" fontId="24" numFmtId="0" xfId="0" applyAlignment="1" applyFont="1">
      <alignment horizontal="left" shrinkToFit="0" textRotation="0" wrapText="1"/>
    </xf>
    <xf borderId="1" fillId="0" fontId="4" numFmtId="0" xfId="0" applyAlignment="1" applyBorder="1" applyFont="1">
      <alignment horizontal="center" readingOrder="0"/>
    </xf>
    <xf borderId="0" fillId="0" fontId="25" numFmtId="0" xfId="0" applyAlignment="1" applyFont="1">
      <alignment horizontal="center" readingOrder="0"/>
    </xf>
    <xf borderId="0" fillId="0" fontId="1" numFmtId="0" xfId="0" applyAlignment="1" applyFont="1">
      <alignment readingOrder="0" shrinkToFit="0" vertical="bottom" wrapText="0"/>
    </xf>
    <xf borderId="0" fillId="0" fontId="26" numFmtId="0" xfId="0" applyAlignment="1" applyFont="1">
      <alignment readingOrder="0" shrinkToFit="0" vertical="bottom" wrapText="0"/>
    </xf>
    <xf borderId="0" fillId="5" fontId="27" numFmtId="0" xfId="0" applyAlignment="1" applyFont="1">
      <alignment horizontal="center" readingOrder="0" shrinkToFit="0" vertical="bottom" wrapText="0"/>
    </xf>
    <xf borderId="0" fillId="0" fontId="23" numFmtId="0" xfId="0" applyAlignment="1" applyFont="1">
      <alignment horizontal="left" readingOrder="0" shrinkToFit="0" textRotation="0" vertical="center" wrapText="1"/>
    </xf>
    <xf borderId="0" fillId="0" fontId="3" numFmtId="0" xfId="0" applyAlignment="1" applyFont="1">
      <alignment readingOrder="0" shrinkToFit="0" vertical="bottom" wrapText="0"/>
    </xf>
    <xf borderId="5" fillId="0" fontId="28" numFmtId="0" xfId="0" applyAlignment="1" applyBorder="1" applyFont="1">
      <alignment horizontal="center"/>
    </xf>
    <xf borderId="6" fillId="0" fontId="28" numFmtId="0" xfId="0" applyAlignment="1" applyBorder="1" applyFont="1">
      <alignment horizontal="center" readingOrder="0"/>
    </xf>
    <xf borderId="0" fillId="2" fontId="5" numFmtId="0" xfId="0" applyAlignment="1" applyFont="1">
      <alignment horizontal="center" readingOrder="0" shrinkToFit="0" textRotation="0" vertical="center" wrapText="1"/>
    </xf>
    <xf borderId="0" fillId="2" fontId="4" numFmtId="0" xfId="0" applyAlignment="1" applyFont="1">
      <alignment horizontal="center" shrinkToFit="0" textRotation="0" vertical="center" wrapText="1"/>
    </xf>
    <xf borderId="6" fillId="0" fontId="28" numFmtId="0" xfId="0" applyAlignment="1" applyBorder="1" applyFont="1">
      <alignment horizontal="center"/>
    </xf>
    <xf borderId="0" fillId="9" fontId="4" numFmtId="0" xfId="0" applyAlignment="1" applyFont="1">
      <alignment horizontal="left" readingOrder="0" shrinkToFit="0" textRotation="0" vertical="center" wrapText="1"/>
    </xf>
    <xf borderId="7" fillId="0" fontId="28" numFmtId="0" xfId="0" applyAlignment="1" applyBorder="1" applyFont="1">
      <alignment horizontal="center"/>
    </xf>
    <xf borderId="0" fillId="9" fontId="5" numFmtId="0" xfId="0" applyAlignment="1" applyFont="1">
      <alignment horizontal="center" readingOrder="0" shrinkToFit="0" textRotation="0" vertical="center" wrapText="1"/>
    </xf>
    <xf borderId="8" fillId="0" fontId="6" numFmtId="0" xfId="0" applyAlignment="1" applyBorder="1" applyFont="1">
      <alignment readingOrder="0"/>
    </xf>
    <xf borderId="0" fillId="9" fontId="4" numFmtId="0" xfId="0" applyAlignment="1" applyFont="1">
      <alignment horizontal="center" readingOrder="0" shrinkToFit="0" textRotation="0" vertical="center" wrapText="1"/>
    </xf>
    <xf borderId="9" fillId="0" fontId="6" numFmtId="0" xfId="0" applyAlignment="1" applyBorder="1" applyFont="1">
      <alignment readingOrder="0"/>
    </xf>
    <xf borderId="0" fillId="9" fontId="3" numFmtId="0" xfId="0" applyAlignment="1" applyFont="1">
      <alignment readingOrder="0"/>
    </xf>
    <xf borderId="9" fillId="0" fontId="6" numFmtId="0" xfId="0" applyBorder="1" applyFont="1"/>
    <xf borderId="0" fillId="9" fontId="4" numFmtId="0" xfId="0" applyAlignment="1" applyFont="1">
      <alignment horizontal="center" shrinkToFit="0" textRotation="0" vertical="center" wrapText="1"/>
    </xf>
    <xf borderId="0" fillId="9" fontId="4" numFmtId="0" xfId="0" applyAlignment="1" applyFont="1">
      <alignment horizontal="left" shrinkToFit="0" textRotation="0" vertical="center" wrapText="1"/>
    </xf>
    <xf borderId="10" fillId="0" fontId="6" numFmtId="0" xfId="0" applyBorder="1" applyFont="1"/>
    <xf borderId="0" fillId="3" fontId="5" numFmtId="0" xfId="0" applyAlignment="1" applyFont="1">
      <alignment horizontal="center" shrinkToFit="0" textRotation="0" vertical="center" wrapText="1"/>
    </xf>
    <xf borderId="0" fillId="12" fontId="29" numFmtId="0" xfId="0" applyAlignment="1" applyFill="1" applyFont="1">
      <alignment readingOrder="0" shrinkToFit="0" vertical="bottom" wrapText="0"/>
    </xf>
    <xf borderId="0" fillId="3" fontId="10" numFmtId="0" xfId="0" applyAlignment="1" applyFont="1">
      <alignment horizontal="left" readingOrder="0" shrinkToFit="0" textRotation="0" vertical="center" wrapText="1"/>
    </xf>
    <xf borderId="0" fillId="3" fontId="6" numFmtId="0" xfId="0" applyFont="1"/>
    <xf borderId="11" fillId="9" fontId="4" numFmtId="0" xfId="0" applyAlignment="1" applyBorder="1" applyFont="1">
      <alignment horizontal="center" readingOrder="0" shrinkToFit="0" textRotation="0" vertical="center" wrapText="1"/>
    </xf>
    <xf borderId="11" fillId="9" fontId="4" numFmtId="0" xfId="0" applyAlignment="1" applyBorder="1" applyFont="1">
      <alignment horizontal="left" readingOrder="0" shrinkToFit="0" textRotation="0" vertical="center" wrapText="1"/>
    </xf>
    <xf borderId="11" fillId="9" fontId="4" numFmtId="0" xfId="0" applyAlignment="1" applyBorder="1" applyFont="1">
      <alignment horizontal="left" readingOrder="0" shrinkToFit="0" vertical="center" wrapText="1"/>
    </xf>
    <xf borderId="11" fillId="9" fontId="4" numFmtId="0" xfId="0" applyAlignment="1" applyBorder="1" applyFont="1">
      <alignment horizontal="left" shrinkToFit="0" textRotation="0" vertical="center" wrapText="1"/>
    </xf>
    <xf borderId="11" fillId="9" fontId="4" numFmtId="0" xfId="0" applyAlignment="1" applyBorder="1" applyFont="1">
      <alignment horizontal="center" shrinkToFit="0" textRotation="0" vertical="center" wrapText="1"/>
    </xf>
    <xf borderId="0" fillId="4" fontId="14" numFmtId="0" xfId="0" applyAlignment="1" applyFont="1">
      <alignment horizontal="center" readingOrder="0" shrinkToFit="0" textRotation="0" vertical="center" wrapText="1"/>
    </xf>
    <xf borderId="0" fillId="4" fontId="10" numFmtId="0" xfId="0" applyAlignment="1" applyFont="1">
      <alignment horizontal="center" readingOrder="0" shrinkToFit="0" textRotation="0" vertical="center" wrapText="1"/>
    </xf>
    <xf borderId="0" fillId="3" fontId="10" numFmtId="0" xfId="0" applyAlignment="1" applyFont="1">
      <alignment horizontal="center" readingOrder="0" shrinkToFit="0" textRotation="0" vertical="center" wrapText="1"/>
    </xf>
    <xf borderId="0" fillId="4" fontId="10" numFmtId="0" xfId="0" applyAlignment="1" applyFont="1">
      <alignment horizontal="left" shrinkToFit="0" textRotation="0" vertical="center" wrapText="1"/>
    </xf>
    <xf borderId="0" fillId="8" fontId="30" numFmtId="0" xfId="0" applyAlignment="1" applyFont="1">
      <alignment horizontal="left" readingOrder="0" shrinkToFit="0" textRotation="0" vertical="center" wrapText="1"/>
    </xf>
    <xf borderId="0" fillId="0" fontId="30" numFmtId="0" xfId="0" applyAlignment="1" applyFont="1">
      <alignment horizontal="left" readingOrder="0" shrinkToFit="0" textRotation="0" vertical="center" wrapText="1"/>
    </xf>
    <xf borderId="0" fillId="3" fontId="16" numFmtId="0" xfId="0" applyAlignment="1" applyFont="1">
      <alignment horizontal="left" readingOrder="0" shrinkToFit="0" textRotation="0" vertical="center" wrapText="1"/>
    </xf>
    <xf borderId="0" fillId="3" fontId="16" numFmtId="0" xfId="0" applyAlignment="1" applyFont="1">
      <alignment horizontal="center" shrinkToFit="0" textRotation="0" vertical="center" wrapText="1"/>
    </xf>
    <xf borderId="0" fillId="3" fontId="16" numFmtId="0" xfId="0" applyAlignment="1" applyFont="1">
      <alignment horizontal="left" shrinkToFit="0" textRotation="0" vertical="center" wrapText="1"/>
    </xf>
    <xf borderId="0" fillId="9" fontId="16" numFmtId="0" xfId="0" applyAlignment="1" applyFont="1">
      <alignment horizontal="center" readingOrder="0" shrinkToFit="0" textRotation="0" vertical="center" wrapText="1"/>
    </xf>
    <xf borderId="0" fillId="9" fontId="16" numFmtId="0" xfId="0" applyAlignment="1" applyFont="1">
      <alignment horizontal="left" readingOrder="0" shrinkToFit="0" textRotation="0" vertical="center" wrapText="1"/>
    </xf>
    <xf borderId="0" fillId="9" fontId="16" numFmtId="0" xfId="0" applyAlignment="1" applyFont="1">
      <alignment horizontal="left" shrinkToFit="0" textRotation="0" vertical="center" wrapText="1"/>
    </xf>
    <xf borderId="0" fillId="9" fontId="16" numFmtId="0" xfId="0" applyAlignment="1" applyFont="1">
      <alignment horizontal="center" shrinkToFit="0" textRotation="0" vertical="center" wrapText="1"/>
    </xf>
    <xf borderId="0" fillId="0" fontId="16" numFmtId="0" xfId="0" applyAlignment="1" applyFont="1">
      <alignment horizontal="center" shrinkToFit="0" textRotation="0" vertical="center" wrapText="1"/>
    </xf>
    <xf borderId="0" fillId="2" fontId="3" numFmtId="0" xfId="0" applyAlignment="1" applyFont="1">
      <alignment horizontal="center" shrinkToFit="0" textRotation="0" vertical="center" wrapText="1"/>
    </xf>
    <xf borderId="0" fillId="9" fontId="3" numFmtId="0" xfId="0" applyAlignment="1" applyFont="1">
      <alignment horizontal="left" shrinkToFit="0" textRotation="0" vertical="center" wrapText="1"/>
    </xf>
    <xf borderId="0" fillId="9" fontId="3" numFmtId="0" xfId="0" applyAlignment="1" applyFont="1">
      <alignment horizontal="center" readingOrder="0" shrinkToFit="0" textRotation="0" vertical="center" wrapText="1"/>
    </xf>
    <xf borderId="0" fillId="3" fontId="3" numFmtId="0" xfId="0" applyAlignment="1" applyFont="1">
      <alignment horizontal="left" readingOrder="0" shrinkToFit="0" textRotation="0" vertical="center" wrapText="1"/>
    </xf>
    <xf borderId="0" fillId="0" fontId="4" numFmtId="0" xfId="0" applyAlignment="1" applyFont="1">
      <alignment horizontal="center" shrinkToFit="0" textRotation="0" vertical="center" wrapText="1"/>
    </xf>
    <xf borderId="4" fillId="0" fontId="31" numFmtId="0" xfId="0" applyAlignment="1" applyBorder="1" applyFont="1">
      <alignment horizontal="center" readingOrder="0"/>
    </xf>
    <xf borderId="4" fillId="0" fontId="32" numFmtId="0" xfId="0" applyAlignment="1" applyBorder="1" applyFont="1">
      <alignment horizontal="center" readingOrder="0"/>
    </xf>
    <xf borderId="4" fillId="0" fontId="33" numFmtId="0" xfId="0" applyAlignment="1" applyBorder="1" applyFont="1">
      <alignment horizontal="center" readingOrder="0"/>
    </xf>
    <xf borderId="4" fillId="0" fontId="32" numFmtId="0" xfId="0" applyAlignment="1" applyBorder="1" applyFont="1">
      <alignment horizontal="right" readingOrder="0"/>
    </xf>
    <xf borderId="4" fillId="0" fontId="4" numFmtId="0" xfId="0" applyAlignment="1" applyBorder="1" applyFont="1">
      <alignment horizontal="center" readingOrder="0"/>
    </xf>
    <xf borderId="4" fillId="0" fontId="31" numFmtId="0" xfId="0" applyAlignment="1" applyBorder="1" applyFont="1">
      <alignment horizontal="center" readingOrder="0" vertical="top"/>
    </xf>
    <xf borderId="4" fillId="0" fontId="32" numFmtId="0" xfId="0" applyAlignment="1" applyBorder="1" applyFont="1">
      <alignment horizontal="center" readingOrder="0" vertical="top"/>
    </xf>
    <xf borderId="4" fillId="0" fontId="33" numFmtId="0" xfId="0" applyAlignment="1" applyBorder="1" applyFont="1">
      <alignment horizontal="center" readingOrder="0" vertical="top"/>
    </xf>
    <xf borderId="4" fillId="0" fontId="32" numFmtId="0" xfId="0" applyAlignment="1" applyBorder="1" applyFont="1">
      <alignment horizontal="left" readingOrder="0" vertical="top"/>
    </xf>
    <xf borderId="4" fillId="0" fontId="34" numFmtId="0" xfId="0" applyAlignment="1" applyBorder="1" applyFont="1">
      <alignment horizontal="center" readingOrder="0" vertical="top"/>
    </xf>
    <xf borderId="4" fillId="0" fontId="32" numFmtId="0" xfId="0" applyAlignment="1" applyBorder="1" applyFont="1">
      <alignment horizontal="right" readingOrder="0" vertical="top"/>
    </xf>
    <xf borderId="4" fillId="0" fontId="35" numFmtId="0" xfId="0" applyAlignment="1" applyBorder="1" applyFont="1">
      <alignment horizontal="left" readingOrder="0" vertical="top"/>
    </xf>
    <xf borderId="4" fillId="0" fontId="36" numFmtId="0" xfId="0" applyAlignment="1" applyBorder="1" applyFont="1">
      <alignment horizontal="center" readingOrder="0" vertical="top"/>
    </xf>
    <xf borderId="4" fillId="0" fontId="37" numFmtId="0" xfId="0" applyAlignment="1" applyBorder="1" applyFont="1">
      <alignment horizontal="center" readingOrder="0" vertical="top"/>
    </xf>
    <xf borderId="4" fillId="0" fontId="38" numFmtId="0" xfId="0" applyAlignment="1" applyBorder="1" applyFont="1">
      <alignment horizontal="center" readingOrder="0" vertical="top"/>
    </xf>
    <xf borderId="4" fillId="0" fontId="38" numFmtId="0" xfId="0" applyAlignment="1" applyBorder="1" applyFont="1">
      <alignment horizontal="left" readingOrder="0" vertical="top"/>
    </xf>
    <xf borderId="4" fillId="0" fontId="39" numFmtId="0" xfId="0" applyAlignment="1" applyBorder="1" applyFont="1">
      <alignment horizontal="center" readingOrder="0" vertical="top"/>
    </xf>
    <xf borderId="4" fillId="0" fontId="40" numFmtId="0" xfId="0" applyAlignment="1" applyBorder="1" applyFont="1">
      <alignment horizontal="center" readingOrder="0" vertical="top"/>
    </xf>
    <xf borderId="4" fillId="0" fontId="41" numFmtId="0" xfId="0" applyAlignment="1" applyBorder="1" applyFont="1">
      <alignment horizontal="center" readingOrder="0" vertical="top"/>
    </xf>
    <xf borderId="0" fillId="3" fontId="3" numFmtId="0" xfId="0" applyAlignment="1" applyFont="1">
      <alignment shrinkToFit="0" textRotation="0" wrapText="1"/>
    </xf>
    <xf borderId="0" fillId="2" fontId="2" numFmtId="0" xfId="0" applyFont="1"/>
    <xf borderId="0" fillId="2" fontId="16" numFmtId="0" xfId="0" applyAlignment="1" applyFont="1">
      <alignment horizontal="left" readingOrder="0" shrinkToFit="0" textRotation="0" vertical="center" wrapText="1"/>
    </xf>
    <xf borderId="0" fillId="2" fontId="16" numFmtId="0" xfId="0" applyAlignment="1" applyFont="1">
      <alignment horizontal="center" readingOrder="0" shrinkToFit="0" textRotation="0" vertical="center" wrapText="1"/>
    </xf>
    <xf borderId="0" fillId="3" fontId="4" numFmtId="0" xfId="0" applyAlignment="1" applyFont="1">
      <alignment horizontal="left" readingOrder="0" shrinkToFit="0" vertical="center" wrapText="1"/>
    </xf>
    <xf borderId="0" fillId="3" fontId="3" numFmtId="0" xfId="0" applyAlignment="1" applyFont="1">
      <alignment readingOrder="0" shrinkToFit="0" wrapText="1"/>
    </xf>
    <xf borderId="0" fillId="3" fontId="3" numFmtId="0" xfId="0" applyAlignment="1" applyFont="1">
      <alignment shrinkToFit="0" wrapText="1"/>
    </xf>
    <xf borderId="4" fillId="0" fontId="4" numFmtId="0" xfId="0" applyAlignment="1" applyBorder="1" applyFont="1">
      <alignment readingOrder="0"/>
    </xf>
    <xf borderId="4" fillId="0" fontId="6" numFmtId="0" xfId="0" applyAlignment="1" applyBorder="1" applyFont="1">
      <alignment horizontal="center"/>
    </xf>
    <xf borderId="0" fillId="3" fontId="2" numFmtId="0" xfId="0" applyFont="1"/>
    <xf borderId="4" fillId="0" fontId="6" numFmtId="0" xfId="0" applyBorder="1" applyFont="1"/>
    <xf borderId="0" fillId="0" fontId="4" numFmtId="0" xfId="0" applyAlignment="1" applyFont="1">
      <alignment horizontal="center" readingOrder="0"/>
    </xf>
    <xf borderId="0" fillId="3" fontId="2" numFmtId="0" xfId="0" applyFont="1"/>
    <xf borderId="0" fillId="3" fontId="3" numFmtId="0" xfId="0" applyAlignment="1" applyFont="1">
      <alignment readingOrder="0"/>
    </xf>
    <xf borderId="0" fillId="3" fontId="3" numFmtId="0" xfId="0" applyAlignment="1" applyFont="1">
      <alignment shrinkToFit="0" textRotation="0" wrapText="1"/>
    </xf>
    <xf borderId="0" fillId="3" fontId="3" numFmtId="0" xfId="0" applyAlignment="1" applyFont="1">
      <alignment horizontal="left" shrinkToFit="0" textRotation="0" vertical="center" wrapText="1"/>
    </xf>
    <xf borderId="0" fillId="3" fontId="3" numFmtId="0" xfId="0" applyAlignment="1" applyFont="1">
      <alignment horizontal="center" shrinkToFit="0" textRotation="0" vertical="center" wrapText="1"/>
    </xf>
    <xf borderId="0" fillId="9" fontId="3" numFmtId="0" xfId="0" applyAlignment="1" applyFont="1">
      <alignment horizontal="left" readingOrder="0" shrinkToFit="0" textRotation="0" vertical="center" wrapText="1"/>
    </xf>
    <xf borderId="0" fillId="9" fontId="3" numFmtId="0" xfId="0" applyAlignment="1" applyFont="1">
      <alignment horizontal="center" shrinkToFit="0" textRotation="0" vertical="center" wrapText="1"/>
    </xf>
    <xf borderId="0" fillId="13" fontId="4" numFmtId="0" xfId="0" applyAlignment="1" applyFill="1" applyFont="1">
      <alignment horizontal="left" readingOrder="0" shrinkToFit="0" textRotation="0" vertical="center" wrapText="1"/>
    </xf>
    <xf borderId="0" fillId="13" fontId="5" numFmtId="0" xfId="0" applyAlignment="1" applyFont="1">
      <alignment horizontal="center" readingOrder="0" shrinkToFit="0" textRotation="0" vertical="center" wrapText="1"/>
    </xf>
    <xf borderId="0" fillId="13" fontId="4" numFmtId="0" xfId="0" applyAlignment="1" applyFont="1">
      <alignment horizontal="center" readingOrder="0" shrinkToFit="0" textRotation="0" vertical="center" wrapText="1"/>
    </xf>
    <xf borderId="0" fillId="13" fontId="3" numFmtId="0" xfId="0" applyAlignment="1" applyFont="1">
      <alignment shrinkToFit="0" textRotation="0" wrapText="1"/>
    </xf>
    <xf borderId="0" fillId="13" fontId="3" numFmtId="0" xfId="0" applyAlignment="1" applyFont="1">
      <alignment horizontal="left" shrinkToFit="0" textRotation="0" vertical="center" wrapText="1"/>
    </xf>
    <xf borderId="0" fillId="13" fontId="3" numFmtId="0" xfId="0" applyAlignment="1" applyFont="1">
      <alignment horizontal="center" shrinkToFit="0" textRotation="0" vertical="center" wrapText="1"/>
    </xf>
    <xf borderId="0" fillId="13" fontId="4" numFmtId="0" xfId="0" applyAlignment="1" applyFont="1">
      <alignment horizontal="left" shrinkToFit="0" textRotation="0" vertical="center" wrapText="1"/>
    </xf>
    <xf borderId="0" fillId="9" fontId="3" numFmtId="0" xfId="0" applyAlignment="1" applyFont="1">
      <alignment shrinkToFit="0" textRotation="0" wrapText="1"/>
    </xf>
    <xf borderId="0" fillId="2" fontId="3" numFmtId="0" xfId="0" applyAlignment="1" applyFont="1">
      <alignment shrinkToFit="0" textRotation="0" wrapText="1"/>
    </xf>
    <xf borderId="0" fillId="3" fontId="4" numFmtId="0" xfId="0" applyAlignment="1" applyFont="1">
      <alignment shrinkToFit="0" textRotation="0" vertical="center" wrapText="1"/>
    </xf>
    <xf borderId="0" fillId="0" fontId="4" numFmtId="0" xfId="0" applyAlignment="1" applyFont="1">
      <alignment shrinkToFit="0" textRotation="0" vertical="center" wrapText="1"/>
    </xf>
    <xf borderId="0" fillId="9" fontId="2" numFmtId="0" xfId="0" applyFont="1"/>
    <xf borderId="0" fillId="0" fontId="22" numFmtId="0" xfId="0" applyAlignment="1" applyFont="1">
      <alignment horizontal="left" readingOrder="0" shrinkToFit="0" textRotation="0" vertical="center" wrapText="1"/>
    </xf>
    <xf borderId="0" fillId="9" fontId="4" numFmtId="0" xfId="0" applyAlignment="1" applyFont="1">
      <alignment horizontal="left" readingOrder="0" shrinkToFit="0" vertical="center" wrapText="1"/>
    </xf>
    <xf borderId="0" fillId="2" fontId="16" numFmtId="0" xfId="0" applyAlignment="1" applyFont="1">
      <alignment horizontal="center" shrinkToFit="0" textRotation="0" vertical="center" wrapText="1"/>
    </xf>
    <xf borderId="0" fillId="2" fontId="16" numFmtId="0" xfId="0" applyAlignment="1" applyFont="1">
      <alignment horizontal="left" shrinkToFit="0" textRotation="0" vertical="center" wrapText="1"/>
    </xf>
    <xf borderId="0" fillId="4" fontId="42" numFmtId="0" xfId="0" applyAlignment="1" applyFont="1">
      <alignment horizontal="left" readingOrder="0" shrinkToFit="0" textRotation="0" vertical="center" wrapText="1"/>
    </xf>
    <xf borderId="0" fillId="4" fontId="43" numFmtId="0" xfId="0" applyAlignment="1" applyFont="1">
      <alignment horizontal="center" readingOrder="0" shrinkToFit="0" textRotation="0" vertical="center" wrapText="1"/>
    </xf>
    <xf borderId="0" fillId="4" fontId="4" numFmtId="0" xfId="0" applyAlignment="1" applyFont="1">
      <alignment horizontal="center" readingOrder="0" shrinkToFit="0" textRotation="0" vertical="center" wrapText="1"/>
    </xf>
    <xf borderId="0" fillId="4" fontId="42" numFmtId="0" xfId="0" applyAlignment="1" applyFont="1">
      <alignment horizontal="center" readingOrder="0" shrinkToFit="0" textRotation="0" vertical="center" wrapText="1"/>
    </xf>
    <xf borderId="0" fillId="4" fontId="42" numFmtId="0" xfId="0" applyAlignment="1" applyFont="1">
      <alignment horizontal="left" readingOrder="0" shrinkToFit="0" vertical="center" wrapText="1"/>
    </xf>
    <xf borderId="0" fillId="4" fontId="44" numFmtId="0" xfId="0" applyAlignment="1" applyFont="1">
      <alignment shrinkToFit="0" wrapText="1"/>
    </xf>
    <xf borderId="0" fillId="4" fontId="10" numFmtId="0" xfId="0" applyAlignment="1" applyFont="1">
      <alignment horizontal="left" readingOrder="0" shrinkToFit="0" vertical="center" wrapText="1"/>
    </xf>
    <xf borderId="0" fillId="4" fontId="42" numFmtId="0" xfId="0" applyAlignment="1" applyFont="1">
      <alignment horizontal="center" readingOrder="0" shrinkToFit="0" vertical="center" wrapText="1"/>
    </xf>
    <xf borderId="0" fillId="0" fontId="42" numFmtId="0" xfId="0" applyAlignment="1" applyFont="1">
      <alignment horizontal="left" readingOrder="0" shrinkToFit="0" textRotation="0" vertical="center" wrapText="1"/>
    </xf>
    <xf borderId="0" fillId="9" fontId="3" numFmtId="0" xfId="0" applyAlignment="1" applyFont="1">
      <alignment readingOrder="0" shrinkToFit="0" textRotation="0" wrapText="1"/>
    </xf>
    <xf borderId="0" fillId="10" fontId="4" numFmtId="0" xfId="0" applyAlignment="1" applyFont="1">
      <alignment horizontal="left" readingOrder="0" shrinkToFit="0" textRotation="0" vertical="center" wrapText="1"/>
    </xf>
    <xf borderId="0" fillId="10" fontId="5" numFmtId="0" xfId="0" applyAlignment="1" applyFont="1">
      <alignment horizontal="center" readingOrder="0" shrinkToFit="0" textRotation="0" vertical="center" wrapText="1"/>
    </xf>
    <xf borderId="0" fillId="10" fontId="4" numFmtId="0" xfId="0" applyAlignment="1" applyFont="1">
      <alignment horizontal="center" readingOrder="0" shrinkToFit="0" textRotation="0" vertical="center" wrapText="1"/>
    </xf>
    <xf borderId="0" fillId="10" fontId="4" numFmtId="0" xfId="0" applyAlignment="1" applyFont="1">
      <alignment horizontal="center" shrinkToFit="0" textRotation="0" vertical="center" wrapText="1"/>
    </xf>
    <xf borderId="0" fillId="10" fontId="4" numFmtId="0" xfId="0" applyAlignment="1" applyFont="1">
      <alignment horizontal="left" shrinkToFit="0" textRotation="0" vertical="center" wrapText="1"/>
    </xf>
    <xf borderId="0" fillId="3" fontId="3" numFmtId="0" xfId="0" applyAlignment="1" applyFont="1">
      <alignment readingOrder="0" shrinkToFit="0" textRotation="0" wrapText="1"/>
    </xf>
    <xf borderId="0" fillId="3" fontId="4" numFmtId="0" xfId="0" applyAlignment="1" applyFont="1">
      <alignment readingOrder="0" shrinkToFit="0" vertical="center" wrapText="1"/>
    </xf>
    <xf borderId="0" fillId="3" fontId="3" numFmtId="0" xfId="0" applyAlignment="1" applyFont="1">
      <alignment horizontal="left" readingOrder="0" shrinkToFit="0" vertical="center" wrapText="1"/>
    </xf>
    <xf borderId="0" fillId="10" fontId="2" numFmtId="0" xfId="0" applyFont="1"/>
    <xf borderId="0" fillId="0" fontId="30" numFmtId="0" xfId="0" applyAlignment="1" applyFont="1">
      <alignment horizontal="left" shrinkToFit="0" textRotation="0" vertical="center" wrapText="1"/>
    </xf>
    <xf borderId="0" fillId="3" fontId="6" numFmtId="0" xfId="0" applyAlignment="1" applyFont="1">
      <alignment horizontal="left" readingOrder="0" shrinkToFit="0" vertical="center" wrapText="1"/>
    </xf>
    <xf borderId="0" fillId="3" fontId="45" numFmtId="0" xfId="0" applyAlignment="1" applyFont="1">
      <alignment horizontal="left" readingOrder="0" shrinkToFit="0" vertical="center" wrapText="1"/>
    </xf>
    <xf borderId="0" fillId="3" fontId="5" numFmtId="0" xfId="0" applyAlignment="1" applyFont="1">
      <alignment horizontal="center" readingOrder="0" shrinkToFit="0" vertical="center" wrapText="1"/>
    </xf>
    <xf borderId="0" fillId="3" fontId="46" numFmtId="0" xfId="0" applyAlignment="1" applyFont="1">
      <alignment horizontal="left" readingOrder="0" shrinkToFit="0" textRotation="0" vertical="center" wrapText="1"/>
    </xf>
    <xf borderId="0" fillId="10" fontId="6" numFmtId="0" xfId="0" applyAlignment="1" applyFont="1">
      <alignment horizontal="left" readingOrder="0" shrinkToFit="0" vertical="center" wrapText="1"/>
    </xf>
    <xf borderId="0" fillId="9" fontId="4" numFmtId="0" xfId="0" applyAlignment="1" applyFont="1">
      <alignment readingOrder="0" shrinkToFit="0" vertical="center" wrapText="1"/>
    </xf>
    <xf borderId="0" fillId="0" fontId="5" numFmtId="0" xfId="0" applyAlignment="1" applyFont="1">
      <alignment horizontal="center" readingOrder="0" shrinkToFit="0" textRotation="0" vertical="center" wrapText="1"/>
    </xf>
    <xf borderId="0" fillId="0" fontId="4" numFmtId="0" xfId="0" applyAlignment="1" applyFont="1">
      <alignment horizontal="center" readingOrder="0" shrinkToFit="0" textRotation="0" vertical="center" wrapText="1"/>
    </xf>
    <xf borderId="0" fillId="3" fontId="2" numFmtId="0" xfId="0" applyAlignment="1" applyFont="1">
      <alignment horizontal="left" shrinkToFit="0" vertical="center" wrapText="1"/>
    </xf>
    <xf borderId="0" fillId="3" fontId="3" numFmtId="0" xfId="0" applyAlignment="1" applyFont="1">
      <alignment shrinkToFit="0" textRotation="0" vertical="center" wrapText="1"/>
    </xf>
    <xf borderId="0" fillId="3" fontId="3" numFmtId="0" xfId="0" applyAlignment="1" applyFont="1">
      <alignment horizontal="center" shrinkToFit="0" textRotation="0" vertical="center" wrapText="1"/>
    </xf>
    <xf borderId="0" fillId="3" fontId="2" numFmtId="0" xfId="0" applyAlignment="1" applyFont="1">
      <alignment shrinkToFit="0" vertical="center" wrapText="1"/>
    </xf>
    <xf borderId="0" fillId="3" fontId="3" numFmtId="0" xfId="0" applyAlignment="1" applyFont="1">
      <alignment horizontal="left" shrinkToFit="0" textRotation="0" vertical="center" wrapText="1"/>
    </xf>
    <xf borderId="0" fillId="0" fontId="2" numFmtId="0" xfId="0" applyAlignment="1" applyFont="1">
      <alignment shrinkToFit="0" vertical="center" wrapText="1"/>
    </xf>
    <xf borderId="0" fillId="0" fontId="3" numFmtId="0" xfId="0" applyAlignment="1" applyFont="1">
      <alignment shrinkToFit="0" textRotation="0" vertical="center" wrapText="1"/>
    </xf>
    <xf borderId="0" fillId="9" fontId="6" numFmtId="0" xfId="0" applyAlignment="1" applyFont="1">
      <alignment shrinkToFit="0" vertical="center" wrapText="1"/>
    </xf>
    <xf borderId="0" fillId="9" fontId="3" numFmtId="0" xfId="0" applyAlignment="1" applyFont="1">
      <alignment horizontal="left" readingOrder="0" shrinkToFit="0" vertical="center" wrapText="1"/>
    </xf>
    <xf borderId="0" fillId="9" fontId="3" numFmtId="0" xfId="0" applyAlignment="1" applyFont="1">
      <alignment horizontal="center" readingOrder="0" shrinkToFit="0" vertical="center" wrapText="1"/>
    </xf>
    <xf borderId="0" fillId="9" fontId="2" numFmtId="0" xfId="0" applyAlignment="1" applyFont="1">
      <alignment horizontal="left" shrinkToFit="0" vertical="center" wrapText="1"/>
    </xf>
    <xf borderId="0" fillId="9" fontId="3" numFmtId="0" xfId="0" applyAlignment="1" applyFont="1">
      <alignment shrinkToFit="0" textRotation="0" vertical="center" wrapText="1"/>
    </xf>
    <xf borderId="0" fillId="9" fontId="3" numFmtId="0" xfId="0" applyAlignment="1" applyFont="1">
      <alignment horizontal="center" shrinkToFit="0" textRotation="0" vertical="center" wrapText="1"/>
    </xf>
    <xf borderId="0" fillId="9" fontId="2" numFmtId="0" xfId="0" applyAlignment="1" applyFont="1">
      <alignment shrinkToFit="0" vertical="center" wrapText="1"/>
    </xf>
    <xf borderId="0" fillId="9" fontId="3" numFmtId="0" xfId="0" applyAlignment="1" applyFont="1">
      <alignment readingOrder="0" shrinkToFit="0" vertical="center" wrapText="1"/>
    </xf>
    <xf borderId="0" fillId="2" fontId="5" numFmtId="0" xfId="0" applyAlignment="1" applyFont="1">
      <alignment horizontal="center" shrinkToFit="0" textRotation="0" vertical="center" wrapText="1"/>
    </xf>
    <xf borderId="0" fillId="2" fontId="3" numFmtId="0" xfId="0" applyAlignment="1" applyFont="1">
      <alignment horizontal="left" readingOrder="0" shrinkToFit="0" vertical="center" wrapText="1"/>
    </xf>
    <xf borderId="0" fillId="2" fontId="3" numFmtId="0" xfId="0" applyAlignment="1" applyFont="1">
      <alignment horizontal="center" readingOrder="0" shrinkToFit="0" vertical="center" wrapText="1"/>
    </xf>
    <xf borderId="0" fillId="2" fontId="3" numFmtId="0" xfId="0" applyAlignment="1" applyFont="1">
      <alignment shrinkToFit="0" textRotation="0" vertical="center" wrapText="1"/>
    </xf>
    <xf borderId="0" fillId="2" fontId="2" numFmtId="0" xfId="0" applyAlignment="1" applyFont="1">
      <alignment shrinkToFit="0" vertical="center" wrapText="1"/>
    </xf>
    <xf borderId="0" fillId="0" fontId="47" numFmtId="0" xfId="0" applyAlignment="1" applyFont="1">
      <alignment shrinkToFit="0" vertical="center" wrapText="1"/>
    </xf>
    <xf borderId="0" fillId="0" fontId="48" numFmtId="0" xfId="0" applyAlignment="1" applyFont="1">
      <alignment shrinkToFit="0" textRotation="0" vertical="center" wrapText="1"/>
    </xf>
    <xf borderId="0" fillId="3" fontId="3" numFmtId="0" xfId="0" applyAlignment="1" applyFont="1">
      <alignment readingOrder="0" shrinkToFit="0" vertical="center" wrapText="1"/>
    </xf>
    <xf borderId="0" fillId="8" fontId="49" numFmtId="0" xfId="0" applyAlignment="1" applyFont="1">
      <alignment shrinkToFit="0" vertical="center" wrapText="1"/>
    </xf>
    <xf borderId="0" fillId="8" fontId="24" numFmtId="0" xfId="0" applyAlignment="1" applyFont="1">
      <alignment shrinkToFit="0" textRotation="0" vertical="center" wrapText="1"/>
    </xf>
    <xf borderId="0" fillId="3" fontId="16" numFmtId="0" xfId="0" applyAlignment="1" applyFont="1">
      <alignment horizontal="left" readingOrder="0" shrinkToFit="0" vertical="center" wrapText="1"/>
    </xf>
    <xf borderId="0" fillId="3" fontId="45" numFmtId="0" xfId="0" applyAlignment="1" applyFont="1">
      <alignment shrinkToFit="0" textRotation="0" vertical="center" wrapText="1"/>
    </xf>
    <xf borderId="0" fillId="3" fontId="45" numFmtId="0" xfId="0" applyAlignment="1" applyFont="1">
      <alignment horizontal="center" shrinkToFit="0" textRotation="0" vertical="center" wrapText="1"/>
    </xf>
    <xf borderId="0" fillId="3" fontId="50" numFmtId="0" xfId="0" applyAlignment="1" applyFont="1">
      <alignment shrinkToFit="0" vertical="center" wrapText="1"/>
    </xf>
    <xf borderId="0" fillId="3" fontId="45" numFmtId="0" xfId="0" applyAlignment="1" applyFont="1">
      <alignment horizontal="left" readingOrder="0" shrinkToFit="0" textRotation="0" vertical="center" wrapText="1"/>
    </xf>
    <xf borderId="0" fillId="2" fontId="4" numFmtId="0" xfId="0" applyAlignment="1" applyFont="1">
      <alignment horizontal="left" readingOrder="0" shrinkToFit="0" vertical="center" wrapText="1"/>
    </xf>
    <xf borderId="0" fillId="2" fontId="3" numFmtId="0" xfId="0" applyAlignment="1" applyFont="1">
      <alignment shrinkToFit="0" wrapText="1"/>
    </xf>
    <xf borderId="0" fillId="2" fontId="3" numFmtId="0" xfId="0" applyAlignment="1" applyFont="1">
      <alignment horizontal="center" shrinkToFit="0" textRotation="0" vertical="center" wrapText="1"/>
    </xf>
    <xf borderId="0" fillId="9" fontId="2" numFmtId="0" xfId="0" applyAlignment="1" applyFont="1">
      <alignment horizontal="left" readingOrder="0" shrinkToFit="0" vertical="center" wrapText="1"/>
    </xf>
    <xf borderId="0" fillId="9" fontId="2" numFmtId="0" xfId="0" applyAlignment="1" applyFont="1">
      <alignment horizontal="center" readingOrder="0" shrinkToFit="0" vertical="center" wrapText="1"/>
    </xf>
    <xf borderId="0" fillId="9" fontId="2" numFmtId="0" xfId="0" applyAlignment="1" applyFont="1">
      <alignmen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center" readingOrder="0" shrinkToFit="0" vertical="center" wrapText="1"/>
    </xf>
    <xf borderId="0" fillId="0" fontId="49" numFmtId="0" xfId="0" applyAlignment="1" applyFont="1">
      <alignment shrinkToFit="0" vertical="center" wrapText="1"/>
    </xf>
    <xf borderId="0" fillId="0" fontId="24" numFmtId="0" xfId="0" applyAlignment="1" applyFont="1">
      <alignment shrinkToFit="0" textRotation="0" vertical="center" wrapText="1"/>
    </xf>
    <xf borderId="0" fillId="9" fontId="51" numFmtId="0" xfId="0" applyAlignment="1" applyFont="1">
      <alignment horizontal="center" readingOrder="0" shrinkToFit="0" textRotation="0" vertical="center" wrapText="1"/>
    </xf>
    <xf borderId="0" fillId="2" fontId="3" numFmtId="0" xfId="0" applyAlignment="1" applyFont="1">
      <alignment readingOrder="0"/>
    </xf>
    <xf borderId="0" fillId="9" fontId="6" numFmtId="0" xfId="0" applyAlignment="1" applyFont="1">
      <alignment horizontal="left" readingOrder="0" shrinkToFit="0" vertical="center" wrapText="1"/>
    </xf>
    <xf borderId="0" fillId="2" fontId="2" numFmtId="0" xfId="0" applyAlignment="1" applyFont="1">
      <alignment horizontal="left" shrinkToFit="0" vertical="center" wrapText="1"/>
    </xf>
    <xf borderId="0" fillId="2" fontId="2"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4" fontId="4" numFmtId="0" xfId="0" applyAlignment="1" applyFont="1">
      <alignment horizontal="left" readingOrder="0" shrinkToFit="0" textRotation="0" vertical="center" wrapText="1"/>
    </xf>
    <xf borderId="0" fillId="4" fontId="5" numFmtId="0" xfId="0" applyAlignment="1" applyFont="1">
      <alignment horizontal="center" readingOrder="0" shrinkToFit="0" textRotation="0" vertical="center" wrapText="1"/>
    </xf>
    <xf borderId="0" fillId="4" fontId="48" numFmtId="0" xfId="0" applyAlignment="1" applyFont="1">
      <alignment horizontal="left" readingOrder="0" shrinkToFit="0" textRotation="0" vertical="center" wrapText="1"/>
    </xf>
    <xf borderId="0" fillId="4" fontId="48" numFmtId="0" xfId="0" applyAlignment="1" applyFont="1">
      <alignment horizontal="left" shrinkToFit="0" textRotation="0" vertical="center" wrapText="1"/>
    </xf>
    <xf borderId="0" fillId="4" fontId="47" numFmtId="0" xfId="0" applyAlignment="1" applyFont="1">
      <alignment shrinkToFit="0" vertical="center" wrapText="1"/>
    </xf>
    <xf borderId="0" fillId="3" fontId="4" numFmtId="164" xfId="0" applyAlignment="1" applyFont="1" applyNumberFormat="1">
      <alignment horizontal="left" readingOrder="0" shrinkToFit="0" textRotation="0" vertical="center" wrapText="1"/>
    </xf>
    <xf borderId="0" fillId="3" fontId="45" numFmtId="0" xfId="0" applyAlignment="1" applyFont="1">
      <alignment horizontal="center" readingOrder="0" shrinkToFit="0" vertical="center" wrapText="1"/>
    </xf>
    <xf borderId="0" fillId="3" fontId="52" numFmtId="0" xfId="0" applyAlignment="1" applyFont="1">
      <alignment horizontal="center" shrinkToFit="0" textRotation="0" vertical="center" wrapText="1"/>
    </xf>
    <xf borderId="0" fillId="3" fontId="3" numFmtId="0" xfId="0" applyAlignment="1" applyFont="1">
      <alignment horizontal="center" shrinkToFit="0" textRotation="0" vertical="center" wrapText="1"/>
    </xf>
    <xf borderId="0" fillId="3" fontId="4" numFmtId="0" xfId="0" applyAlignment="1" applyFont="1">
      <alignment horizontal="center" readingOrder="0" shrinkToFit="0" vertical="center" wrapText="1"/>
    </xf>
    <xf borderId="0" fillId="3" fontId="2" numFmtId="0" xfId="0" applyAlignment="1" applyFont="1">
      <alignment readingOrder="0" shrinkToFit="0" vertical="center" wrapText="1"/>
    </xf>
    <xf borderId="0" fillId="3" fontId="6" numFmtId="0" xfId="0" applyAlignment="1" applyFont="1">
      <alignment shrinkToFit="0" vertical="center" wrapText="1"/>
    </xf>
    <xf borderId="0" fillId="3" fontId="3" numFmtId="0" xfId="0" applyAlignment="1" applyFont="1">
      <alignment horizontal="left" shrinkToFit="0" textRotation="0" vertical="center" wrapText="1"/>
    </xf>
    <xf borderId="0" fillId="3" fontId="52" numFmtId="0" xfId="0" applyAlignment="1" applyFont="1">
      <alignment horizontal="center" readingOrder="0" shrinkToFit="0" vertical="center" wrapText="1"/>
    </xf>
    <xf borderId="0" fillId="3" fontId="45" numFmtId="0" xfId="0" applyAlignment="1" applyFont="1">
      <alignment horizontal="left" shrinkToFit="0" vertical="center" wrapText="1"/>
    </xf>
    <xf borderId="0" fillId="3" fontId="45" numFmtId="0" xfId="0" applyAlignment="1" applyFont="1">
      <alignment horizontal="center" readingOrder="0" shrinkToFit="0" vertical="center" wrapText="1"/>
    </xf>
    <xf borderId="0" fillId="0" fontId="53" numFmtId="0" xfId="0" applyAlignment="1" applyFont="1">
      <alignment horizontal="left" shrinkToFit="0" textRotation="0" vertical="center" wrapText="1"/>
    </xf>
    <xf borderId="0" fillId="3" fontId="2" numFmtId="0" xfId="0" applyAlignment="1" applyFont="1">
      <alignment shrinkToFit="0" vertical="center" wrapText="1"/>
    </xf>
    <xf borderId="0" fillId="3" fontId="52" numFmtId="0" xfId="0" applyAlignment="1" applyFont="1">
      <alignment horizontal="center" shrinkToFit="0" vertical="center" wrapText="1"/>
    </xf>
    <xf borderId="0" fillId="3" fontId="45" numFmtId="0" xfId="0" applyAlignment="1" applyFont="1">
      <alignment horizontal="center" shrinkToFit="0" vertical="center" wrapText="1"/>
    </xf>
    <xf borderId="0" fillId="3" fontId="54" numFmtId="0" xfId="0" applyAlignment="1" applyFont="1">
      <alignment horizontal="left" shrinkToFit="0" textRotation="0" vertical="center" wrapText="1"/>
    </xf>
    <xf borderId="0" fillId="0" fontId="3" numFmtId="0" xfId="0" applyAlignment="1" applyFont="1">
      <alignment horizontal="left" shrinkToFit="0" textRotation="0" vertical="center" wrapText="1"/>
    </xf>
    <xf borderId="0" fillId="3" fontId="3" numFmtId="0" xfId="0" applyAlignment="1" applyFont="1">
      <alignment horizontal="right" readingOrder="0" shrinkToFit="0" textRotation="0" vertical="center" wrapText="1"/>
    </xf>
    <xf borderId="0" fillId="0" fontId="24" numFmtId="0" xfId="0" applyAlignment="1" applyFont="1">
      <alignment horizontal="left" shrinkToFit="0" textRotation="0" vertical="center" wrapText="1"/>
    </xf>
    <xf borderId="0" fillId="3" fontId="55" numFmtId="0" xfId="0" applyAlignment="1" applyFont="1">
      <alignment horizontal="left" readingOrder="0" shrinkToFit="0" vertical="center" wrapText="1"/>
    </xf>
    <xf borderId="0" fillId="14" fontId="4" numFmtId="0" xfId="0" applyAlignment="1" applyFill="1" applyFont="1">
      <alignment horizontal="left" readingOrder="0" shrinkToFit="0" textRotation="0" vertical="center" wrapText="1"/>
    </xf>
    <xf borderId="0" fillId="14" fontId="4" numFmtId="0" xfId="0" applyAlignment="1" applyFont="1">
      <alignment horizontal="left" shrinkToFit="0" textRotation="0" vertical="center" wrapText="1"/>
    </xf>
    <xf borderId="0" fillId="14" fontId="4" numFmtId="0" xfId="0" applyAlignment="1" applyFont="1">
      <alignment horizontal="center" readingOrder="0" shrinkToFit="0" textRotation="0" vertical="center" wrapText="1"/>
    </xf>
    <xf borderId="0" fillId="15" fontId="30" numFmtId="0" xfId="0" applyAlignment="1" applyFill="1" applyFont="1">
      <alignment horizontal="left" readingOrder="0" shrinkToFit="0" textRotation="0" vertical="center" wrapText="1"/>
    </xf>
    <xf borderId="0" fillId="3" fontId="56" numFmtId="0" xfId="0" applyAlignment="1" applyFont="1">
      <alignment readingOrder="0" shrinkToFit="0" vertical="center" wrapText="1"/>
    </xf>
    <xf borderId="0" fillId="3" fontId="57" numFmtId="0" xfId="0" applyAlignment="1" applyFont="1">
      <alignment horizontal="left" shrinkToFit="0" textRotation="0" vertical="center" wrapText="1"/>
    </xf>
    <xf borderId="0" fillId="3" fontId="57" numFmtId="0" xfId="0" applyAlignment="1" applyFont="1">
      <alignment horizontal="center" shrinkToFit="0" textRotation="0" vertical="center" wrapText="1"/>
    </xf>
    <xf borderId="0" fillId="0" fontId="57" numFmtId="0" xfId="0" applyAlignment="1" applyFont="1">
      <alignment horizontal="left" shrinkToFit="0" textRotation="0" vertical="center" wrapText="1"/>
    </xf>
    <xf borderId="0" fillId="3" fontId="3" numFmtId="0" xfId="0" applyAlignment="1" applyFont="1">
      <alignment horizontal="center" shrinkToFit="0" textRotation="0" wrapText="1"/>
    </xf>
    <xf borderId="0" fillId="0" fontId="45"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6" numFmtId="0" xfId="0" applyAlignment="1" applyFont="1">
      <alignment horizontal="left" vertical="center"/>
    </xf>
    <xf borderId="0" fillId="0" fontId="2" numFmtId="0" xfId="0" applyAlignment="1" applyFont="1">
      <alignment vertical="bottom"/>
    </xf>
    <xf borderId="0" fillId="9" fontId="45" numFmtId="0" xfId="0" applyAlignment="1" applyFont="1">
      <alignment horizontal="left" readingOrder="0" shrinkToFit="0" vertical="center" wrapText="1"/>
    </xf>
    <xf borderId="0" fillId="9" fontId="4" numFmtId="0" xfId="0" applyAlignment="1" applyFont="1">
      <alignment readingOrder="0" shrinkToFit="0" wrapText="1"/>
    </xf>
    <xf borderId="0" fillId="9" fontId="6" numFmtId="0" xfId="0" applyAlignment="1" applyFont="1">
      <alignment readingOrder="0"/>
    </xf>
    <xf borderId="0" fillId="3" fontId="6" numFmtId="0" xfId="0" applyAlignment="1" applyFont="1">
      <alignment horizontal="left" readingOrder="0" vertical="center"/>
    </xf>
    <xf borderId="0" fillId="3" fontId="6" numFmtId="0" xfId="0" applyAlignment="1" applyFont="1">
      <alignment readingOrder="0"/>
    </xf>
    <xf borderId="0" fillId="0" fontId="3" numFmtId="0" xfId="0" applyAlignment="1" applyFont="1">
      <alignment shrinkToFit="0" textRotation="0" wrapText="1"/>
    </xf>
    <xf borderId="0" fillId="0" fontId="58" numFmtId="0" xfId="0" applyAlignment="1" applyFont="1">
      <alignment horizontal="left" readingOrder="0" shrinkToFit="0" textRotation="0" vertical="center" wrapText="1"/>
    </xf>
    <xf borderId="0" fillId="0" fontId="6" numFmtId="0" xfId="0" applyAlignment="1" applyFont="1">
      <alignment readingOrder="0"/>
    </xf>
    <xf borderId="0" fillId="0" fontId="6" numFmtId="0" xfId="0" applyAlignment="1" applyFont="1">
      <alignment horizontal="center" readingOrder="0" vertical="center"/>
    </xf>
    <xf borderId="0" fillId="0" fontId="6" numFmtId="0" xfId="0" applyAlignment="1" applyFont="1">
      <alignment horizontal="left" readingOrder="0" shrinkToFit="0" vertical="center" wrapText="1"/>
    </xf>
    <xf borderId="0" fillId="3" fontId="2" numFmtId="0" xfId="0" applyAlignment="1" applyFont="1">
      <alignment shrinkToFit="0" wrapText="1"/>
    </xf>
    <xf borderId="0" fillId="0" fontId="2" numFmtId="0" xfId="0" applyFont="1"/>
    <xf borderId="0" fillId="3" fontId="6" numFmtId="0" xfId="0" applyAlignment="1" applyFont="1">
      <alignment readingOrder="0" shrinkToFit="0" wrapText="1"/>
    </xf>
    <xf borderId="0" fillId="14" fontId="45" numFmtId="0" xfId="0" applyAlignment="1" applyFont="1">
      <alignment horizontal="left" readingOrder="0" shrinkToFit="0" vertical="center" wrapText="1"/>
    </xf>
    <xf borderId="0" fillId="0" fontId="6" numFmtId="0" xfId="0" applyAlignment="1" applyFont="1">
      <alignment horizontal="left" readingOrder="0" shrinkToFit="0" wrapText="1"/>
    </xf>
    <xf borderId="0" fillId="0" fontId="6" numFmtId="0" xfId="0" applyAlignment="1" applyFont="1">
      <alignment readingOrder="0" shrinkToFit="0" wrapText="1"/>
    </xf>
    <xf borderId="0" fillId="14" fontId="4" numFmtId="0" xfId="0" applyAlignment="1" applyFont="1">
      <alignment horizontal="center" shrinkToFit="0" textRotation="0" vertical="center" wrapText="1"/>
    </xf>
    <xf borderId="0" fillId="0" fontId="45" numFmtId="0" xfId="0" applyAlignment="1" applyFont="1">
      <alignment horizontal="left" readingOrder="0"/>
    </xf>
    <xf borderId="0" fillId="0" fontId="45" numFmtId="0" xfId="0" applyAlignment="1" applyFont="1">
      <alignment horizontal="left"/>
    </xf>
    <xf borderId="0" fillId="0" fontId="45" numFmtId="0" xfId="0" applyAlignment="1" applyFont="1">
      <alignment horizontal="left" readingOrder="0" vertical="center"/>
    </xf>
    <xf borderId="0" fillId="0" fontId="45" numFmtId="0" xfId="0" applyAlignment="1" applyFont="1">
      <alignment horizontal="center" readingOrder="0" vertical="center"/>
    </xf>
    <xf borderId="0" fillId="0" fontId="45" numFmtId="0" xfId="0" applyAlignment="1" applyFont="1">
      <alignment horizontal="left" vertical="center"/>
    </xf>
    <xf borderId="0" fillId="0" fontId="59" numFmtId="0" xfId="0" applyAlignment="1" applyFont="1">
      <alignment readingOrder="0" shrinkToFit="0" vertical="bottom" wrapText="0"/>
    </xf>
    <xf borderId="0" fillId="3" fontId="45" numFmtId="0" xfId="0" applyAlignment="1" applyFont="1">
      <alignment horizontal="left" readingOrder="0"/>
    </xf>
    <xf borderId="0" fillId="3" fontId="45" numFmtId="0" xfId="0" applyAlignment="1" applyFont="1">
      <alignment horizontal="left" readingOrder="0" vertical="center"/>
    </xf>
    <xf borderId="0" fillId="0" fontId="3" numFmtId="0" xfId="0" applyAlignment="1" applyFont="1">
      <alignment horizontal="center"/>
    </xf>
    <xf borderId="0" fillId="14" fontId="45" numFmtId="0" xfId="0" applyAlignment="1" applyFont="1">
      <alignment horizontal="left" readingOrder="0"/>
    </xf>
    <xf borderId="0" fillId="14" fontId="45" numFmtId="0" xfId="0" applyAlignment="1" applyFont="1">
      <alignment horizontal="left"/>
    </xf>
    <xf borderId="0" fillId="14" fontId="3" numFmtId="0" xfId="0" applyAlignment="1" applyFont="1">
      <alignment horizontal="center"/>
    </xf>
    <xf borderId="0" fillId="14" fontId="45" numFmtId="0" xfId="0" applyAlignment="1" applyFont="1">
      <alignment horizontal="center" readingOrder="0" vertical="center"/>
    </xf>
    <xf borderId="0" fillId="14" fontId="45" numFmtId="0" xfId="0" applyAlignment="1" applyFont="1">
      <alignment horizontal="left" readingOrder="0" vertical="center"/>
    </xf>
    <xf borderId="0" fillId="14" fontId="59" numFmtId="0" xfId="0" applyAlignment="1" applyFont="1">
      <alignment readingOrder="0" shrinkToFit="0" vertical="bottom" wrapText="0"/>
    </xf>
    <xf borderId="0" fillId="0" fontId="3" numFmtId="0" xfId="0" applyAlignment="1" applyFont="1">
      <alignment horizontal="center" readingOrder="0"/>
    </xf>
    <xf borderId="0" fillId="16" fontId="45" numFmtId="0" xfId="0" applyAlignment="1" applyFill="1" applyFont="1">
      <alignment horizontal="left" readingOrder="0"/>
    </xf>
    <xf borderId="0" fillId="16" fontId="4" numFmtId="0" xfId="0" applyAlignment="1" applyFont="1">
      <alignment horizontal="left" readingOrder="0" shrinkToFit="0" textRotation="0" vertical="center" wrapText="1"/>
    </xf>
    <xf borderId="0" fillId="16" fontId="45" numFmtId="0" xfId="0" applyAlignment="1" applyFont="1">
      <alignment horizontal="left"/>
    </xf>
    <xf borderId="0" fillId="16" fontId="3" numFmtId="0" xfId="0" applyAlignment="1" applyFont="1">
      <alignment horizontal="center"/>
    </xf>
    <xf borderId="0" fillId="16" fontId="45" numFmtId="0" xfId="0" applyAlignment="1" applyFont="1">
      <alignment horizontal="center" readingOrder="0" vertical="center"/>
    </xf>
    <xf borderId="0" fillId="16" fontId="45" numFmtId="0" xfId="0" applyAlignment="1" applyFont="1">
      <alignment horizontal="left" readingOrder="0" shrinkToFit="0" vertical="center" wrapText="1"/>
    </xf>
    <xf borderId="0" fillId="16" fontId="45" numFmtId="0" xfId="0" applyAlignment="1" applyFont="1">
      <alignment horizontal="left" vertical="center"/>
    </xf>
    <xf borderId="0" fillId="16" fontId="4" numFmtId="0" xfId="0" applyAlignment="1" applyFont="1">
      <alignment horizontal="left" shrinkToFit="0" textRotation="0" vertical="center" wrapText="1"/>
    </xf>
    <xf borderId="0" fillId="16" fontId="4" numFmtId="0" xfId="0" applyAlignment="1" applyFont="1">
      <alignment horizontal="center" shrinkToFit="0" textRotation="0" vertical="center" wrapText="1"/>
    </xf>
    <xf borderId="0" fillId="0" fontId="6" numFmtId="0" xfId="0" applyAlignment="1" applyFont="1">
      <alignment readingOrder="0" shrinkToFit="0" wrapText="1"/>
    </xf>
    <xf borderId="0" fillId="0" fontId="4" numFmtId="0" xfId="0" applyAlignment="1" applyFont="1">
      <alignment readingOrder="0"/>
    </xf>
    <xf borderId="0" fillId="0" fontId="6" numFmtId="0" xfId="0" applyAlignment="1" applyFont="1">
      <alignment readingOrder="0"/>
    </xf>
    <xf borderId="0" fillId="3" fontId="45" numFmtId="0" xfId="0" applyAlignment="1" applyFont="1">
      <alignment horizontal="left"/>
    </xf>
    <xf borderId="0" fillId="0" fontId="3" numFmtId="0" xfId="0" applyAlignment="1" applyFont="1">
      <alignment horizontal="center" readingOrder="0" vertical="center"/>
    </xf>
    <xf borderId="0" fillId="3" fontId="45" numFmtId="0" xfId="0" applyAlignment="1" applyFont="1">
      <alignment horizontal="left" vertical="center"/>
    </xf>
    <xf borderId="0" fillId="0" fontId="45" numFmtId="0" xfId="0" applyAlignment="1" applyFont="1">
      <alignment readingOrder="0" shrinkToFit="0" vertical="bottom" wrapText="0"/>
    </xf>
    <xf borderId="0" fillId="4" fontId="48" numFmtId="0" xfId="0" applyAlignment="1" applyFont="1">
      <alignment readingOrder="0"/>
    </xf>
    <xf borderId="0" fillId="4" fontId="10" numFmtId="0" xfId="0" applyAlignment="1" applyFont="1">
      <alignment horizontal="center" shrinkToFit="0" textRotation="0" vertical="center" wrapText="1"/>
    </xf>
    <xf borderId="0" fillId="0" fontId="3" numFmtId="0" xfId="0" applyAlignment="1" applyFont="1">
      <alignment readingOrder="0"/>
    </xf>
    <xf borderId="0" fillId="14" fontId="60" numFmtId="0" xfId="0" applyAlignment="1" applyFont="1">
      <alignment readingOrder="0"/>
    </xf>
    <xf borderId="0" fillId="0" fontId="2" numFmtId="0" xfId="0" applyAlignment="1" applyFont="1">
      <alignment readingOrder="0"/>
    </xf>
    <xf borderId="0" fillId="4" fontId="48" numFmtId="0" xfId="0" applyAlignment="1" applyFont="1">
      <alignment readingOrder="0" shrinkToFit="0" wrapText="1"/>
    </xf>
    <xf borderId="0" fillId="3" fontId="3" numFmtId="0" xfId="0" applyAlignment="1" applyFont="1">
      <alignment vertical="bottom"/>
    </xf>
    <xf borderId="0" fillId="0" fontId="0" numFmtId="0" xfId="0" applyFont="1"/>
    <xf borderId="0" fillId="0" fontId="0" numFmtId="0" xfId="0" applyAlignment="1" applyFont="1">
      <alignment horizontal="center"/>
    </xf>
    <xf borderId="0" fillId="0" fontId="3" numFmtId="0" xfId="0" applyAlignment="1" applyFont="1">
      <alignment horizontal="left" readingOrder="0" shrinkToFit="0" textRotation="0" vertical="center" wrapText="1"/>
    </xf>
    <xf borderId="0" fillId="0" fontId="3" numFmtId="0" xfId="0" applyAlignment="1" applyFont="1">
      <alignment vertical="bottom"/>
    </xf>
    <xf borderId="0" fillId="0" fontId="3" numFmtId="0" xfId="0" applyAlignment="1" applyFont="1">
      <alignment shrinkToFit="0" textRotation="0" wrapText="1"/>
    </xf>
    <xf borderId="0" fillId="0" fontId="3" numFmtId="0" xfId="0" applyAlignment="1" applyFont="1">
      <alignment readingOrder="0" shrinkToFit="0" wrapText="1"/>
    </xf>
    <xf borderId="0" fillId="0" fontId="4" numFmtId="0" xfId="0" applyAlignment="1" applyFont="1">
      <alignment horizontal="left" readingOrder="0"/>
    </xf>
    <xf borderId="0" fillId="0" fontId="4" numFmtId="0" xfId="0" applyAlignment="1" applyFont="1">
      <alignment horizontal="center" readingOrder="0" vertical="center"/>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horizontal="left" readingOrder="0" vertical="center"/>
    </xf>
    <xf borderId="0" fillId="4" fontId="3" numFmtId="0" xfId="0" applyAlignment="1" applyFont="1">
      <alignment horizontal="left" readingOrder="0" shrinkToFit="0" textRotation="0" vertical="center" wrapText="1"/>
    </xf>
    <xf borderId="0" fillId="4" fontId="3" numFmtId="0" xfId="0" applyAlignment="1" applyFont="1">
      <alignment horizontal="left" shrinkToFit="0" textRotation="0" vertical="center" wrapText="1"/>
    </xf>
    <xf borderId="0" fillId="4" fontId="3" numFmtId="0" xfId="0" applyAlignment="1" applyFont="1">
      <alignment horizontal="center" readingOrder="0" shrinkToFit="0" textRotation="0" vertical="center" wrapText="1"/>
    </xf>
    <xf borderId="0" fillId="4" fontId="3" numFmtId="0" xfId="0" applyAlignment="1" applyFont="1">
      <alignment readingOrder="0"/>
    </xf>
    <xf borderId="0" fillId="4" fontId="3" numFmtId="0" xfId="0" applyAlignment="1" applyFont="1">
      <alignment horizontal="center" shrinkToFit="0" textRotation="0" vertical="center" wrapText="1"/>
    </xf>
    <xf borderId="0" fillId="0" fontId="54" numFmtId="0" xfId="0" applyAlignment="1" applyFont="1">
      <alignment horizontal="left" shrinkToFit="0" textRotation="0" vertical="center" wrapText="1"/>
    </xf>
    <xf borderId="0" fillId="0" fontId="3" numFmtId="0" xfId="0" applyAlignment="1" applyFont="1">
      <alignment readingOrder="0" shrinkToFit="0" textRotation="0" wrapText="1"/>
    </xf>
    <xf borderId="0" fillId="17" fontId="61" numFmtId="0" xfId="0" applyAlignment="1" applyFill="1" applyFont="1">
      <alignment readingOrder="0" shrinkToFit="0" wrapText="1"/>
    </xf>
    <xf borderId="0" fillId="0" fontId="62" numFmtId="0" xfId="0" applyAlignment="1" applyFont="1">
      <alignment readingOrder="0" shrinkToFit="0" wrapText="1"/>
    </xf>
    <xf borderId="0" fillId="0" fontId="16" numFmtId="0" xfId="0" applyAlignment="1" applyFont="1">
      <alignment horizontal="left" readingOrder="0" shrinkToFit="0" textRotation="0" vertical="center" wrapText="1"/>
    </xf>
    <xf borderId="0" fillId="3" fontId="4" numFmtId="0" xfId="0" applyAlignment="1" applyFont="1">
      <alignment horizontal="left" readingOrder="0"/>
    </xf>
    <xf borderId="0" fillId="3" fontId="4" numFmtId="0" xfId="0" applyAlignment="1" applyFont="1">
      <alignment horizontal="center" readingOrder="0" vertical="center"/>
    </xf>
    <xf borderId="0" fillId="3" fontId="4" numFmtId="0" xfId="0" applyAlignment="1" applyFont="1">
      <alignment horizontal="left" readingOrder="0" vertical="center"/>
    </xf>
    <xf borderId="0" fillId="0" fontId="3" numFmtId="0" xfId="0" applyAlignment="1" applyFont="1">
      <alignment horizontal="center" readingOrder="0" shrinkToFit="0" textRotation="0" vertical="center" wrapText="1"/>
    </xf>
    <xf borderId="0" fillId="0" fontId="45" numFmtId="0" xfId="0" applyAlignment="1" applyFont="1">
      <alignment readingOrder="0" shrinkToFit="0" wrapText="1"/>
    </xf>
    <xf borderId="0" fillId="0" fontId="3" numFmtId="0" xfId="0" applyAlignment="1" applyFont="1">
      <alignment horizontal="center" shrinkToFit="0" textRotation="0" vertical="center" wrapText="1"/>
    </xf>
    <xf borderId="0" fillId="0" fontId="0" numFmtId="0" xfId="0" applyAlignment="1" applyFont="1">
      <alignment shrinkToFit="0" wrapText="1"/>
    </xf>
    <xf borderId="0" fillId="0" fontId="20" numFmtId="0" xfId="0" applyAlignment="1" applyFont="1">
      <alignment horizontal="left" shrinkToFit="0" textRotation="0" vertical="center" wrapText="1"/>
    </xf>
    <xf borderId="0" fillId="0" fontId="54" numFmtId="0" xfId="0" applyAlignment="1" applyFont="1">
      <alignment horizontal="center" shrinkToFit="0" textRotation="0" vertical="center" wrapText="1"/>
    </xf>
    <xf borderId="0" fillId="0" fontId="20" numFmtId="0" xfId="0" applyAlignment="1" applyFont="1">
      <alignment horizontal="center" shrinkToFit="0" textRotation="0" vertical="center" wrapText="1"/>
    </xf>
    <xf borderId="0" fillId="0" fontId="63" numFmtId="0" xfId="0" applyAlignment="1" applyFont="1">
      <alignment horizontal="left" readingOrder="0" shrinkToFit="0" textRotation="0" vertical="center" wrapText="1"/>
    </xf>
    <xf borderId="0" fillId="0" fontId="20" numFmtId="0" xfId="0" applyAlignment="1" applyFont="1">
      <alignment horizontal="left" readingOrder="0" shrinkToFit="0" textRotation="0" vertical="center" wrapText="1"/>
    </xf>
    <xf borderId="0" fillId="0" fontId="6" numFmtId="0" xfId="0" applyAlignment="1" applyFont="1">
      <alignment shrinkToFit="0" wrapText="1"/>
    </xf>
    <xf borderId="0" fillId="0" fontId="0" numFmtId="0" xfId="0" applyAlignment="1" applyFont="1">
      <alignment readingOrder="0" shrinkToFit="0" wrapText="1"/>
    </xf>
    <xf borderId="0" fillId="0" fontId="55" numFmtId="0" xfId="0" applyAlignment="1" applyFont="1">
      <alignment readingOrder="0" shrinkToFit="0" wrapText="1"/>
    </xf>
    <xf borderId="0" fillId="0" fontId="64" numFmtId="0" xfId="0" applyAlignment="1" applyFont="1">
      <alignment horizontal="left" readingOrder="0" shrinkToFit="0" textRotation="0" vertical="center" wrapText="1"/>
    </xf>
    <xf borderId="0" fillId="0" fontId="29" numFmtId="0" xfId="0" applyAlignment="1" applyFont="1">
      <alignment horizontal="left" readingOrder="0" shrinkToFit="0" textRotation="0" vertical="center" wrapText="1"/>
    </xf>
    <xf borderId="0" fillId="0" fontId="54" numFmtId="0" xfId="0" applyAlignment="1" applyFont="1">
      <alignment horizontal="left" readingOrder="0" shrinkToFit="0" textRotation="0" vertical="center" wrapText="1"/>
    </xf>
    <xf borderId="0" fillId="0" fontId="6" numFmtId="0" xfId="0" applyAlignment="1" applyFont="1">
      <alignment horizontal="left" shrinkToFit="0" wrapText="1"/>
    </xf>
  </cellXfs>
  <cellStyles count="1">
    <cellStyle xfId="0" name="Normal" builtinId="0"/>
  </cellStyles>
  <dxfs count="7">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none"/>
      </fill>
      <border/>
    </dxf>
    <dxf>
      <font/>
      <fill>
        <patternFill patternType="solid">
          <fgColor rgb="FF9900FF"/>
          <bgColor rgb="FF9900FF"/>
        </patternFill>
      </fill>
      <border/>
    </dxf>
    <dxf>
      <font>
        <color rgb="FF00FF00"/>
      </font>
      <fill>
        <patternFill patternType="none"/>
      </fill>
      <border/>
    </dxf>
  </dxfs>
  <tableStyles count="3">
    <tableStyle count="3" pivot="0" name="Datos5-Atendido-style">
      <tableStyleElement dxfId="1" type="headerRow"/>
      <tableStyleElement dxfId="2" type="firstRowStripe"/>
      <tableStyleElement dxfId="3" type="secondRowStripe"/>
    </tableStyle>
    <tableStyle count="3" pivot="0" name="Datos4-En validación -Colapso E-style">
      <tableStyleElement dxfId="1" type="headerRow"/>
      <tableStyleElement dxfId="2" type="firstRowStripe"/>
      <tableStyleElement dxfId="3" type="secondRowStripe"/>
    </tableStyle>
    <tableStyle count="3" pivot="0" name="Datos3-Atendido-Colapso Estruc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6"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B7B7B"/>
                </a:solidFill>
                <a:latin typeface="+mn-lt"/>
              </a:defRPr>
            </a:pPr>
            <a:r>
              <a:rPr b="0">
                <a:solidFill>
                  <a:srgbClr val="7B7B7B"/>
                </a:solidFill>
                <a:latin typeface="+mn-lt"/>
              </a:rPr>
              <a:t>Casos por Comuna</a:t>
            </a:r>
          </a:p>
        </c:rich>
      </c:tx>
      <c:overlay val="0"/>
    </c:title>
    <c:plotArea>
      <c:layout/>
      <c:barChart>
        <c:barDir val="bar"/>
        <c:grouping val="stacked"/>
        <c:ser>
          <c:idx val="0"/>
          <c:order val="0"/>
          <c:tx>
            <c:strRef>
              <c:f>DashBoard!$I$3:$I$4</c:f>
            </c:strRef>
          </c:tx>
          <c:spPr>
            <a:solidFill>
              <a:schemeClr val="accent1"/>
            </a:solidFill>
            <a:ln cmpd="sng">
              <a:noFill/>
            </a:ln>
          </c:spPr>
          <c:cat>
            <c:strRef>
              <c:f>DashBoard!$H$5:$H$18</c:f>
            </c:strRef>
          </c:cat>
          <c:val>
            <c:numRef>
              <c:f>DashBoard!$I$5:$I$18</c:f>
              <c:numCache/>
            </c:numRef>
          </c:val>
        </c:ser>
        <c:overlap val="100"/>
        <c:axId val="1989179958"/>
        <c:axId val="34791711"/>
      </c:barChart>
      <c:catAx>
        <c:axId val="1989179958"/>
        <c:scaling>
          <c:orientation val="maxMin"/>
        </c:scaling>
        <c:delete val="0"/>
        <c:axPos val="l"/>
        <c:title>
          <c:tx>
            <c:rich>
              <a:bodyPr/>
              <a:lstStyle/>
              <a:p>
                <a:pPr lvl="0">
                  <a:defRPr b="0">
                    <a:solidFill>
                      <a:srgbClr val="0A0A0A"/>
                    </a:solidFill>
                    <a:latin typeface="+mn-lt"/>
                  </a:defRPr>
                </a:pPr>
                <a:r>
                  <a:rPr b="0">
                    <a:solidFill>
                      <a:srgbClr val="0A0A0A"/>
                    </a:solidFill>
                    <a:latin typeface="+mn-lt"/>
                  </a:rPr>
                  <a:t>Comuna</a:t>
                </a:r>
              </a:p>
            </c:rich>
          </c:tx>
          <c:overlay val="0"/>
        </c:title>
        <c:numFmt formatCode="General" sourceLinked="1"/>
        <c:majorTickMark val="none"/>
        <c:minorTickMark val="none"/>
        <c:spPr>
          <a:ln>
            <a:noFill/>
          </a:ln>
        </c:spPr>
        <c:txPr>
          <a:bodyPr/>
          <a:lstStyle/>
          <a:p>
            <a:pPr lvl="0">
              <a:defRPr b="0">
                <a:solidFill>
                  <a:srgbClr val="0A0A0A"/>
                </a:solidFill>
                <a:latin typeface="+mn-lt"/>
              </a:defRPr>
            </a:pPr>
          </a:p>
        </c:txPr>
        <c:crossAx val="34791711"/>
      </c:catAx>
      <c:valAx>
        <c:axId val="347917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A0A0A"/>
                    </a:solidFill>
                    <a:latin typeface="+mn-lt"/>
                  </a:defRPr>
                </a:pPr>
                <a:r>
                  <a:rPr b="0">
                    <a:solidFill>
                      <a:srgbClr val="0A0A0A"/>
                    </a:solidFill>
                    <a:latin typeface="+mn-lt"/>
                  </a:rPr>
                  <a:t>Casos</a:t>
                </a:r>
              </a:p>
            </c:rich>
          </c:tx>
          <c:overlay val="0"/>
        </c:title>
        <c:numFmt formatCode="General" sourceLinked="1"/>
        <c:majorTickMark val="none"/>
        <c:minorTickMark val="none"/>
        <c:tickLblPos val="nextTo"/>
        <c:spPr>
          <a:ln>
            <a:noFill/>
          </a:ln>
        </c:spPr>
        <c:txPr>
          <a:bodyPr/>
          <a:lstStyle/>
          <a:p>
            <a:pPr lvl="0">
              <a:defRPr b="0">
                <a:solidFill>
                  <a:srgbClr val="0A0A0A"/>
                </a:solidFill>
                <a:latin typeface="+mn-lt"/>
              </a:defRPr>
            </a:pPr>
          </a:p>
        </c:txPr>
        <c:crossAx val="1989179958"/>
        <c:crosses val="max"/>
      </c:valAx>
    </c:plotArea>
    <c:legend>
      <c:legendPos val="r"/>
      <c:overlay val="0"/>
      <c:txPr>
        <a:bodyPr/>
        <a:lstStyle/>
        <a:p>
          <a:pPr lvl="0">
            <a:defRPr b="0">
              <a:solidFill>
                <a:srgbClr val="232323"/>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342900</xdr:colOff>
      <xdr:row>1</xdr:row>
      <xdr:rowOff>76200</xdr:rowOff>
    </xdr:from>
    <xdr:ext cx="6591300" cy="40767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2184" sheet="EDAN 100826 - Datos Madre"/>
  </cacheSource>
  <cacheFields>
    <cacheField name="Consecutiv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m/>
      </sharedItems>
    </cacheField>
    <cacheField name="Prioridad" numFmtId="0">
      <sharedItems containsBlank="1">
        <s v="ALTA"/>
        <s v="BAJO"/>
        <s v="-"/>
        <s v="MEDIO"/>
        <s v="MEDIA"/>
        <m/>
        <s v="ALTO"/>
        <s v="Prioritaria"/>
        <s v="BAJO "/>
      </sharedItems>
    </cacheField>
    <cacheField name="Estado" numFmtId="0">
      <sharedItems containsBlank="1">
        <s v="Atendido"/>
        <s v="En atención"/>
        <s v="Visitado"/>
        <s v="ANULADO"/>
        <s v="Pendiente"/>
        <s v="En validación"/>
        <s v="Validado"/>
        <m/>
        <s v="Pendeiente"/>
        <s v="Sin atender"/>
      </sharedItems>
    </cacheField>
    <cacheField name="Color semaforo" numFmtId="0">
      <sharedItems containsBlank="1">
        <s v="NARANJA"/>
        <s v="MORADO"/>
        <s v="NEGRO"/>
        <s v="VERDE"/>
        <s v="AMARILLO"/>
        <s v="ROJO"/>
        <s v="SIN CLASIFICAR"/>
        <m/>
      </sharedItems>
    </cacheField>
    <cacheField name="Urgente" numFmtId="0">
      <sharedItems containsBlank="1">
        <s v="SI"/>
        <s v=""/>
        <s v="-"/>
        <m/>
      </sharedItems>
    </cacheField>
    <cacheField name="Comuna - Corregimiento" numFmtId="0">
      <sharedItems containsBlank="1">
        <s v="Comuna 19"/>
        <s v="Comuna 17"/>
        <s v="-"/>
        <s v="Comuna 9"/>
        <s v="Comuna 5"/>
        <s v="Comuna 3"/>
        <s v="Comuna 10"/>
        <s v="Comuna 2"/>
        <s v="Comuna 4"/>
        <s v="Comuna 18"/>
        <s v="Comuna 22"/>
        <s v="Comuna 16"/>
        <s v="Comuna 1"/>
        <s v="Comuna 21"/>
        <s v="Comuna 15"/>
        <s v="Comuna 6"/>
        <s v="Comuna 14"/>
        <s v="Comuna 13"/>
        <s v="Comuna 8"/>
        <s v="Comuna 11"/>
        <s v="Montebello"/>
        <s v="Los Andes"/>
        <s v="Comuna 20"/>
        <s v="Comuna 7"/>
        <s v="Golondrinas"/>
        <s v="La Buitrera"/>
        <s v="Felidia"/>
        <m/>
        <s v="Comuna"/>
        <s v="comuna 5 "/>
      </sharedItems>
    </cacheField>
    <cacheField name="Sector" numFmtId="0">
      <sharedItems containsBlank="1">
        <s v="Sur"/>
        <s v="-"/>
        <s v="Centro"/>
        <s v="Norte"/>
        <s v="Oriente"/>
        <s v="Oeste"/>
        <s v="Suroeste"/>
        <s v="Suroriente"/>
        <s v="Rural"/>
        <s v="Nororiente"/>
        <s v="Nor Oriente"/>
        <s v="Sur - Occidente"/>
        <s v="Sur-Occidental"/>
        <s v="Sur-Occidente"/>
        <s v="Centro-Oeste"/>
        <s v="Occidente"/>
        <s v="Bretaña"/>
        <m/>
        <s v="Centro-sur"/>
        <s v="Sur "/>
        <s v="Centrica"/>
        <s v="norte "/>
      </sharedItems>
    </cacheField>
    <cacheField name="Barrio">
      <sharedItems containsDate="1" containsBlank="1" containsMixedTypes="1">
        <s v="El Lido"/>
        <s v="La Hacienda"/>
        <s v="Limonar"/>
        <s v="-"/>
        <s v="Cuarto de Legua"/>
        <s v="Pampalinda"/>
        <s v="Los Cámbulos"/>
        <s v="Olimpico"/>
        <s v="San Fernando"/>
        <s v="Junin"/>
        <s v="Urbanización Tequendama"/>
        <s v="Chiminangos II"/>
        <s v="Tequendama"/>
        <s v="El Refugio"/>
        <s v="Poblado ll"/>
        <s v="San Bosco"/>
        <s v="Eucarístico"/>
        <s v="Centro"/>
        <s v="El Limonar"/>
        <s v="San Pedro"/>
        <s v="Alameda"/>
        <s v="Torres de Comfandi"/>
        <s v="Colseguros"/>
        <s v="Barranquilla"/>
        <s v="Nuevo Tequendama"/>
        <s v="San Vicente"/>
        <s v="El templete"/>
        <s v="Bueno Madrid"/>
        <s v="Asturias"/>
        <s v="San Miguel"/>
        <s v="Valle del Lili"/>
        <s v="Altos de Santa Elena / Polvorines"/>
        <s v="La Flora"/>
        <s v="San Fernando Nuevo"/>
        <s v="Bosques del Limonar"/>
        <s v="Cámbulos"/>
        <s v="Versalles"/>
        <s v="Cristóbal Colón"/>
        <s v="Esmeralda"/>
        <s v="Las Vegas"/>
        <s v="Salomia"/>
        <s v="Buenos Aires"/>
        <s v="Prados del Norte"/>
        <s v="Santa Mónica Residencial"/>
        <s v="Ciudad 2000"/>
        <s v="Unión de Vivienda Popular"/>
        <s v="Mariano ramos"/>
        <s v="El Cedro"/>
        <s v="Alto Jordan"/>
        <s v="El Gran Limonar"/>
        <s v="Refugio"/>
        <s v="Mayapan"/>
        <s v="Cuarto de Legua – Guadalupe"/>
        <s v="Bajo Aguacatal"/>
        <s v="Sucre"/>
        <s v="Santa Elena"/>
        <s v="El ingenio"/>
        <s v="Ciudadela Pasoancho"/>
        <s v="Villa del mar"/>
        <s v="Valle grande"/>
        <s v="La Riviera/ San Marino"/>
        <s v="Guadalupe"/>
        <s v="Los andes"/>
        <s v="Prados del N."/>
        <s v="Ciudad Cordoba etapa II"/>
        <s v="Melendez"/>
        <s v="El Peñon"/>
        <s v="Valle de lili"/>
        <d v="2026-07-04T00:00:00Z"/>
        <s v="Flora Ind."/>
        <s v="Barrio el Cedro"/>
        <s v="Primero de mayo"/>
        <s v="Urbanizacion Barranquilla"/>
        <s v="Las Camelias"/>
        <s v="Tres de julio"/>
        <s v="Los Cambulos"/>
        <s v="Capri"/>
        <s v="San Nicolas"/>
        <s v="Camino Real"/>
        <s v="Marroquin 2"/>
        <s v="Brisas de los Alamos"/>
        <s v="El poblado II"/>
        <s v="Terron Colorado"/>
        <s v="Patios de la Fora"/>
        <s v="Los Chorros"/>
        <s v="san luis"/>
        <s v="Joaquin Borrero - Cañaveralejo"/>
        <s v="Champagnat"/>
        <s v="Colseguros andes"/>
        <s v="Panamericano"/>
        <s v="Antonio Nariño"/>
        <s v="Santa Monica Norte"/>
        <s v="Portal de Santillana"/>
        <s v="Barrio 3 de Julio por el estadio oriental"/>
        <s v="La Campiña"/>
        <s v="Libertadores"/>
        <s v="San Juan Bosco"/>
        <s v="Templete"/>
        <s v="Nueva Tequendama"/>
        <s v="Terrón colorado, sector Casas Nuevas"/>
        <s v="El jordan"/>
        <s v="Cedro"/>
        <s v="Club residencial los cristales"/>
        <s v="nueva granada"/>
        <s v="3 de Julio"/>
        <s v="El Seminario"/>
        <s v="Ciudad Melendez"/>
        <s v="Pizamos II"/>
        <s v="Santa Isabel"/>
        <s v="El Sindical"/>
        <s v="Quintas de Don Simón"/>
        <s v="Ciudad Cordoba"/>
        <s v="La Merced"/>
        <s v="Pampa Linda"/>
        <s v="Vientos de Guadalupe"/>
        <s v="Cuarto de Llegua"/>
        <s v="Juanambu"/>
        <s v="Cañaveralejo"/>
        <s v="villacolombia"/>
        <s v="Las Acacias"/>
        <s v="Tejares de San Fernando"/>
        <s v="Santa Monica Residencial"/>
        <s v="Bretaña"/>
        <s v="Alfonso Bonilla"/>
        <s v="Alférez real"/>
        <s v="La Independencia"/>
        <s v="pacara"/>
        <s v="palma real"/>
        <s v="San Fernando Viejo"/>
        <s v="Pondaje"/>
        <s v="Santa Anita Reserva"/>
        <s v="Normandia"/>
        <s v="El rincon"/>
        <s v="Sector La Escuela"/>
        <s v="Vereda Campo Alegre"/>
        <s v="Montebello"/>
        <s v="Menga"/>
        <s v="Cuerto de Legua"/>
        <s v="centenario"/>
        <s v="santa anita"/>
        <s v="Pance"/>
        <s v="Ciudad Capri"/>
        <s v="polvorines"/>
        <s v="santa monica"/>
        <s v="Vereda Atenas"/>
        <s v="La viga-pance"/>
        <s v="santa monica popular"/>
        <s v="Departamental"/>
        <s v="Bellavista"/>
        <s v="El Jardin"/>
        <s v="santa rosa"/>
        <s v="El Guabal"/>
        <s v="isabel perez"/>
        <s v="prados del sur"/>
        <s v="Cascada"/>
        <s v="Los amendros"/>
        <s v="Caldas"/>
        <s v="Los Guaduales"/>
        <s v="las ceibas"/>
        <s v="El Cristal"/>
        <s v="La Paz"/>
        <s v="Chipichape"/>
        <s v="laureano gomez"/>
        <s v="los alamos"/>
        <s v="mira flores"/>
        <s v="Guayaquil"/>
        <s v="Urbanizacion militar"/>
        <s v="Santa Mónica Popular"/>
        <s v="Cristales"/>
        <s v="Parcelaciones Pance"/>
        <s v="Ciudad Jardín"/>
        <s v="La Arboleda Altos de Melendez"/>
        <s v="Granada"/>
        <s v="Barrio Giauaquil"/>
        <s v="Barrio la flora"/>
        <s v="Altos de Melendez"/>
        <s v="Jordan"/>
        <s v="Barrio Asturias"/>
        <s v="Terrón Colorado"/>
        <s v="Charco azul"/>
        <s v="Los Almendros"/>
        <s v="Quintas de Don Simon"/>
        <s v="El Dorado"/>
        <s v="danubio"/>
        <s v="Vipasa / Flora"/>
        <s v="las vegas de comfandi"/>
        <s v="napoles"/>
        <s v="Ingenio"/>
        <s v="Ciudadela Comfandi"/>
        <s v="Pasoancho"/>
        <m/>
        <s v="San Fernando N."/>
        <s v="Vegas de confandi"/>
        <s v="Bochalema"/>
        <s v="Rural"/>
        <s v="la alameda"/>
        <s v="Alfonso López"/>
        <s v="los pinos"/>
        <s v="el vallado"/>
        <s v="Santa Monica R"/>
        <s v="Cudad Modelo"/>
        <s v="Chapinero"/>
        <s v="Cristobal colon"/>
        <s v="Meléndez"/>
        <s v="Alto Nápoles"/>
        <s v="chiminangos etapa 1"/>
        <s v="Miraflores"/>
        <s v="El troncal"/>
        <s v="Mayapan - Las Vegas"/>
        <s v="chiminangos"/>
        <s v="San Carlos"/>
        <s v="La Esperanza"/>
        <s v="Sector hora cero"/>
        <s v="Los Estudiantes"/>
        <s v="Calimio – Desepaz"/>
        <s v="la selva"/>
        <s v="La base"/>
        <s v="Alamos"/>
        <s v="Marroquín I"/>
        <s v="san cayetano"/>
        <s v="paseo los almendros"/>
        <s v="1 de mayo"/>
        <s v="el guabito"/>
        <s v="jorge eliecer gaitan"/>
        <s v="El piloto"/>
        <s v="Cuarto De Legua - Guadalupe"/>
        <s v="Cañaverales"/>
        <s v="gran limonar"/>
        <s v="Juanambú"/>
        <s v="ciudadela floralia"/>
        <s v="los portales - nuevo rey"/>
        <s v="colinas del sur"/>
        <s v="comuneros 1"/>
        <s v="Palmas"/>
        <s v="Manuel Buenaventura"/>
        <s v="Bajo Jordan"/>
        <s v="San Antonio"/>
        <s v="Belalcázar"/>
        <s v="Las Canas"/>
        <s v="Las Delicias"/>
        <s v="Golondrinas"/>
        <s v="Altos del rosario"/>
        <s v="La cascada"/>
        <s v="Felidia"/>
        <s v="Pacara y Alamos"/>
        <s v="Santa rita"/>
        <s v="Comuneros I"/>
        <s v="Puertas del sol"/>
        <s v="Andres Sanin"/>
        <s v="Juananbu"/>
        <s v="puerto mallarino"/>
        <s v="San Judas"/>
        <s v="Los Alcazares"/>
        <s v="Los Cristales"/>
        <s v="Union de Vivienda Popular"/>
        <s v="Alto Polvorines"/>
        <s v="Poblado 2"/>
        <s v="la union"/>
        <s v="Bella Suiza"/>
        <s v="Zaguasqui"/>
        <s v="Petecuy etapa 1"/>
        <s v="Los lagos distrito de agua blanca"/>
        <s v="4 de Julio"/>
        <s v="lleras camargo"/>
        <s v="San Pascual"/>
        <s v="Saavedra galindo"/>
        <s v="union de viviendas popular "/>
        <s v="Nueva Floresta"/>
        <s v="guabal"/>
        <s v="vereda las pilas del cabuyal"/>
        <s v="Alfonso Bonilla Aragón"/>
        <s v="Vipasa"/>
        <s v="Cambulos"/>
        <s v="la rivera guayacanes "/>
      </sharedItems>
    </cacheField>
    <cacheField name="Tipo" numFmtId="0">
      <sharedItems containsBlank="1">
        <s v="Edificio"/>
        <s v="-"/>
        <s v="Casa"/>
        <s v="Parroquia"/>
        <s v="Hospital"/>
        <s v="Colegio"/>
        <s v="Tipo"/>
        <s v="Clinica"/>
        <s v="Ancianato"/>
        <s v="Estacion de Servicio"/>
        <s v="Local Comercial"/>
        <s v="Unidad residencial"/>
        <s v="U. Residencial"/>
        <s v="Panaderia"/>
        <s v="Taller"/>
        <s v="Notaria"/>
        <s v="Empresa"/>
        <s v="Conjunto residencial"/>
        <s v="Supermercado"/>
        <s v="Casas - varias"/>
        <s v="Casa antigua"/>
        <s v="Edificio multiusos"/>
        <s v="Edificio rosales"/>
        <s v="capilla"/>
        <m/>
        <s v="Casas"/>
        <s v="Edificios"/>
        <s v="Hotel"/>
        <s v="Vivienda"/>
        <s v="Edifico"/>
        <s v="Edifico "/>
        <s v="Edificio "/>
        <s v="casa "/>
      </sharedItems>
    </cacheField>
    <cacheField name=" " numFmtId="0">
      <sharedItems containsBlank="1">
        <s v="Carrera 44 con calle 5"/>
        <s v="Carrera 72 con calle 11"/>
        <s v="Calle 10 Bis # 70 34"/>
        <s v="-"/>
        <s v="Carrera 57 # 3-88"/>
        <s v="Calle 3 # 61B"/>
        <s v="Av. Roosevelt (Calle 6) con Carrera 42"/>
        <s v="Carrera 38a # 10"/>
        <s v="Carrera 36 con Calle 5 B2 69"/>
        <s v="Carrera 58 # 3-138"/>
        <s v="Autopista Sur # 13-01"/>
        <s v="Calle 5 con Carrera 42"/>
        <s v="Calle 62B # 1A9-365"/>
        <s v="Carrera 42 con calle 5"/>
        <s v="Carrera 67 # 3c -15"/>
        <s v="Calle 72U # 28E-00, Poblado II"/>
        <s v="Calle 9 con Carrera 18"/>
        <s v="Carrera 40 # 4B-26"/>
        <s v="Calle 10 38 21"/>
        <s v="Carrera 52 # 3 20"/>
        <s v="Carrera 38A # 6 38"/>
        <s v="Carrera 5 # 13 46"/>
        <s v="CRE 52 # 2-01"/>
        <s v="Carrera 44 con Calle 9 35"/>
        <s v="Carrera 72 # 10 Bis-21"/>
        <s v="Calle 5E # 40 - 36"/>
        <s v="Calle 14 #5-20"/>
        <s v="Calle 9 con carrera 22"/>
        <s v="Calle 62 carrera 1b"/>
        <s v="Calle 9 #5-59"/>
        <s v="carrera 10 calle 5"/>
        <s v="Calle 62B # 1A-2-50"/>
        <s v="Calle 10 #33-51"/>
        <s v="carrera 1 bis con calle 59"/>
        <s v="Calle 5 e 46 82 conunto 4 apto 302 b"/>
        <s v="carrera 68 con calle 3b 61"/>
        <s v="CR 36 5- 21-20"/>
        <s v="Calle 5 con 13 y 14"/>
        <s v="Cra. 41 &amp; Av. Roosevelt&#10;Zona: Sur"/>
        <s v="Calle 7 con Carrera 41"/>
        <s v="Av. 4 Norte #21N-54"/>
        <s v="Carrera 34 #7-00"/>
        <s v="Calle 5E #43A-34"/>
        <s v="Av. 3 Norte #32AN-40"/>
        <s v="Calle 5N # 60 65"/>
        <s v="Carrera 80 con Calle 5"/>
        <s v="Calle 3C # 63A-44"/>
        <s v="Calle 5E # 46 82"/>
        <s v="Calle 5 con Carrera 57"/>
        <s v="Calle 1B Oeste con Carrera 100"/>
        <s v="Calle 1D Oeste # 100 Bis-49"/>
        <s v="Avenida 7N # 56-120"/>
        <s v="Calle 9 con Carrera 45"/>
        <s v="Calle 12B # 33 45"/>
        <s v="Calle 9 con Carrera 44"/>
        <s v="Calle 5B4 #36B-45"/>
        <s v="Calle 8 con Carrera 8"/>
        <s v="Carrera 63 # 2A 3"/>
        <s v="Carrera 66 # 13B 29"/>
        <s v="Calle 41 Norte # 4N-170"/>
        <s v="Carrera 46 calle 8 b"/>
        <s v="Carrera 23 # 9 06"/>
        <s v="Carrera 65 # 2b -14"/>
        <s v="Calle 5B2 # 31 98"/>
        <s v="Calle 3 con Carrera 4"/>
        <s v="Carrera 67 con calle 3 C"/>
        <s v="Cra. 46 #9C-85"/>
        <s v="Av. 5A Norte #23N-46/57"/>
        <s v="Calle 5 # 36-08"/>
        <s v="Carrera 62 # 2A 197"/>
        <s v="3 c norte con Calle 63"/>
        <s v="Avenida 3 Norte 59 125"/>
        <s v="Calle 15 # 33-71"/>
        <s v="Calle 5D # 38A-35"/>
        <s v="Carrera 5C con 43"/>
        <s v="Carrera 37 # 5b1 - 37"/>
        <s v="calle 2a # 78b-30"/>
        <s v="calle 19Norte con Avenida 4 Norte"/>
        <s v="carrera 59 #1e -43"/>
        <s v="Calle 5b1 con carrera 36b"/>
        <s v="calle 5b1 # 36b-06"/>
        <s v="Calle 48 #4D-11"/>
        <s v="Calle 3d con carrera 67"/>
        <s v="Calle 56 # 3 -88"/>
        <s v="Calle 1f carrera 59"/>
        <s v="Cra. 7 # 10-19"/>
        <s v="Calle 4 con carrera 44"/>
        <s v="Carrera 7 con calle 12"/>
        <s v="Carrera 39/38A # 5d - 09"/>
        <s v="calle 36 # 5 - 145"/>
        <s v="Calle 3 # 58-135"/>
        <s v="Carrera 63 # 3c - 76"/>
        <s v="Calle 36 Norte # 3GN-93"/>
        <s v="Calle 8 #39-120"/>
        <s v="Calle 22 Bis Norte # 9-11"/>
        <s v="Carrera 54 # 33B - 07"/>
        <s v="Calle 40 # 41 H - 15"/>
        <s v="Carrera 49a # 43-19"/>
        <s v="Carrera 36B # 5B3-46"/>
        <s v="Carrera 64a # 13c -65"/>
        <s v="Carrera 30a # 6 -07"/>
        <s v="Calle 4C # 35A-16"/>
        <s v="Carrera 94d # calle 2 a bis - entre carreras 94c1 y 94b1"/>
        <s v="Carrera 67 con Calle 13D"/>
        <s v="Calle 4 # 66B - 52"/>
        <s v="Carrera 83 # 6-50"/>
        <s v="Calle 1F #56-206"/>
        <s v="Calle 2 BIS # 66B 88"/>
        <s v="Carrera 41 # 5B-82"/>
        <s v="Calle 3 #66-87"/>
        <s v="Calle 24A Norte # 6N-27"/>
        <s v="Cra. 30 # 5A-57"/>
        <s v="Carrera 22 #11a - 44"/>
        <s v="Carrera 46 # 8 -20"/>
        <s v="Calle 19 Norte #4N-15"/>
        <s v="Calle 13A #64-50"/>
        <s v="Calle 23N # 6A - 65"/>
        <s v="Calle 5B # 29 - 17"/>
        <s v="Carrera 66–70"/>
        <s v="Carrera 61a # 2a-197"/>
        <s v="Calle 1F #59-199"/>
        <s v="Carrera 13A # 66B 16"/>
        <s v="Calle 6 con Carrera 42"/>
        <s v="Carrera 36 #5B3-40"/>
        <s v="Calle 5 # 80-00"/>
        <s v="Carrera 36B #5B3-29"/>
        <s v="Calle 4 con Carrera 58"/>
        <s v="Calle 5 #39-173"/>
        <s v="Avenida 15 Oeste #5-43"/>
        <s v="Calle 11 #12-57"/>
        <s v="Carrera 98 f # 58 - 66 Local 06"/>
        <s v="Calle 16 # 25 - 65"/>
        <s v="Carrera 75 # 13 -196"/>
        <s v="Carrera 67 con calle c"/>
        <s v="Calle 6 # 13 - 33"/>
        <s v="Calle 13a bis # 80 - 45"/>
        <s v="Carrera 50 # 5-173"/>
        <s v="Calle 30 c oeste # 6-26"/>
        <s v="Carrera 36 #5b1 - 52"/>
        <s v="Calle 83b # 22 -19"/>
        <s v="Carrera 3d con 67"/>
        <s v="Calle 13 a # 69-74"/>
        <s v="Calle 12a # 55 - 20"/>
        <s v="Carrera 54 #1a-60"/>
        <s v="Carrera 39a 5d -69"/>
        <s v="Calle 2a # 66 b- 86"/>
        <s v="Calle 10 carrera 71"/>
        <s v="Calle 59c # 2 - 65"/>
        <s v="Calle 37an # 2an - 07"/>
        <s v="Calle 9a # 42-55"/>
        <s v="Calle 47 # 49a -94"/>
        <s v="Calle 12 - 92 - 133"/>
        <s v="Calle 1 oeste #36b -05"/>
        <s v="Carrera 102 # 25-83"/>
        <s v="Calle 4 oeste # 14 -65"/>
        <s v="Carrera 57 # 4- 46"/>
        <s v="Carrera 61 # 26-54"/>
        <s v="Calle 14 a # 50a - 22"/>
        <s v="Carrera 27 #5 b - 29"/>
        <s v="Calle 49 n # 3gn - 93"/>
        <s v="Carrera 67 # 3c"/>
        <s v="Calle 49n #3gn -77"/>
        <s v="Carrera 30 8a-35"/>
        <s v="Carrera 53 # 13 65"/>
        <s v="Carrera 94b # 2 -46"/>
        <s v="Calle 62 # 1c1 - 18"/>
        <s v="calle 4 con carrera 60 a"/>
        <s v="Calle 2A 78B 30, Apto 401B"/>
        <s v="Calle 14 49A 29"/>
        <s v="Carrera 26 # 5c -06"/>
        <s v="Calle 9 con 24"/>
        <s v="Carrera 67 con calle 3c -15"/>
        <s v="Carrera 41 con 7 - 45"/>
        <s v="Calle 10 con carera 71"/>
        <s v="Calle 21 #2-05"/>
        <s v="Calle 3d con 67"/>
        <s v="Carrera 59a # 7 35"/>
        <s v="Calle 12 # 12 - 18"/>
        <s v="avenida 6 norte 26N -58"/>
        <s v="cra 26g3 #73-04"/>
        <s v="Calle 3 # 55 b - 72"/>
        <s v="Carrera 42 con 5"/>
        <s v="Carrera 35 #3A-65"/>
        <s v="calle 74 AN # 2a-03"/>
        <s v="Calle 9 #12-65"/>
        <s v="Carrera 28 d # 72w -14"/>
        <s v="Av 5 Oeste #26-21"/>
        <s v="Calle 58 Norte #5BN75"/>
        <s v="Carrera 41 con 7"/>
        <s v="Carrera 39 #5d-09"/>
        <s v="Carrera 69 # 1-74"/>
        <s v="Carrera 62 #2a -97"/>
        <s v="Calle 4 con 61 a"/>
        <s v="Carrera 42 #5-25"/>
        <s v="Calle 1b # 55 - 25"/>
        <s v="carrera 1 B2 # 72 -15"/>
        <s v="Calle 34an #2an -70"/>
        <s v="Avenida 4B norte # 52N 76"/>
        <s v="Calle 19 Oeste 4A-30"/>
        <s v="Carrera 56 # 3 -26"/>
        <s v="Carrera 59 #5-39"/>
        <s v="Carrera 39 # 9b -06"/>
        <s v="Calle 52 # 3-20"/>
        <s v="Calle 21n # 5bn -22"/>
        <s v="Calle 9c #31A-25"/>
        <s v="Carrera 59 #1E-45"/>
        <s v="Calle 38 #5n-30"/>
        <s v="Calle 12c #29b-115"/>
        <s v="Calle 12 C # 31-23"/>
        <s v="Carrera 44 #12a -17"/>
        <s v="Carrera 3a #6-38"/>
        <s v="Carrera 40 #40-04"/>
        <s v="Calle 31N #6bis 32"/>
        <s v="Avenida 6b norte 28n -56"/>
        <s v="Carrera 56 #1b-81"/>
        <s v="Calle 12B#23-24"/>
        <s v="Carrera 56 # 3-88"/>
        <s v="Calle 5B1 #29-75"/>
        <s v="Carrea 5 b con 39"/>
        <s v="Avenida 6N # 44-31 La Campiña"/>
        <s v="Calle 5 b 2 # 38-91"/>
        <s v="Calle 1A #22-06"/>
        <s v="carrera 46 # 8b -95"/>
        <s v="Carrera 4 con 9"/>
        <s v="Carrera 83 #15-76"/>
        <s v="Calle 6 carrera 13"/>
        <s v="Carrera 24 # 07 -11"/>
        <s v="Carrera 58 No. 3-125"/>
        <s v="Carrera 36a bis # 6-66"/>
        <s v="Carrera 36 # con 5"/>
        <s v="Carrera 72 #10a - 10"/>
        <s v="Avenida 2b2 # 73 bis -99"/>
        <s v="Carrera 98 #48-30"/>
        <s v="Calle 8b #45- 15"/>
        <s v="Calle 5 con 56"/>
        <s v="Carrera 37 #4A Bis - 49"/>
        <s v="Avenida 6ta Oeste # 13-115"/>
        <s v="Carrera 34 #13-51"/>
        <s v="Carrera 36 #5B3-62"/>
        <s v="Carrera 94c #2-46"/>
        <s v="Calle 23N # 3N-63"/>
        <s v="Carrera 36C #5B1-81"/>
        <s v="Carrera 90 # 54C - 50"/>
        <s v="Calle 25Norte # 5bn - 45"/>
        <s v="Carrera 30a # 6 -17"/>
        <s v="Calle 10 Oe 36B 151"/>
        <s v="Calle 62B 1A9-80 Sector 6, Agrupacion 4, Torre i"/>
        <s v="carrera 40 # 4 - 30"/>
        <s v="Carrera 30 # 5a - 52"/>
        <s v="calle 1 e # 56-205"/>
        <s v="Carrera 96 # 59 42"/>
        <s v="calle 9 con carrera 39"/>
        <s v="Cra 64A # 13A-74"/>
        <s v="Carrera 41 #7-05"/>
        <s v="Calle 5C #39-41"/>
        <s v="carrera 28 e6 calle 123 a 1-03"/>
        <s v="Avenida 3 CN #61N-40"/>
        <s v="Carrera 39 # 4b - 29"/>
        <s v="Carrera 39 # 4b-13"/>
        <s v="Calle 2 # 66b -89"/>
        <s v="Calle 7 Oeste # 35 - 09"/>
        <s v="Avenida 3F Nte #55N-120"/>
        <s v="Carrera 76 #13a -05"/>
        <s v="calle 55c # 47-96"/>
        <s v="Calle 6 #5-14"/>
        <s v="Calle 2a #60a-60"/>
        <s v="Calle 14# 54-15"/>
        <s v="Cra 57 # 2a-95"/>
        <s v="AV 11 NORTE 7 - 178"/>
        <s v="Cra 64 # 6a 57"/>
        <s v="Carrera 14 #55-15"/>
        <s v="calle 13d 57-81"/>
        <s v="Calle 25 # 24 - 98"/>
        <s v="Carrera 24e Oeste # 6 - 41"/>
        <s v="Calle 34 A Norte # 2 A 70"/>
        <s v="Av. 7 Norte # 24N - 09"/>
        <s v="Calle 45 Nte #7n-27"/>
        <s v="carrera 15 # 12 - 60"/>
        <s v="calle 76 # 28 - 20"/>
        <s v="Carrera 36A 5B1-37"/>
        <s v="calle 4 # 73 91"/>
        <s v="Carrera 6ta # 26 G 22"/>
        <s v="calle 26C # 41a -19"/>
        <s v="calle 2c # 65 56"/>
        <s v="calle 1A oeste KR 100 bis 61"/>
        <s v="Carrera 94b1- calle 2abis"/>
        <s v="Calle 55 norte 2 an 107"/>
        <s v="calle 3D 75 a 30"/>
        <s v="Cra 24 3 # 7 - 86"/>
        <s v="cra 25 # 2 oeste - 41"/>
        <s v="calle 64 Norte # 4 - 90"/>
        <s v="Cra 36c # 5b5 - 84"/>
        <s v="Calle 72 n # 26h3 -27"/>
        <s v="Carrera 62 #9-280"/>
        <s v="Calle 10 # 10 - 13"/>
        <s v="Carrera 7 # 14 - 154"/>
        <s v="calle 11b #58 37"/>
        <s v="Avenida 5ta norte con 37an"/>
        <s v="Av 6 oeste # 5 oeste - 93"/>
        <s v="Av 4b Nte # 58N - 60"/>
        <s v="Calle 28 # 86-80"/>
        <s v="calle 4b# 35-31"/>
        <s v="Calle 63 Norte # 3EN-60"/>
        <s v="sede educativa san pedro, Montebello-- Avenida Los Estudiantes, sector La Escuela"/>
        <s v="Institucion educativa Andres Lenis- Montebello- vereda Campo Alegre"/>
        <s v="Avenida 43 Oeste # 5A-49"/>
        <s v="Avenida 7 N #66-04"/>
        <s v="Carrera 59 #1d-48"/>
        <s v="Calle 15 #7-79"/>
        <s v="Carrera 2 #19-51"/>
        <s v="Calle 13 #9-20"/>
        <s v="calle 7 #37-04"/>
        <s v="calle 17 # 17n-44"/>
        <s v="calle 44n #6dn-42"/>
        <s v="Avenida 5n #43-51"/>
        <s v="calle 5b2 #36c-40"/>
        <s v="Avenida 4n #8n-24"/>
        <s v="Calle 12a #56-60"/>
        <s v="Carrera 47 #3a-25"/>
        <s v="Carrera 45 #1a-31"/>
        <s v="Avenida 7norte #44-44"/>
        <s v="Carrera 125 #19-58"/>
        <s v="Calle 2b bis #94b1-15"/>
        <s v="Calle 4 #85-39"/>
        <s v="Carrera 42 #5c-48"/>
        <s v="Calle 6 #74a-50"/>
        <s v="Calle 10 #8-27"/>
        <s v="Carrera 56 # 2-157"/>
        <s v="Calle 8 #32-07"/>
        <s v="Calle 4a oeste #94-34"/>
        <s v="Avenida 2ds norte #7n-66"/>
        <s v="Carrera 59a #5-41"/>
        <s v="Calle 2a #93-68"/>
        <s v="Avenida 6n #30n-54"/>
        <s v="Avenida 2d norte #24n-17"/>
        <s v="Calle 7 #30-25"/>
        <s v="Calle 10 #65a-66"/>
        <s v="Avenida 6bn #35-34"/>
        <s v="Cra. 1D2 # 52-109"/>
        <s v="Avenida 6n #28-83"/>
        <s v="Carrera 2 oeste #21-94"/>
        <s v="Calle 48 #92-107"/>
        <s v="Calle 1c #66b-100"/>
        <s v="Calle 12a #29b-78"/>
        <s v="Avenida 10n #21-06"/>
        <s v="Calle 23n #6an-17"/>
        <s v="Avenida 3n #23bn-43"/>
        <s v="Calle 25 #127-100"/>
        <s v="Carrera 24b #33c-150"/>
        <s v="Carrera 46a #12-36"/>
        <s v="Calle 9 #38-06"/>
        <s v="Calle 10A # 49A - 11"/>
        <s v="Carrera 33 #10-39"/>
        <s v="Calle 8 oeste #4-32"/>
        <s v="Avenida 8 n #46n-27"/>
        <s v="Calle 48n #con avenida 4"/>
        <s v="Calle 3 #63-34"/>
        <s v="Carrera 33b #27-43"/>
        <s v="Calle 6 #5-50"/>
        <s v="Calle 5 #35-38"/>
        <s v="Calle 7 #10-82"/>
        <s v="Calle 8 #32-32"/>
        <s v="Carrera 37a #6-43"/>
        <s v="Carrera 44 #14-71"/>
        <s v="Calle 2a #66-56"/>
        <s v="Carrera 42 #5a-39"/>
        <s v="Carrera 86a #5-10"/>
        <s v="Calle 1A Oeste # 100A-12"/>
        <s v="Carrera 41a oeste #1b-57"/>
        <s v="Calle 9b #50-15"/>
        <s v="Carrera 17 #39-87"/>
        <s v="Calle 2a #92-10"/>
        <s v="Calle 11 #3-25"/>
        <s v="Avenida 5n #4n-116"/>
        <s v="Calle 2a #18-60"/>
        <s v="Calle 1a oeste #73d-19"/>
        <s v="Carrera 66 #2b-4"/>
        <s v="Avenida 6n #37bn-50"/>
        <s v="Carrera 56 #5-152"/>
        <s v="CALLE 17 # 85 C- 44"/>
        <s v="Carrera 2 #59B"/>
        <s v="Carrera 42a #5C-67"/>
        <s v="carrera 69 # 2 c 02 y calle 2 c # 69-01"/>
        <s v="calle 70 bis # 4 cn 103"/>
        <s v="calle 17 85 c 44"/>
        <s v="Carrera 7Pbis # 62-124"/>
        <s v="Carrera 30 # 9 50"/>
        <s v="Calle 1d oeste # 100bis -76"/>
        <s v="carrera 47 c 7 sur # 28"/>
        <s v="Calle 45 norte # 6DN - 39"/>
        <s v="Calle 30 Norte # 2BN-42"/>
        <s v="Calle 40 Norte # 6A-45"/>
        <s v="calle 30 a # 29 a 109"/>
        <s v="calle 57N #2BN-30"/>
        <s v="Carrera 36B con 9"/>
        <s v="calle 3 # 23 b -93"/>
        <s v="Calle 12#15-51"/>
        <s v="Calle 1B #60 - 44"/>
        <s v="Calle 9 # 44-56"/>
        <s v="Avenida 4B Norte # 52N-70"/>
        <s v="transversal 29 # 23-09"/>
        <s v="Calle 63 Norte # 3e-60"/>
        <s v="Calle 5 #27-09"/>
        <s v="Calle 10 Oeste #27-48"/>
        <s v="Calle 58nte # 5b N - 62"/>
        <s v="Calle 22 A # 118-100"/>
        <s v="Calle 62 Norte No. 3GN – 80"/>
        <s v="Carrera 115 # 18-43"/>
        <s v="Calle 34AN # 2BN-120"/>
        <s v="Calle 50 # 92-56"/>
        <s v="Avenida 5 ta Oeste # 16-13"/>
        <s v="Calle 10 No. 39-19"/>
        <s v="Calle 55 # 98-58"/>
        <s v="Carrera 14 13A 2 (6,8,10)"/>
        <s v="Calle 13 A 13 A 110 (122)"/>
        <s v="Carrera 14 13-90"/>
        <s v="Calle 35 AN # 2BN-109"/>
        <s v="Carrera 3 # 57b -72"/>
        <s v="Calle 13 13-84"/>
        <s v="carrera 13 # 10 - 128"/>
        <s v="Carrera 56 con calle 3ra"/>
        <s v="carrera 94 # 1a oeste - 03"/>
        <s v="Cra 93 A Oeste #3a-23"/>
        <s v="Carrera 1g # 51-40"/>
        <s v="carrera 85E 28-06"/>
        <s v="Calle 33 No. 94-210"/>
        <s v="Calle 4 66-49"/>
        <s v="avenida 6an # 6 -104"/>
        <s v="Calle 14 # 18a - 24"/>
        <s v="Cra 48 3a 53"/>
        <s v="Avenida 4b norte # 58 N 62"/>
        <s v="Carrera 94c #2-82"/>
        <s v="Carrera 27#10a-57"/>
        <s v="Avenda 2a # 75en -47"/>
        <s v="carrera 39 4b 63"/>
        <s v="Carrera 76 # 2A-31"/>
        <s v="Calle 3A # 22-58"/>
        <s v="Carrera 83 # 6a - 32 alqueria c -403 c"/>
        <s v="Calle 5# 14-37"/>
        <s v="Calle 53 # 36 25"/>
        <s v="calle 2 # 93"/>
        <s v="carrera 65 # 3 a- 34"/>
        <s v="Calle 45 98a 28"/>
        <s v="Calle 45 98a 32"/>
        <s v="calle 2c # 94bis 1b - 23"/>
        <s v="Calle 10 # 65A-51"/>
        <s v="Cra 24b #39-18"/>
        <s v="Carrera 18 oeste 4 -68"/>
        <s v="Carrera 25 U 72 U 26"/>
        <s v="Carrera 1D #53 -140"/>
        <s v="Carrera 36A 5-145"/>
        <s v="carrera 72 13A1 -40"/>
        <s v="Cra 72 # 13A-56"/>
        <s v="Calle 62 b1 # a9 -365"/>
        <s v="Calle 2 # 66 B 129"/>
        <s v="PH AV 9 norte # 25-32"/>
        <s v="Calle 7 # 14 a-67"/>
        <s v="calle 52 # 1E -53"/>
        <s v="Av. de las Americas #22 Norte-45"/>
        <s v="Calle 30 Norte # 5N - 35"/>
        <s v="Calle 2b # 66 - 52 Arboleda 1"/>
        <s v="carrera 77 #1c - 140"/>
        <s v="Cra. 56 #5-80"/>
        <s v="Carrera 31A # 14C - 47"/>
        <s v="calle 44 norte # 7 -60"/>
        <s v="Calle 47n #2i -24"/>
        <s v="Carrera 36 b# 5b2-21"/>
        <s v="Calle 5 No. 37A 65"/>
        <s v="Carrera 13 # 6-32."/>
        <s v="Calle 56norte # 2hn-33"/>
        <s v="Carrera 84 No. 13B 11"/>
        <s v="carrera 36a 5B 1-37"/>
        <s v="calle 2 A bis 94B1 -43"/>
        <s v="calle 56#84~33"/>
        <s v="Cra77a #3D-56"/>
        <s v="Calle 16 # 29A-105"/>
        <s v="Calle 6 No. 43-66"/>
        <s v="Calle 28 # 98-75"/>
        <s v="Calle 4 c # 35 A 07"/>
        <s v="Carrera 86 17-35"/>
        <s v="Cl. 13 #80 - 187"/>
        <s v="Calle 13 #75 - 85"/>
        <s v="Ara carrera 70"/>
        <s v="Carrera 38 # 5b1 - 39"/>
        <s v="Carrera 94B 2 -190"/>
        <s v="Calle 5b2 #37a - 50"/>
        <s v="Carrera 85 D # 55-100"/>
        <s v="Calle 83c #22-08"/>
        <s v="Diagonal 23 # 10b - 54"/>
        <s v="Calle 9 #40-24"/>
        <s v="Calle 5b2 # 37 A-75"/>
        <s v="Carrera108 # 44-75"/>
        <s v="Calle 63 norte # 3e - 70"/>
        <s v="Carrea 16 # 8A 18"/>
        <s v="Carrera 34 # 13-51"/>
        <s v="Calle 2b 66A 46"/>
        <s v="Corregimiento de Golondrinas sector la María, casa Ariel Montero"/>
        <s v="carrera 23 # 8 - 07"/>
        <s v="Carrera 7B #82-18"/>
        <s v="Calle 9 # 42-78"/>
        <s v="calle 70 # 7j - 04"/>
        <s v="Carrera 39d# 56-101"/>
        <s v="Carrera 47 #4-157"/>
        <s v="Carrera 48 # 4-71"/>
        <s v="Av 6AN # 23N-90"/>
        <s v="Calle 5B2 # 38-91"/>
        <s v="Calle 26 Norte # 2BN 15"/>
        <s v="Carrera 94 C # 3-46"/>
        <s v="Carrera 92 # 25-81"/>
        <s v="Carrera 1D1 # 53-140"/>
        <s v="Carrera 41a # 31- 28"/>
        <s v="Carrera 36B # 5B2 - 04"/>
        <s v="carrera 15 # 43 - 28"/>
        <s v="Calle 5B 2 #36c-03"/>
        <s v="Carrera 35 # 14-42"/>
        <s v="Calle 9 # 24 20"/>
        <s v="Calle 1B 55-25"/>
        <s v="Calle 4 con 61A"/>
        <s v="carrera 94b oeste #1b-65"/>
        <s v="Calle 5b3 # 37 - 85"/>
        <s v="Calle 6# 13-49"/>
        <s v="calle 2A Bis # 82-10"/>
        <s v="cra 28 #5b -117"/>
        <s v="Calle 70 C1 #1a 4C-33"/>
        <s v="Carrera 22 # 11A-34"/>
        <s v="Carrera 32 #12c-25"/>
        <s v="Calle 33 #67B 62"/>
        <s v="Cra 1C3 #65-24"/>
        <s v="Calle 10 #12-39"/>
        <s v="Carrera 24c Oeste # 6 - 11"/>
        <s v="Carrera 5L con Calle 39"/>
        <s v="Calle 3 # 66 - 38"/>
        <s v="Calle 3 D # 66B-42"/>
        <s v="Calle 2B # 94-10"/>
        <s v="Carrera 86A#5-10"/>
        <s v="Cr 1c bis 67-42"/>
        <s v="Carrera 35 #29 - 74"/>
        <s v="Calle 38A Norte – Av. 2B Norte"/>
        <s v="Calle 5 # 45A-125"/>
        <s v="Av. 2 B2 Norte 73-151"/>
        <s v="Calle 38 Norte con Avenida 2E Norte"/>
        <s v="Carrera 34 # 25 -42"/>
        <s v="Kilómetro 4 via la buitrera"/>
        <s v="Calle 5B2 con Carrera 36A Edificio el Estadio"/>
        <s v="Avenida 3 # 37 -26"/>
        <s v="Avenida 3 # 35N - 76"/>
        <s v="Av. 6 con Calle 44, esquina – Edificio A Caner Llanera"/>
        <s v="CRA 39 # 5B-22"/>
        <s v="Corregimiento La Paz, Via Golondrinas,https://maps.app.goo.gl/tdiqNxax5rBKegBK7"/>
        <s v="Calle 7 OE Avenida 43B 33"/>
        <s v="Calle 14 # 54-15"/>
        <s v="Carrera 35 4-40"/>
        <s v="Avenida 43 # 10A-54"/>
        <s v="Calle 64N 4 - 35"/>
        <s v="Avenida 5 Oeste # 23-12"/>
        <s v="Calle 13B # 66B-56 – Unidad Bosques de la Fontana"/>
        <s v="Calle 62B cra1A 9-365 sector 1 Agrupación 5 Torre A"/>
        <s v="Calle 126 # 23-24"/>
        <s v="Avenida 3N # 35n - 76"/>
        <s v="Sector 6 agrupación torre B apto 11"/>
        <s v="Calle 38 Norte #2bn - 173"/>
        <s v="Calle 14c No.48-55 Apto 204c unidad residencial Rincón del Parque, barrio la Selva"/>
        <s v="carrera 13 # 5 - 31"/>
        <s v="Avenida 43 oeste #10a-54"/>
        <s v="Carrera 71A 10bis-19"/>
        <s v="CAlle 51 Norte # 3 an 175"/>
        <s v="Carrera 9c # 30 - 37"/>
        <s v="Avenida 4 Norte # 7N-53 – Edificio/Torre de Consultorios"/>
        <s v="Cra 83 oeste # 1B - 04"/>
        <s v="av 6 a norte # 38-60 Alameda de chipichape 3"/>
        <s v="Calle 13 # 53-45 – Unidad Villa Marcela Revisar Aptos: 202 -201-102 B; 101- 102 A"/>
        <s v="Calle 51 # 8-58"/>
        <s v="Calle 5B3 Bis # 38-25"/>
        <s v="Calle 5b3 bis # 31 21"/>
        <s v="Carrera 1F # 58-50, Conjunto Punta del Este"/>
        <s v="Calle 5b 3bis # 38 - 32"/>
        <s v="Calle 55A Norte # 2AN-99 y # 2AN-107"/>
        <s v="Calle 2A Bis # 82A-23"/>
        <s v="Carrera 26P # 103D-17"/>
        <s v="Calle 82 # 7b bis-12 - unidad atalaya"/>
        <s v="Calle 64N #4-35. Apto 1001C Paseo real 3"/>
        <s v="los andes calle 56 con carrea 1d2 Edificio portal del encinar"/>
        <s v="carrera 41 con roosvelt"/>
        <s v="Calle 41 con Carrera 7"/>
        <s v="carrera 38a # 7 - 5 , hotel flamingo"/>
        <s v="calle 5# 13-58"/>
        <s v="Edificio afectado Calle 8c #47-35 barrio nueva tequendama, edificio cerca a Palmetto"/>
        <s v="calle 5 #23-33 2do piso---- colapso de teccho en tres hacbitaciones , 5 familias en la edificacion----"/>
        <s v="Reporta persona atrapada en el apartamento, la puerta se dañó y no ha podido evacuar, Calle 58 Nte #5b N - 62, @sebas.avila.cabal"/>
        <s v="Daños en Carrera 96 #2a-11, reenvía Catherine de CITEL"/>
        <s v="Carrera 1 G # 59 - 04, en el barrio Paseo de los Almendros, frente al Polideportivo Dakota."/>
        <s v="Para reportar que se cayó 2 edificios en el conjunto residencial bariloche carrera 53 # 13-65 bloque 7 - 102 hay personas de la tercera edad en silla de ruedas, barrio Primero de Mayo."/>
        <s v="edificio frente a la DIAN antiguo colpátria"/>
        <s v="Afectaciones en unidad residencial, Calle 69 # 5-85, Johana Tovar, @kennyjohanatovar"/>
        <s v="teatro municipal Carrera 5 # 6-64"/>
        <s v="Carrera 61A # 3-114 Edificio San Antonio"/>
        <s v="Hotel la luna, calle 13 con autopista suroriental"/>
        <s v="Carrera 4 con calle 10- Casinno aladdin"/>
        <s v="DOLLAR CITYD Carrera 3 # 69-59"/>
        <s v="carrera 9 #19-20 barrio sucre"/>
        <s v="Carrera 3N #24-58"/>
        <s v="Carrera 12 #9-55"/>
        <s v="calle 5 con 57"/>
        <s v="edificio contiguoa a la iglesia de la Ermita"/>
        <s v="Calle 18a #55-105 Samanes de Guadalupe"/>
        <s v="carrera 66 con 13"/>
        <s v="calle 9 con 45"/>
        <s v="calle 9 con 44"/>
        <s v="Carrera 25 # 3- 51 Oeste San Fernando"/>
        <s v="Calle 13A#85C -27"/>
        <s v="edificio capitolio 5 con 66"/>
        <s v="palacio de justicia en plaza de caycedo"/>
        <s v="Calle 14 con Carrera 66 – Edificio Parques de la Fontana"/>
        <s v="Unidad residencial Villa Marcela calle 13#53-45"/>
        <s v="calle 5 #40-90 edi."/>
        <s v="Avenida 10 Norte # 7N-130, Edificio Colinas de Juanambu"/>
        <s v="carrera 72 con 7bis capri"/>
        <s v="calle 5B con carrera 42a parroquia la asencion-"/>
        <s v="Calle 7 #19 -74, Alameda"/>
        <s v="Carrera 12 #4-10 edificio esquina, San Cayetano"/>
        <s v="Avenida guadalupe con 3a-"/>
        <s v="Carrera 2bn 72d04 floralia"/>
        <s v="calle 59 y 62 #8-100 barrio la base unidad marco fidel suarez"/>
        <s v="Carrera 72 #10bis-21 torre b comuna 17"/>
        <s v="calle 2bis #76-09 barrio colinas del sur"/>
        <s v="Avenida 7b oeste 19a56, Terrón Colorado"/>
        <s v="calle 18 #85c-47 edificio la zafra"/>
        <s v="calle 77 #28f-95"/>
        <s v="Calle 2 B # 66 A 46, Colegio San José Refugio"/>
        <s v="Carrera 34 #5b-77 san fernando"/>
        <s v="universidad UNAD- roosvelt"/>
        <s v="Av. 5 Nte. #22 Norte-2 a 22 Norte-100"/>
        <s v="Calle 79e casa 2010"/>
        <s v="Calle 59 #1C-73 Torres de comfandi conjunto B"/>
        <s v="antigua clinica saludcop Calle 9 # 29 (Calle 9 con Carrera 30, barrio Champagnat / La Alameda)."/>
        <s v="Calle 8 c #47-35"/>
        <s v="Calle 3D 69-33"/>
        <s v="Carrera 17f #3012 Droguería Superior"/>
        <s v="Carrera 66 con Calle 12"/>
        <s v="avenida roosvelt con 26"/>
        <s v="Calle 21N#4-09"/>
        <s v="calle 5b con 36 edificio los profesiol}nales"/>
        <s v="carrera 17 con calle 15"/>
        <s v="Carrera 39 #5E-46"/>
        <s v="Carrera 36 con 5b3 detras del estadio pascual guerrero"/>
        <s v="Avenida 9 norte con 21- edificio de ancianos"/>
        <s v="Avenida Roosevelt #39A-20"/>
        <s v="Calle 42 Nte. # 7 - 71 conjunto Terrazas de Chipichape"/>
        <s v="calle 1 bis 70-34 edificio las palmas"/>
        <s v="Carrera 70 #1c-70 barrio caldas. torres de san mitchel"/>
        <s v="Carrera 39 # 5E-46, edificio Bachue"/>
        <s v="Calle 2#2-33"/>
        <s v="calle 6 con 13, toda la cuadra"/>
        <s v="calle 7 #35-10 - 35-12el templete"/>
        <s v="Avenida 3 norte 21-22 edificio calima, barrio Versalles"/>
        <s v="salud total, avenida de las amenricas Avenida 3 Norte # 19N-03, Barrio San Vicente."/>
        <s v="calle 38 norte 3#gn-09 ed. torre ddel prado"/>
        <s v="carrera 66 #9-81"/>
        <s v="Edifico Comfenalco Cambulos"/>
        <s v="Carrera 15 #20-08"/>
        <s v="Carrera 98f #58.66 unidad indigo"/>
        <s v="calle 5 con 13"/>
        <s v="calle 12 oeste #54-130"/>
        <s v="Avenida 10 norte #7n.130 colinas de"/>
        <s v="call 8 entre 32 y 32a"/>
        <s v="calle 36 con 5"/>
        <s v="corregimiento de golondrinas- sector la maria"/>
        <s v="Carrera 37a #3bis-19 lomas de san fernando torre 1"/>
        <s v="Carrera 43 #6a -115 nueva tequendama 6"/>
        <s v="calle 13e #55-02"/>
        <s v="kilometro 10.5 altos del rosario corregimiento de la buitrera"/>
        <s v="edificio altavista 2000"/>
        <s v="Calle 2c #65-22, La Cascada, Cali, Valle del Cauca"/>
        <s v="calle 9 con 54"/>
        <s v="calle 2c #93-42 melendez"/>
        <s v="Avenida 4bnorte #58-n60 paseo real- la flora"/>
        <s v="Calle 14c #49a-29 las camelias"/>
        <s v="Carrera 44a con 10"/>
        <s v="Carrera 78 #1a-176 prados del sur"/>
        <s v="Calle 5 con 36"/>
        <s v="El colegio José Holguín garses y las escuelas del sector ulpiano lloreda y anamaría lloreda sector terrón colorado"/>
        <s v="CALLE 43N 8N30 LA CAMPIÑA CASA DE JAIRO"/>
        <s v="Carrera 53 con calle 12"/>
        <s v="calle 22 norte 9-87"/>
        <s v="Carrera 43 # 5C-34&#10; Barrio Tequendama- Fundación Lazzos de Amor"/>
        <s v="Carrera 23D # 13-31"/>
        <s v="Avenida Los Estudiantes, sector La Escuela – Sede Educativa San Pedro"/>
        <s v="Vereda Campo Alegre – Institución Educativa Andrés Lenis"/>
        <s v="Felidia- sin direccion"/>
        <s v="Carrera 72a #13a-80"/>
        <s v="Calle 5b1 #29-17"/>
        <s v="parroquia nuestra señora de los andes- Validar"/>
        <s v="Calle 23n #6an-17 antigu ed- dinners"/>
        <s v="Avenida 3n #23bn-43 Ed. España"/>
        <s v="Carrera 94 #2-20"/>
        <s v="Calle 48n #4bn-42 Ed. petriza"/>
        <s v="Carrera 2 #59B, esquina"/>
        <s v="Calle 1d oeste # 100bis -76 Torre 87"/>
        <s v="calle 57N #2BN-30 Piso 02 B/Ciudad los Álamos, Cali"/>
        <s v="CALLE 55 A NORTE NROS. 2-AN-99 Y 2-AN-107"/>
        <s v="Av 1 oeste # 6-28 piso 1"/>
        <s v="calle 5c #29-54"/>
        <s v="Ave 2 bn 32 an 33 - rincón de la flora dos etapa d"/>
        <s v="Calle 47 norte # 2i-24 edificio 3 pisos"/>
        <s v="Calle 12-A. No 50-25"/>
        <s v="Carrea 36 c # 5 B 1-60"/>
        <s v="Calle 55A # 30B-50"/>
        <s v="calle 3 # 71-03"/>
        <s v="Cra 7Lbis # 76-96"/>
        <s v="Carrera 32 # 12C-25"/>
        <s v="Carrera 15 # 8 - 50 hasta el 56"/>
        <s v="Calle 99 # 55 - 250"/>
        <s v="Carrer 100 # 34 96"/>
        <s v="Carrera 14 # 5-19"/>
        <s v="Carrera 8 # 10 - 47"/>
        <s v="Carrera 38 # 9a Oste -50"/>
        <s v="Carrera 14 # 74-55"/>
        <s v="Avenida 10n # 7n -10 apart 502"/>
        <s v="Calle 2 #66B-19, apto 203"/>
        <s v="Calle 79 # 9A-32"/>
        <s v="carrera 41a #16_40"/>
        <s v="Calle 5 B 3 # 38 16"/>
        <s v="Cra 1 No. 4 A 70D 08 bloque 95 apto 101"/>
        <s v="Calle 10 # 21 47"/>
        <s v="Carrera 36d #12 oeste - 143"/>
        <s v="Carrera 59# 1-10"/>
        <s v="Calle 14 #42-12"/>
        <s v="Avenida 4 con 37 A"/>
        <s v="Avenida 3H con Calle 37 (prados del Norte)"/>
        <s v="CAlle 10 #12-63"/>
        <s v="Calle 10 #12-69"/>
        <s v="Calle 39 N avenida 36 Esquina entre 3H y 36 (la juana)"/>
        <s v="Calle 12 A Norte 6N 50 (bloque 3 apto 902)"/>
        <s v="Calle 42 # 7 - 49"/>
        <s v="Calle 8 A No. 42-56"/>
        <s v="Carrera 27 No. 4 Oeste-74"/>
        <s v="Cl. 13c #49-15"/>
        <s v="Calle 26 norte #6-13"/>
        <s v="Calle 2c # 66b -47"/>
        <s v="Carrea 38 # 55 a 29"/>
        <s v="Calle 12A-No.57-21CR Palmar de Coomeva II"/>
        <s v="Calle 7 oeste avenida 43B-33"/>
        <s v="Calle 3 oeste # 94A-35"/>
        <s v="avenida Guadalupe # 2-157"/>
        <s v="Calle 2 # 66B-87"/>
        <s v="Calle 72W # 28B1-06"/>
        <s v="calle 2A 93A - 176"/>
        <s v="Calle 9 # 27 - 60 Alameda"/>
        <s v="Cl 12A #56-25"/>
        <s v="Calle 3 oeste No 94A35 Barrio alto Polvorines"/>
        <s v="Calle 12A-No.57-21"/>
        <s v="Calle 8 # 42 - 55"/>
        <s v="Calle 51 # 8H - 10"/>
        <s v="Carrera 42A1 #42-88"/>
        <s v="Cra. 23 #8-07"/>
        <s v="Calle 13 oeste # 55 - 72 Edificio Gualanday"/>
        <s v="Calle 13c # 49 -15 conjunto multifamiliar triveca"/>
        <s v="Calle 7 # 30-21"/>
        <s v="Avenida 6N #26N -36"/>
        <s v="Carrera 2b # 78 -03"/>
        <s v="Carrera 97 #2a -50"/>
        <s v="Carrera 100 oeste #1B-26"/>
        <m/>
        <s v="Calle 72 P # 26 H 3 - 58"/>
        <s v="Calle 4b # 35 - 19 Edificio amarillo"/>
        <s v="Carrera 38 # 6-58"/>
        <s v="Carrera 28 # 7 -47"/>
        <s v="Carrera 27 #5B-29"/>
        <s v="Carrera 23d # 10a - 02"/>
        <s v="Carrera 42 # 6-29"/>
        <s v="Avenida las americas # 22n _45 fondo nacional del ahorro"/>
        <s v="Carrera 56 # 5 -80"/>
        <s v="Calle 71 a # 2 C 68"/>
        <s v="Carrera 24 #7-71"/>
        <s v="Cra 16 #9-30"/>
        <s v="Carrera 50B con Avenida 12 Oeste"/>
        <s v="Calle 4b #39-47"/>
        <s v="Calle 12 # 39-40"/>
        <s v="Avenida 5B Norte # 64-80 Apartamento 402 Torre A"/>
        <s v="Calle 5B #52A - 5"/>
        <s v="Cra 36b #5-127"/>
        <s v="Carrera 48 # 4-163"/>
        <s v="Calle 13 # 13 -86"/>
        <s v="Carrera 12 D 30 08"/>
        <s v="Carrera 62 #2A-96"/>
        <s v="Calle 13A # 39-51"/>
        <s v="Carrera 51 # 8h-10"/>
        <s v="Carrera 42A1 #42-88  B// union de vivienda popular "/>
        <s v="Calle 8 22 87"/>
        <s v="Call 42 a cr 47 b 41 marianos ramos"/>
        <s v="calle 63 #23-36 Nueva floresta"/>
        <s v="CRA 43A # 13-77 barrio Guabal"/>
        <s v="calle 5B1 29-51"/>
        <s v="Calle 2 #66B-93"/>
        <s v="Vereda las pilas del cabuyal casa 15 b"/>
        <s v="Calle 11 # 13-79"/>
        <s v="Calle 48Nte #4A-80"/>
        <s v="Calle 9 3-38"/>
        <s v="Calle 4ta # 58-70 cuarto de legua edificio Mariana lloreda"/>
        <s v="Carrera 26T #73-136  "/>
        <s v="Avenida 2AN # 39- 213 "/>
        <s v="Calle 99 39 00"/>
        <s v="Calle 64 1 ibis -02 B//la rivera guayacanes "/>
      </sharedItems>
    </cacheField>
    <cacheField name="Referencia">
      <sharedItems containsBlank="1" containsMixedTypes="1" containsNumber="1" containsInteger="1">
        <m/>
        <s v="-"/>
        <s v="Edificio Ana del Pilar"/>
        <s v="Edificio de 3 Pisos"/>
        <s v="Edificio Punto Rojo"/>
        <s v="Hotel La Luna"/>
        <s v="Parroquia La Ascensión del Señor"/>
        <s v="Torre G"/>
        <s v="Quintapan"/>
        <s v="Barrio el refugio"/>
        <s v="Hospital Carlos Holmes Trujillo"/>
        <s v="N/A"/>
        <s v="Molino Rojo"/>
        <s v="Bodega de reciclaje"/>
        <s v="Edificio el cafe"/>
        <s v="Coliseo Pueblo"/>
        <s v="Colegio Adventista"/>
        <s v="Edificio Torres del Limonar"/>
        <s v="Centro comercial la fortuna"/>
        <s v="Iglesia san fracisco"/>
        <s v="Sector 3 – Chiminangos"/>
        <s v="Clínica Nuestra Señora del Rosario"/>
        <s v="Torres de santiagp de cali"/>
        <s v="C.C. La Fortuna"/>
        <s v="Clínica Al Alba"/>
        <s v="Clinica Rey David"/>
        <s v="Clinica Sanitas"/>
        <s v="Clinica Cali"/>
        <s v="Asturias"/>
        <s v="Ancianato San Miguel"/>
        <s v="Bosques de Puente Palma"/>
        <s v="Unidad Residencial Manigua"/>
        <s v="Edificio Altos de Santa Elena, Etapa I"/>
        <s v="Edificio Santorini–Mikonos"/>
        <s v="Unidad Torres de Buganvilias"/>
        <s v="Edificio Vanessa"/>
        <s v="Hogar Héroes de Vida y Amor"/>
        <s v="EDIFICIO ALMINAR"/>
        <s v="Clinica Colombia"/>
        <s v="Clinica Versalles"/>
        <s v="Hospital Universitario del Valle (HUV)"/>
        <s v="IPS CRISTOBAL COLON"/>
        <s v="Clinica de Colores"/>
        <s v="Edificio Liliana"/>
        <s v="Conjunto familiar atabanza"/>
        <s v="IPS Salud total"/>
        <s v="Las Violetas , pampalinda,"/>
        <s v="Mantis"/>
        <s v="Edificio Torres de Salomia"/>
        <s v="Edificio Maria Josefa"/>
        <s v="Unidad Residencial Las Palmas"/>
        <s v="Edificio - Torre Mantis"/>
        <s v="Edificio Guanacaste"/>
        <s v="Edificio Altamira"/>
        <s v="Edificio Las Camias del Sur,"/>
        <s v="Detras del edificio miroliving"/>
        <s v="Conjunto Residencial La Alquería B"/>
        <s v="Fundación Pre-Renal"/>
        <s v="Edificio Las Mercedes"/>
        <s v="Edificio Cantabria"/>
        <s v="Unidad Residencial Los Yarumos"/>
        <s v="Torre Limonar,"/>
        <s v="Edificio Torre de Guadalupe"/>
        <s v="Edificio Yuliano"/>
        <s v="Banco de Occidente"/>
        <s v="Edificio Mar Isa"/>
        <s v="Clínica Tequendama"/>
        <s v="Edificio torres de badalona"/>
        <s v="Santiago de cali - bloque 141 apar 103"/>
        <s v="Villa del mar"/>
        <s v="Centro ABC - Colegio"/>
        <s v="Santa Ana de Guadalupe"/>
        <s v="Riberas del río torre Volga"/>
        <s v="Urbanizacion tequendama"/>
        <s v="Refugio campestre"/>
        <s v="Torres de limonar"/>
        <s v="Edificio Farallones"/>
        <s v="Unidad prado de horizonte etapa 1 - apart a 503 . apa h 102"/>
        <s v="Torre 3 apar 404 Beneto"/>
        <s v="Edificio altavista"/>
        <s v="Conjunto residencial"/>
        <s v="Edificio Jennifer"/>
        <s v="Conjunto residencial Bariloche"/>
        <s v="Reserva Melendez 1"/>
        <s v="Conjunto Alquería b, y Naranjos del Caney"/>
        <s v="Conjunto Multifamiliar Atabanza"/>
        <s v="Unidad residencial las camelias"/>
        <s v="Edificio sandalo"/>
        <s v="Unidad Loyola"/>
        <s v="Sanvicente"/>
        <s v="Marroquín 2 etapa"/>
        <s v="Edificio 13 Hair Center"/>
        <s v="Notaría 20"/>
        <s v="Sector La Legua, Terron Colorado"/>
        <s v="Patios de la Flora"/>
        <s v="Los Chorros"/>
        <s v="Tequendama al lado"/>
        <s v="Reservas del Rio"/>
        <s v="Torre b apt 504 edificio terracino"/>
        <s v="Apto 110 conjunto Aragon La Flora."/>
        <s v="Terron Colorado"/>
        <s v="Torres de Guadalupe"/>
        <s v="Joaquin Borrero - Cañaveralejo"/>
        <s v="Edificio Saravena"/>
        <s v="Edificio Las Violetas"/>
        <s v="apt 097"/>
        <s v="Conjunto colseguros ll"/>
        <s v="Edificio Inquilinato"/>
        <s v="Edificio Santa Monica Plaza"/>
        <s v="Notaria 5"/>
        <s v="Edificio Yemanya"/>
        <s v="Edifico San Fernando Antiguo"/>
        <s v="Nueva Tequendama"/>
        <s v="Edificio don Carlos"/>
        <s v="Edificio el templete - apartamento 101"/>
        <s v="Conjunto los robles"/>
        <s v="Conjunto Residencial San Gabriel"/>
        <s v="Edificio andrea"/>
        <s v="Apto 503 bloque 2 Condominio Marsella"/>
        <s v="Reservas de Melendez, Etapa 1"/>
        <s v="Edificio Almirante"/>
        <s v="Unidad apartamento 203 T3"/>
        <s v="Sector 6, Agrupacion 4, Torre i"/>
        <s v="Condominio pio XII"/>
        <s v="Torre 4B Unidad Residencial Magenta B"/>
        <s v="(Revisar si es segura la zona)"/>
        <s v="Edificio Archinie"/>
        <s v="Edificio Balmoral"/>
        <s v="(1 psio afectado)"/>
        <s v="Palmares del Bayarta"/>
        <s v="Edificio El Zafiro"/>
        <s v="Parques del Limonar 2"/>
        <s v="Edificio Santiago de Cali"/>
        <s v="Parroquia Santa Teresita de Jesus"/>
        <s v="Edificio Hena"/>
        <s v="Juanambu"/>
        <s v="Edifio patrio"/>
        <s v="Terracino"/>
        <s v="UTS Nuevo Latir"/>
        <s v="apto 101"/>
        <s v="Conjunto residencial quintas de la bocana"/>
        <s v="Parques del Refugio"/>
        <s v="Torre 55"/>
        <s v="Bloque 2 apto 402 pacara cali"/>
        <s v="Parques de la Flora"/>
        <s v="Ciudadela recretaiva charco azul y el pondaje"/>
        <s v="Edificio Ibiza 1"/>
        <s v="Edificio Patrick towers"/>
        <s v="Edificio Paseo Real I"/>
        <s v="Nogales de Lili"/>
        <s v="Edificio Palma de La Voragene"/>
        <s v="Institucion educativa sede central-"/>
        <s v="Edificio ancora"/>
        <s v="Ed. la Flora"/>
        <s v="Edificio Coquibacoa"/>
        <s v="Conjunto altana Pance"/>
        <s v="Unidad santa veronica"/>
        <s v="centro zonal sur ICBF"/>
        <s v="Edificio sorrento"/>
        <s v="Casa matria"/>
        <s v="Edificio multicolores"/>
        <s v="ed. color morado"/>
        <s v="La esquina del sabor"/>
        <s v="Edificio Onix"/>
        <s v="Ed- eclipse"/>
        <s v="ed. portal de la estacion 2"/>
        <s v="Parroquia nuestra señora de los andes- Validar"/>
        <s v="Vereda atenas. sector la palma"/>
        <s v="Unidad los cedros"/>
        <s v="Edificio lomalinda"/>
        <s v="Antiguo ed- dinners"/>
        <s v="Ed. España"/>
        <s v="Santa monica popular. unidad Fiorentina"/>
        <s v="ed. alqueria"/>
        <s v="ed. el bosquecito"/>
        <s v="Esquina"/>
        <s v="Unidad puente blanco"/>
        <s v="ed- remanso del refugio"/>
        <s v="Fundacion para personas con discapacidad cognitiva"/>
        <s v="ed. santa ana de la vega"/>
        <s v="Altos de santa elena bloque 85"/>
        <s v="Ed. torres de la 50"/>
        <s v="Unidad camino real 2"/>
        <s v="APTO. 402"/>
        <s v="Edificio Guaduales"/>
        <s v="Edificio Chapagna"/>
        <s v="Torre 87"/>
        <s v="Edificio miradores de chipichape apto 502A"/>
        <s v="Piso 02 B/Ciudad los Álamos, Cali"/>
        <s v="Unidad residencial gemelos de los chorros"/>
        <s v="Torres de Alicante"/>
        <s v="Conjunto Castilla"/>
        <s v="Conjunto Portal de la Flora"/>
        <s v="Conjunto residencial santa maria del los vientos"/>
        <s v="Condominio Barcelona"/>
        <s v="Conjunto Cartuja"/>
        <s v="Conjunto Portal del Alferez"/>
        <s v="Edificio Torres del prado"/>
        <s v="Conjunto Lusitania"/>
        <s v="Terron colorado, sector el tablazo"/>
        <s v="Tel. 3164828110 ivan quintero"/>
        <s v="Conjunto Rivera del Valle"/>
        <s v="Edificio tres pisos"/>
        <s v="Conjunto Zoila"/>
        <s v="Alto Jordán"/>
        <s v="Toscana residencial tel. 3015286319 Boris"/>
        <s v="Apto 1615 condominio nova plus, valle del lili"/>
        <s v="Apto 103 B unidad cayaru tel. 3137938101"/>
        <s v="Edificio san marino"/>
        <s v="Edificio Torre Continental"/>
        <s v="Edificio Marcela"/>
        <s v="Edificio paseo real 2"/>
        <s v="Resevas de melendez atapa 1"/>
        <s v="Alameda del rio"/>
        <s v="San fernando viejo"/>
        <s v="Edificio maritana"/>
        <s v="Unidad residencial encinar"/>
        <s v="Edificio torre mantis tel. 3154392429 Carlos Molina"/>
        <s v="Edificio fuente de las quintas 3154392429 Carlos Molina"/>
        <s v="apto 101 torre C Unidad Pontevedra"/>
        <s v="torre c unidad chiminagos 2 sector 1 agrupacion 5"/>
        <s v="San Vicente, Cali, Valle del Cauca"/>
        <s v="Pampa Linda, Cali, Valle del Cauca"/>
        <s v="Mirador de Pasoancho"/>
        <s v="Casa de 3 pisos"/>
        <s v="Edificio Elizondo"/>
        <s v="Conjunto Santa Mariana"/>
        <s v="Edificio Marcherie"/>
        <s v="Alto melendez"/>
        <s v="Las vegas de confandi"/>
        <s v="Barrio napoles"/>
        <s v="Edificio Olga Lucia"/>
        <s v="Condominio residencial Alameda del Lili"/>
        <s v="Colegio Instituto Para Niños Ciegos y Sordos"/>
        <s v="Clinica Instituto Para Niños Ciegos y Sordos"/>
        <s v="Apto 402 torre c"/>
        <s v="Instituto Tobias Emanuel"/>
        <s v="Torre 3 apartamento 306K-108 NOGAL"/>
        <s v="B// alfonso"/>
        <s v="B/Cambulos"/>
        <s v="El vallado"/>
        <s v="Unidades Residencial Antonio Nariño III Etapa y Quinta Etapa"/>
        <s v="Santa Monica"/>
        <s v="Edificio Vacobo"/>
        <s v="Reservas de melendez etapa I"/>
        <s v="Torres de Valgarda 25"/>
        <s v="Conjunto Residencial Encinar, Etapa B"/>
        <s v="Parroquia Santa Mariana"/>
        <s v="Edificio long"/>
        <s v="Casa 3 pisos"/>
        <s v="bloque 11C apto 402 chiminangos"/>
        <s v="Edificio Miraflores; apto 401"/>
        <s v="Edificio El Portal de Vizcaya"/>
        <s v="Datos: Jessica Unda cel: 3155797387"/>
        <s v="Casa Cultural Tejiendo Sororidades"/>
        <s v="Edificio Santa Ana de la Vega"/>
        <s v="Bloque 6D apartamento 301"/>
        <s v="Edificio Barceló"/>
        <s v="URESA. Bloque 1- Apto. 301"/>
        <s v="Edificio Las Margaritas"/>
        <s v="datos: 3165751072 Mi nombre odilia Salazar"/>
        <s v="Casa 403"/>
        <s v="Porvenir de la Flora"/>
        <s v="Edificio A Caner Llanera"/>
        <s v="centro medico santa teresa"/>
        <s v="Portal de San Fernando"/>
        <s v="Los estudiantes Violedy Escobar"/>
        <s v="Conjunto paseo real III Maria Isabel Trujillo"/>
        <s v="Unidad Bosques de la Fontana"/>
        <s v="Panaderia El Molino"/>
        <s v="Edificio El Molino"/>
        <s v="Sara María Osorio Quiñones, 3004912993"/>
        <s v="Edificio"/>
        <s v="Edificio, torre consultorio al lado de la sebastian"/>
        <s v="Leydy Joana Marin palma &#10;Teléfono 3102341273"/>
        <s v="Unidad Villa Marcela"/>
        <s v="Punta del este, Daniela Saavedra Henao&#10; 3216607354"/>
        <s v="Hotel Maderos"/>
        <s v="Pacara II"/>
        <s v="Paseo Real 3, Mi número es 3107288753"/>
        <s v="edificio portal del encinar 1"/>
        <s v="hotel flamingo"/>
        <s v="Edificio afectado; edificio cerca a Palmetto"/>
        <s v="piso colapso de teccho en tres hacbitaciones"/>
        <s v="apartamento"/>
        <s v="conjunto residencial bariloche; bloque 7 - 102 hay personas de la"/>
        <s v="edificio frente a la DIAN antiguo colpátria"/>
        <s v="unidad residencial"/>
        <s v="Paula Moreno tel. 3009794535"/>
        <s v="edificio contiguoa a la iglesia de la Ermita"/>
        <s v="edificio capitolio 5 con 66"/>
        <s v="Edificio Parques de la Fontana"/>
        <s v="Unidad residencial Villa Marcela"/>
        <s v="Edificio Colinas de Juanambu"/>
        <s v="parroquia la asencion"/>
        <s v="edificio esquina"/>
        <s v="unidad marco fidel suarez"/>
        <s v="torre b"/>
        <s v="edificio la zafra"/>
        <s v="Colegio San José Refugio"/>
        <s v="universidad UNAD- roosvelt"/>
        <s v="conjunto B"/>
        <s v="clinica saludcop"/>
        <s v="edificio los profesiol}nales"/>
        <s v="edificio de ancianos"/>
        <s v="conjunto Terrazas de Chipichape"/>
        <s v="edificio las palmas"/>
        <s v="edificio Bachue"/>
        <s v="edificio calima"/>
        <s v="torre ddel prado"/>
        <s v="unidad indigo"/>
        <s v="torre 1"/>
        <s v="edificio altavista 2000"/>
        <s v="colegio José Holguín garses y las escuelas del"/>
        <s v="Piso 02 B/Ciudad los Álamos"/>
        <s v="Sebastian Moreno 3225860193"/>
        <s v="Condominio Parque 50"/>
        <s v="Casa"/>
        <n v="3.015002549E9"/>
        <s v="Oasis de Pasoancho"/>
        <s v="KR 15 # 8 - 50"/>
        <s v="Remanso del Lili"/>
        <s v="Unidad Fronteira Valle del Lili"/>
        <s v="4 pisos"/>
        <s v="Coopser"/>
        <s v="Cristales 2"/>
        <s v="Colegio Instituto Nuestra Señora de la Asunción"/>
        <s v="Conjunto Manantial"/>
        <s v="capilla puerto mallarino"/>
        <s v="Casa segundo piso"/>
        <s v="Los Alcazares"/>
        <s v="Mirador de Guadalupe"/>
        <s v="Rosalba"/>
        <s v="Edificio Cuellar"/>
        <s v="Edificio amarillo al lado"/>
        <s v="Edificio Multifamiliar Katrina"/>
        <s v="Edificio Tejares"/>
        <s v="Edificio Tribeca"/>
        <s v="Edificio meca"/>
        <s v="Casa de 4 pisos"/>
        <s v="Al frente del Fruver"/>
        <s v="Sector Algarrobos"/>
        <s v="Edificio Sottomonte"/>
        <s v="Edificio Gracias a Dios"/>
        <s v="Fabrica de fajas"/>
        <s v="Unidad la Castellana"/>
        <s v="unidad Santa María de Guadalupe"/>
        <s v="CR Palmar de Coomeva II"/>
        <s v="Casa de dos pisos"/>
        <s v="Edificio de tres"/>
        <s v="Vientos de Guadalupe"/>
        <s v="Edificio germel"/>
        <s v="ALTOS DE SANTA ELENA"/>
        <s v="charco azul el pondaje bloque 2 303"/>
        <s v="Al lado de la iglesia de colseguros"/>
        <s v="Torres de Santiago de Cali"/>
        <s v="Hotel/Edificio"/>
        <s v="Al lado del magdonal"/>
        <s v="Negocio en 2ndo Piso"/>
        <s v="capilla San antonio Nonato"/>
        <s v="Casa, 2o piso"/>
        <s v="unidad residencial Alhambra AB, torre 6"/>
        <s v="Unidad Balcón de las Flores"/>
        <s v="edificio multiusos"/>
        <s v="Edificio de 4 pisos"/>
        <s v="Abajo es un local y arriba 4 apartemanetos"/>
        <s v="Puente Palma"/>
        <s v="CASCADAS DE LA CAROLINA"/>
        <s v="Edifico de 5 pisos "/>
        <s v="vivienda"/>
        <s v="Edificio Los Mangos"/>
        <s v="Gloria Elena Garcia Garcia CC 66.870.579"/>
        <s v="Luz Elena Quintana Duque Celular 3216914175"/>
        <s v="Hotel "/>
        <s v="edificio mariano lloreda"/>
        <s v="Edificio 5 pisos "/>
      </sharedItems>
    </cacheField>
    <cacheField name="Direccion completa" numFmtId="0">
      <sharedItems containsBlank="1">
        <s v="Carrera 44 con calle 5, El Lido, Cali"/>
        <s v="Carrera 72 con calle 11, La Hacienda, Cali"/>
        <s v="Calle 10 Bis # 70 34, Limonar, Cali"/>
        <s v="-"/>
        <s v="Carrera 57 # 3-88, Cuarto de Legua, Cali"/>
        <s v="Calle 3 # 61B, Pampalinda, Cali"/>
        <s v="Av. Roosevelt (Calle 6) con Carrera 42, Los Cámbulos, Cali"/>
        <s v="Carrera 38a # 10, Olimpico, Cali"/>
        <s v="Carrera 36 con Calle 5 B2 69, San Fernando, Cali"/>
        <s v="Carrera 58 # 3-138, Cuarto de Legua, Cali"/>
        <s v="Autopista Sur # 13-01, Junin, Cali"/>
        <s v="Calle 5 con Carrera 42, Urbanización Tequendama, Cali"/>
        <s v="Calle 62B # 1A9-365, Chiminangos II, Cali"/>
        <s v="Carrera 42 con calle 5, Tequendama, Cali"/>
        <s v="Carrera 67 # 3c -15, El Refugio, Cali"/>
        <s v="Calle 72U # 28E-00, Poblado II, Poblado ll, Cali"/>
        <s v="Calle 9 con Carrera 18, San Bosco, Cali"/>
        <s v="Carrera 40 # 4B-26, Tequendama, Cali"/>
        <s v="Calle 10 38 21, Eucarístico, Cali"/>
        <s v="Carrera 52 # 3 20, El Lido, Cali"/>
        <s v="Carrera 38A # 6 38, Eucarístico, Cali"/>
        <s v="Carrera 5 # 13 46, Centro, Cali"/>
        <s v="CRE 52 # 2-01, Cuarto de Legua, Cali"/>
        <s v="Carrera 44 con Calle 9 35, Los Cámbulos, Cali"/>
        <s v="Carrera 72 # 10 Bis-21, El Limonar, Cali"/>
        <s v="Calle 5E # 40 - 36, Tequendama, Cali"/>
        <s v="Calle 14 #5-20, San Pedro, Cali"/>
        <s v="Calle 9 con carrera 22, Alameda, Cali"/>
        <s v="Calle 62 carrera 1b, Torres de Comfandi, Cali"/>
        <s v="Calle 9 #5-59, San Pedro, Cali"/>
        <s v="carrera 10 calle 5, San Bosco, Cali"/>
        <s v="Calle 62B # 1A-2-50, Chiminangos II, Cali"/>
        <s v="Calle 10 #33-51, Colseguros, Cali"/>
        <s v="carrera 1 bis con calle 59, Barranquilla, Cali"/>
        <s v="Calle 5 e 46 82 conunto 4 apto 302 b, Nuevo Tequendama, Cali"/>
        <s v="carrera 68 con calle 3b 61, El Refugio, Cali"/>
        <s v="CR 36 5- 21-20, San Fernando, Cali"/>
        <s v="Calle 5 con 13 y 14, San Bosco, Cali"/>
        <s v="Cra. 41 &amp; Av. Roosevelt&#10;Zona: Sur, Tequendama, Cali"/>
        <s v="Calle 7 con Carrera 41, Los Cámbulos, Cali"/>
        <s v="Av. 4 Norte #21N-54, San Vicente, Cali"/>
        <s v="Carrera 34 #7-00, El templete, Cali"/>
        <s v="Calle 5E #43A-34, Tequendama, Cali"/>
        <s v="Av. 3 Norte #32AN-40, Bueno Madrid, Cali"/>
        <s v="Calle 5N # 60 65, Asturias, Cali"/>
        <s v="Carrera 80 con Calle 5, San Miguel, Cali"/>
        <s v="Calle 3C # 63A-44, El Refugio, Cali"/>
        <s v="Calle 5E # 46 82, Tequendama, Cali"/>
        <s v="Calle 5 con Carrera 57, Pampalinda, Cali"/>
        <s v="Calle 1B Oeste con Carrera 100, Valle del Lili, Cali"/>
        <s v="Calle 1D Oeste # 100 Bis-49, Altos de Santa Elena / Polvorines, Cali"/>
        <s v="Avenida 7N # 56-120, La Flora, Cali"/>
        <s v="Calle 9 con Carrera 45, Los Cámbulos, Cali"/>
        <s v="Calle 12B # 33 45, Colseguros, Cali"/>
        <s v="Calle 9 con Carrera 44, Los Cámbulos, Cali"/>
        <s v="Calle 5B4 #36B-45, San Fernando Nuevo, Cali"/>
        <s v="Calle 8 con Carrera 8, San Pedro, Cali"/>
        <s v="Carrera 63 # 2A 3, El Limonar, Cali"/>
        <s v="Carrera 66 # 13B 29, Bosques del Limonar, Cali"/>
        <s v="Calle 41 Norte # 4N-170, La Flora, Cali"/>
        <s v="Carrera 46 calle 8 b, Nuevo Tequendama, Cali"/>
        <s v="Carrera 23 # 9 06, Alameda, Cali"/>
        <s v="Carrera 65 # 2b -14, El refugio, Cali"/>
        <s v="Calle 5B2 # 31 98, San Fernando, Cali"/>
        <s v="Calle 3 con Carrera 4, San Pedro, Cali"/>
        <s v="Carrera 67 con calle 3 C, El Refugio, Cali"/>
        <s v="Cra. 46 #9C-85, Cámbulos, Cali"/>
        <s v="Av. 5A Norte #23N-46/57, Versalles, Cali"/>
        <s v="Calle 5 # 36-08, San Fernando, Cali"/>
        <s v="Carrera 62 # 2A 197, Pampalinda, Cali"/>
        <s v="3 c norte con Calle 63, La Flora, Cali"/>
        <s v="Avenida 3 Norte 59 125, La Flora, Cali"/>
        <s v="Calle 15 # 33-71, Cristóbal Colón, Cali"/>
        <s v="Calle 5D # 38A-35, Tequendama, Cali"/>
        <s v="Carrera 5C con 43, Esmeralda, Cali"/>
        <s v="Carrera 37 # 5b1 - 37, San Fernando, Cali"/>
        <s v="calle 2a # 78b-30, Las Vegas, Cali"/>
        <s v="calle 19Norte con Avenida 4 Norte, San vicente, Cali"/>
        <s v="carrera 59 #1e -43, Pampalinda, Cali"/>
        <s v="Calle 5b1 con carrera 36b, San Fernando, Cali"/>
        <s v="calle 5b1 # 36b-06, San Fernando, Cali"/>
        <s v="Calle 48 #4D-11, Salomia, Cali"/>
        <s v="Calle 3d con carrera 67, Buenos Aires, Cali"/>
        <s v="Calle 56 # 3 -88, Barranquilla, Cali"/>
        <s v="Calle 1f carrera 59, Cuarto de Legua, Cali"/>
        <s v="Cra. 7 # 10-19, San Pedro, Cali"/>
        <s v="Calle 4 con carrera 44, El lido, Cali"/>
        <s v="Carrera 7 con calle 12, San Pedro, Cali"/>
        <s v="Carrera 39/38A # 5d - 09, San Fernando, Cali"/>
        <s v="calle 36 # 5 - 145, San Fernando, Cali"/>
        <s v="Calle 3 # 58-135, El Refugio, Cali"/>
        <s v="Carrera 63 # 3c - 76, El Refugio, Cali"/>
        <s v="Calle 36 Norte # 3GN-93, Prados del Norte, Cali"/>
        <s v="Calle 8 #39-120, Los Cámbulos, Cali"/>
        <s v="Calle 22 Bis Norte # 9-11, Santa Mónica Residencial, Cali"/>
        <s v="Carrera 54 # 33B - 07, Ciudad 2000, Cali"/>
        <s v="Calle 40 # 41 H - 15, Unión de Vivienda Popular, Cali"/>
        <s v="Carrera 49a # 43-19, Mariano ramos, Cali"/>
        <s v="Carrera 36B # 5B3-46, San Fernando Nuevo, Cali"/>
        <s v="Carrera 64a # 13c -65, Bosques del Limonar, Cali"/>
        <s v="Carrera 30a # 6 -07, El Cedro, Cali"/>
        <s v="Calle 4C # 35A-16, San Fernando, Cali"/>
        <s v="Carrera 94d # calle 2 a bis - entre carreras 94c1 y 94b1, Alto Jordan, Cali"/>
        <s v="Carrera 67 con Calle 13D, El Gran Limonar, Cali"/>
        <s v="Calle 4 # 66B - 52, Refugio, Cali"/>
        <s v="Carrera 83 # 6-50, Mayapan, Cali"/>
        <s v="Calle 1F #56-206, Cuarto de Legua, Cali"/>
        <s v="Calle 2 BIS # 66B 88, Refugio, Cali"/>
        <s v="Carrera 41 # 5B-82, Tequendama, Cali"/>
        <s v="Calle 3 #66-87, Refugio, Cali"/>
        <s v="Calle 24A Norte # 6N-27, San Vicente, Cali"/>
        <s v="Cra. 30 # 5A-57, San Fernando, Cali"/>
        <s v="Carrera 22 #11a - 44, Junin, Cali"/>
        <s v="Carrera 46 # 8 -20, Tequendama, Cali"/>
        <s v="Calle 19 Norte #4N-15, San Vicente, Cali"/>
        <s v="Calle 13A #64-50, La Hacienda, Cali"/>
        <s v="Calle 23N # 6A - 65, Santa Mónica Residencial, Cali"/>
        <s v="Calle 5B # 29 - 17, San Fernando, Cali"/>
        <s v="Carrera 66–70, El Limonar, Cali"/>
        <s v="Carrera 61a # 2a-197, Cuarto de Legua, Cali"/>
        <s v="Calle 1F #59-199, Cuarto de Legua, Cali"/>
        <s v="Carrera 13A # 66B 16, El Limonar, Cali"/>
        <s v="Calle 6 con Carrera 42, Tequendama, Cali"/>
        <s v="Carrera 36 #5B3-40, San Fernando, Cali"/>
        <s v="Calle 5 # 80-00, Las Vegas, Cali"/>
        <s v="Carrera 36B #5B3-29, San Fernando, Cali"/>
        <s v="Calle 4 con Carrera 58, Cuarto de Legua – Guadalupe, Cali"/>
        <s v="Calle 5 #39-173, Tequendama, Cali"/>
        <s v="Avenida 15 Oeste #5-43, Bajo Aguacatal, Cali"/>
        <s v="Calle 11 #12-57, Sucre, Cali"/>
        <s v="Carrera 98 f # 58 - 66 Local 06, Valle del Lili, Cali"/>
        <s v="Calle 16 # 25 - 65, Santa Elena, Cali"/>
        <s v="Carrera 75 # 13 -196, El ingenio, Cali"/>
        <s v="Carrera 67 con calle c, El ingenio, Cali"/>
        <s v="Calle 6 # 13 - 33, San Bosco, Cali"/>
        <s v="Calle 13a bis # 80 - 45, Ciudadela Pasoancho, Cali"/>
        <s v="Carrera 50 # 5-173, Tequendama, Cali"/>
        <s v="Calle 30 c oeste # 6-26, Villa del mar, Cali"/>
        <s v="Carrera 36 #5b1 - 52, Tequendama, Cali"/>
        <s v="Calle 83b # 22 -19, Valle grande, Cali"/>
        <s v="Carrera 3d con 67, La Riviera/ San Marino, Cali"/>
        <s v="Calle 13 a # 69-74, Bosques del Limonar, Cali"/>
        <s v="Calle 12a # 55 - 20, Guadalupe, Cali"/>
        <s v="Carrera 54 #1a-60, El lido, Cali"/>
        <s v="Carrera 39a 5d -69, Tequendama, Cali"/>
        <s v="Calle 2a # 66 b- 86, El Refugio, Cali"/>
        <s v="Calle 10 carrera 71, El Limonar, Cali"/>
        <s v="Calle 59c # 2 - 65, Los andes, Cali"/>
        <s v="Calle 37an # 2an - 07, Prados del N., Cali"/>
        <s v="Calle 9a # 42-55, Cámbulos, Cali"/>
        <s v="Calle 47 # 49a -94, Ciudad Cordoba etapa II, Cali"/>
        <s v="Calle 12 - 92 - 133, Melendez, Cali"/>
        <s v="Calle 1 oeste #36b -05, El Peñon, Cali"/>
        <s v="Carrera 102 # 25-83, Valle de lili, Cali"/>
        <s v="Calle 4 oeste # 14 -65, El Peñon, Cali"/>
        <s v="Carrera 57 # 4- 46, cuarto de legua, Cali"/>
        <s v="Carrera 61 # 26-54, Ciudad 2000, Cali"/>
        <s v="Calle 14 a # 50a - 22, El Limonar, Cali"/>
        <s v="Carrera 27 #5 b - 29, 46207, Cali"/>
        <s v="Calle 49 n # 3gn - 93, Flora Ind., Cali"/>
        <s v="Carrera 67 # 3c, El refugio, Cali"/>
        <s v="Calle 49n #3gn -77, Flora Ind., Cali"/>
        <s v="Carrera 30 8a-35, Barrio el Cedro, Cali"/>
        <s v="Carrera 53 # 13 65, Primero de mayo, Cali"/>
        <s v="Carrera 94b # 2 -46, Melendez, Cali"/>
        <s v="Calle 62 # 1c1 - 18, Urbanizacion Barranquilla, Cali"/>
        <s v="calle 4 con carrera 60 a, Pampalinda, Cali"/>
        <s v="Calle 2A 78B 30, Apto 401B, Buenos Aires, Cali"/>
        <s v="Calle 14 49A 29, Las Camelias, Cali"/>
        <s v="Carrera 26 # 5c -06, Tres de julio, Cali"/>
        <s v="Calle 9 con 24, Alameda, Cali"/>
        <s v="Carrera 67 con calle 3c -15, El Refugio, Cali"/>
        <s v="Carrera 41 con 7 - 45, Los Cambulos, Cali"/>
        <s v="Calle 10 con carera 71, Capri, Cali"/>
        <s v="Calle 21 #2-05, San Nicolas, Cali"/>
        <s v="Calle 3d con 67, El Refugio, Cali"/>
        <s v="Carrera 59a # 7 35, Camino Real, Cali"/>
        <s v="Calle 12 # 12 - 18, San bosco, Cali"/>
        <s v="avenida 6 norte 26N -58, San vicente, Cali"/>
        <s v="cra 26g3 #73-04, Marroquin 2, Cali"/>
        <s v="Calle 3 # 55 b - 72, Cuarto de Legua, Cali"/>
        <s v="Carrera 42 con 5, Tequendama, Cali"/>
        <s v="Carrera 35 #3A-65, San Fernando, Cali"/>
        <s v="calle 74 AN # 2a-03, Brisas de los Alamos, Cali"/>
        <s v="Calle 9 #12-65, san bosco, Cali"/>
        <s v="Carrera 28 d # 72w -14, El poblado II, Cali"/>
        <s v="Av 5 Oeste #26-21, Terron Colorado, Cali"/>
        <s v="Calle 58 Norte #5BN75, Patios de la Fora, Cali"/>
        <s v="Carrera 41 con 7, Los Cambulos, Cali"/>
        <s v="Carrera 39 #5d-09, Tequendama, Cali"/>
        <s v="Carrera 69 # 1-74, Los Chorros, Cali"/>
        <s v="Carrera 62 #2a -97, El Lido, Cali"/>
        <s v="Calle 4 con 61 a, Pampalinda, Cali"/>
        <s v="Carrera 42 #5-25, Tequendama, Cali"/>
        <s v="Calle 1b # 55 - 25, Cuarto de Legua, Cali"/>
        <s v="carrera 1 B2 # 72 -15, san luis, Cali"/>
        <s v="Calle 34an #2an -70, La Flora, Cali"/>
        <s v="Avenida 4B norte # 52N 76, la flora, Cali"/>
        <s v="Calle 19 Oeste 4A-30, Terron Colorado, Cali"/>
        <s v="Carrera 56 # 3 -26, Cuarto de Legua, Cali"/>
        <s v="Carrera 59 #5-39, Joaquin Borrero - Cañaveralejo, Cali"/>
        <s v="Carrera 39 # 9b -06, Cámbulos, Cali"/>
        <s v="Calle 52 # 3-20, Salomia, Cali"/>
        <s v="Calle 21n # 5bn -22, Versalles, Cali"/>
        <s v="Calle 9c #31A-25, Champagnat, Cali"/>
        <s v="Carrera 59 #1E-45, Alameda, Cali"/>
        <s v="Calle 38 #5n-30, Bueno Madrid, Cali"/>
        <s v="Calle 12c #29b-115, Colseguros, Cali"/>
        <s v="Calle 12 C # 31-23, Colseguros andes, Cali"/>
        <s v="Carrera 44 #12a -17, Panamericano, Cali"/>
        <s v="Carrera 3a #6-38, El peñon, Cali"/>
        <s v="Carrera 40 #40-04, Antonio Nariño, Cali"/>
        <s v="Calle 31N #6bis 32, Santa Monica Norte, Cali"/>
        <s v="Avenida 6b norte 28n -56, Santa Monica Norte, Cali"/>
        <s v="Carrera 56 #1b-81, Portal de Santillana, Cali"/>
        <s v="Calle 12B#23-24, Colseguros, Cali"/>
        <s v="Carrera 56 # 3-88, Cuarto de Legua, Cali"/>
        <s v="Calle 5B1 #29-75, Barrio 3 de Julio por el estadio oriental, Cali"/>
        <s v="Carrea 5 b con 39, San Fernando Nuevo, Cali"/>
        <s v="Avenida 6N # 44-31 La Campiña, La Campiña, Cali"/>
        <s v="Calle 5 b 2 # 38-91, San Fernando, Cali"/>
        <s v="Calle 1A #22-06, Libertadores, Cali"/>
        <s v="carrera 46 # 8b -95, Tequendama, Cali"/>
        <s v="Carrera 4 con 9, San Pedro, Cali"/>
        <s v="Carrera 83 #15-76, El Ingenio, Cali"/>
        <s v="Calle 6 carrera 13, San Juan Bosco, Cali"/>
        <s v="Carrera 24 # 07 -11, Alameda, Cali"/>
        <s v="Carrera 58 No. 3-125, Cuarto de Legua, Cali"/>
        <s v="Carrera 36a bis # 6-66, Templete, Cali"/>
        <s v="Carrera 36 # con 5, San Fernando, Cali"/>
        <s v="Carrera 72 #10a - 10, Capri, Cali"/>
        <s v="Avenida 2b2 # 73 bis -99, Brisas de los Alamos, Cali"/>
        <s v="Carrera 98 #48-30, Valle del Lili, Cali"/>
        <s v="Calle 8b #45- 15, Nueva Tequendama, Cali"/>
        <s v="Calle 5 con 56, Tequendama, Cali"/>
        <s v="Carrera 37 #4A Bis - 49, San Fernando, Cali"/>
        <s v="Avenida 6ta Oeste # 13-115, Terrón colorado, sector Casas Nuevas, Cali"/>
        <s v="Carrera 34 #13-51, Colseguros, Cali"/>
        <s v="Carrera 36 #5B3-62, San Fernando, Cali"/>
        <s v="Carrera 94c #2-46, El jordan, Cali"/>
        <s v="Calle 23N # 3N-63, San Vicente, Cali"/>
        <s v="Carrera 36C #5B1-81, San Fernando Nuevo, Cali"/>
        <s v="Carrera 90 # 54C - 50, Valle del Lili, Cali"/>
        <s v="Calle 25Norte # 5bn - 45, San Vicente, Cali"/>
        <s v="Carrera 30a # 6 -17, Cedro, Cali"/>
        <s v="Calle 10 Oe 36B 151, Club residencial los cristales, Cali"/>
        <s v="Calle 62B 1A9-80 Sector 6, Agrupacion 4, Torre i, Chiminangos II, Cali"/>
        <s v="carrera 40 # 4 - 30, nueva granada, Cali"/>
        <s v="Carrera 30 # 5a - 52, 3 de Julio, Cali"/>
        <s v="calle 1 e # 56-205, El Seminario, Cali"/>
        <s v="Carrera 96 # 59 42, Ciudad Melendez, Cali"/>
        <s v="calle 9 con carrera 39, Los cambulos, Cali"/>
        <s v="Cra 64A # 13A-74, Limonar, Cali"/>
        <s v="Carrera 41 #7-05, Los cambulos, Cali"/>
        <s v="Calle 5C #39-41, Tequendama, Cali"/>
        <s v="carrera 28 e6 calle 123 a 1-03, Pizamos II, Cali"/>
        <s v="Avenida 3 CN #61N-40, La Flora, Cali"/>
        <s v="Carrera 39 # 4b - 29, Santa Isabel, Cali"/>
        <s v="Carrera 39 # 4b-13, Santa Isabel, Cali"/>
        <s v="Calle 2 # 66b -89, Refugio, Cali"/>
        <s v="Calle 7 Oeste # 35 - 09, El Sindical, Cali"/>
        <s v="Avenida 3F Nte #55N-120, La Flora, Cali"/>
        <s v="Carrera 76 #13a -05, Quintas de Don Simón, Cali"/>
        <s v="calle 55c # 47-96, Ciudad Cordoba, Cali"/>
        <s v="Calle 6 #5-14, La Merced, Cali"/>
        <s v="Calle 2a #60a-60, Pampa Linda, Cali"/>
        <s v="Calle 14# 54-15, Vientos de Guadalupe, Cali"/>
        <s v="Cra 57 # 2a-95, Cuarto de Llegua, Cali"/>
        <s v="AV 11 NORTE 7 - 178, Juanambu, Cali"/>
        <s v="Cra 64 # 6a 57, Cañaveralejo, Cali"/>
        <s v="Carrera 14 #55-15, villacolombia, Cali"/>
        <s v="calle 13d 57-81, primero de mayo, Cali"/>
        <s v="Calle 25 # 24 - 98, Las Acacias, Cali"/>
        <s v="Carrera 24e Oeste # 6 - 41, Tejares de San Fernando, Cali"/>
        <s v="Calle 34 A Norte # 2 A 70, Prados del norte, Cali"/>
        <s v="Av. 7 Norte # 24N - 09, Santa Monica Residencial, Cali"/>
        <s v="Calle 45 Nte #7n-27, versalles, Cali"/>
        <s v="carrera 15 # 12 - 60, Bretaña, Cali"/>
        <s v="calle 76 # 28 - 20, Alfonso Bonilla, Cali"/>
        <s v="Carrera 36A 5B1-37, San Fernando, Cali"/>
        <s v="calle 4 # 73 91, Alférez real, Cali"/>
        <s v="Carrera 6ta # 26 G 22, Buenos aires, Cali"/>
        <s v="calle 26C # 41a -19, La Independencia, Cali"/>
        <s v="calle 2c # 65 56, Refugio, Cali"/>
        <s v="calle 1A oeste KR 100 bis 61, melendez, Cali"/>
        <s v="Carrera 94b1- calle 2abis, melendez, Cali"/>
        <s v="Calle 55 norte 2 an 107, pacara, Cali"/>
        <s v="calle 3D 75 a 30, palma real, Cali"/>
        <s v="Cra 24 3 # 7 - 86, Alameda, Cali"/>
        <s v="cra 25 # 2 oeste - 41, San Fernando Viejo, Cali"/>
        <s v="calle 64 Norte # 4 - 90, La Flora, Cali"/>
        <s v="Cra 36c # 5b5 - 84, san fernando, Cali"/>
        <s v="Calle 72 n # 26h3 -27, Pondaje, Cali"/>
        <s v="Carrera 62 #9-280, pampalinda, Cali"/>
        <s v="Calle 10 # 10 - 13, San bosco, Cali"/>
        <s v="Carrera 7 # 14 - 154, San nicolas, Cali"/>
        <s v="calle 11b #58 37, Santa Anita Reserva, Cali"/>
        <s v="Avenida 5ta norte con 37an, Prados del Norte, Cali"/>
        <s v="Av 6 oeste # 5 oeste - 93, Normandia, Cali"/>
        <s v="Av 4b Nte # 58N - 60, La Flora, Cali"/>
        <s v="Calle 28 # 86-80, Valle de lili, Cali"/>
        <s v="calle 4b# 35-31, San fernando, Cali"/>
        <s v="Calle 63 Norte # 3EN-60, El rincon, Cali"/>
        <s v="sede educativa san pedro, Montebello-- Avenida Los Estudiantes, sector La Escuela, Sector La Escuela, Cali"/>
        <s v="Institucion educativa Andres Lenis- Montebello- vereda Campo Alegre, Vereda Campo Alegre, Cali"/>
        <s v="Avenida 43 Oeste # 5A-49, Montebello, Cali"/>
        <s v="Avenida 7 N #66-04, Menga, Cali"/>
        <s v="Carrera 59 #1d-48, Cuerto de Legua, Cali"/>
        <s v="Calle 15 #7-79, San Nicolas, Cali"/>
        <s v="Carrera 2 #19-51, San Nicolas, Cali"/>
        <s v="Calle 13 #9-20, San pedro, Cali"/>
        <s v="calle 7 #37-04, Eucarístico, Cali"/>
        <s v="calle 17 # 17n-44, Versalles, Cali"/>
        <s v="calle 44n #6dn-42, La Campiña, Cali"/>
        <s v="Avenida 5n #43-51, La Flora, Cali"/>
        <s v="calle 5b2 #36c-40, San Fernando, Cali"/>
        <s v="Avenida 4n #8n-24, centenario, Cali"/>
        <s v="Calle 12a #56-60, santa anita, Cali"/>
        <s v="Carrera 47 #3a-25, el lido, Cali"/>
        <s v="Carrera 45 #1a-31, el lido, Cali"/>
        <s v="Avenida 7norte #44-44, La Campiña, Cali"/>
        <s v="Carrera 125 #19-58, Pance, Cali"/>
        <s v="Calle 2b bis #94b1-15, Melendez, Cali"/>
        <s v="Calle 4 #85-39, melendez, Cali"/>
        <s v="Carrera 42 #5c-48, tequendama, Cali"/>
        <s v="Calle 6 #74a-50, Ciudad Capri, Cali"/>
        <s v="Calle 10 #8-27, san pedro, Cali"/>
        <s v="Carrera 56 # 2-157, cuarto de legua, Cali"/>
        <s v="Calle 8 #32-07, Eucarístico, Cali"/>
        <s v="Calle 4a oeste #94-34, polvorines, Cali"/>
        <s v="Avenida 2ds norte #7n-66, centenario, Cali"/>
        <s v="Carrera 59a #5-41, pampalinda, Cali"/>
        <s v="Calle 2a #93-68, melendez, Cali"/>
        <s v="Avenida 6n #30n-54, santa monica, Cali"/>
        <s v="Avenida 2d norte #24n-17, san vicente, Cali"/>
        <s v="Calle 7 #30-25, el cedro, Cali"/>
        <s v="Calle 10 #65a-66, limonar, Cali"/>
        <s v="Avenida 6bn #35-34, santa monica, Cali"/>
        <s v="Cra. 1D2 # 52-109, Los andes, Cali"/>
        <s v="Avenida 6n #28-83, santa monica, Cali"/>
        <s v="Carrera 2 oeste #21-94, Vereda Atenas, Cali"/>
        <s v="Calle 48 #92-107, valle del lili, Cali"/>
        <s v="Calle 1c #66b-100, el refugio, Cali"/>
        <s v="Calle 12a #29b-78, Colseguros, Cali"/>
        <s v="Avenida 10n #21-06, santa monica, Cali"/>
        <s v="Calle 23n #6an-17, santa monica, Cali"/>
        <s v="Avenida 3n #23bn-43, san vicente, Cali"/>
        <s v="Calle 25 #127-100, La viga-pance, Cali"/>
        <s v="Carrera 24b #33c-150, santa monica popular, Cali"/>
        <s v="Carrera 46a #12-36, panamericano, Cali"/>
        <s v="Calle 9 #38-06, Eucarístico, Cali"/>
        <s v="Calle 10A # 49A - 11, Departamental, Cali"/>
        <s v="Carrera 33 #10-39, colseguros, Cali"/>
        <s v="Calle 8 oeste #4-32, Bellavista, Cali"/>
        <s v="Avenida 8 n #46n-27, santa monica, Cali"/>
        <s v="Calle 48n #con avenida 4, la flora, Cali"/>
        <s v="Calle 3 #63-34, pampalinda, Cali"/>
        <s v="Carrera 33b #27-43, El Jardin, Cali"/>
        <s v="Calle 6 #5-50, la merced, Cali"/>
        <s v="Calle 5 #35-38, san fernando, Cali"/>
        <s v="Calle 7 #10-82, santa rosa, Cali"/>
        <s v="Calle 8 #32-32, champagnat, Cali"/>
        <s v="Carrera 37a #6-43, templete, Cali"/>
        <s v="Carrera 44 #14-71, El Guabal, Cali"/>
        <s v="Calle 2a #66-56, el refugio, Cali"/>
        <s v="Carrera 42 #5a-39, tequendama, Cali"/>
        <s v="Carrera 86a #5-10, las vegas, Cali"/>
        <s v="Calle 1A Oeste # 100A-12, Altos de Santa Elena / Polvorines, Cali"/>
        <s v="Carrera 41a oeste #1b-57, isabel perez, Cali"/>
        <s v="Calle 9b #50-15, panamericano, Cali"/>
        <s v="Carrera 17 #39-87, Bretaña, Cali"/>
        <s v="Calle 2a #92-10, melendez, Cali"/>
        <s v="Calle 11 #3-25, san pedro, Cali"/>
        <s v="Avenida 5n #4n-116, juanambu, Cali"/>
        <s v="Calle 2a #18-60, libertadores, Cali"/>
        <s v="Calle 1a oeste #73d-19, prados del sur, Cali"/>
        <s v="Carrera 66 #2b-4, Cascada, Cali"/>
        <s v="Avenida 6n #37bn-50, san vicente, Cali"/>
        <s v="Carrera 56 #5-152, Camino real, Cali"/>
        <s v="CALLE 17 # 85 C- 44, El ingenio, Cali"/>
        <s v="Carrera 2 #59B, Los amendros, Cali"/>
        <s v="Carrera 42a #5C-67, Tequendama, Cali"/>
        <s v="carrera 69 # 2 c 02 y calle 2 c # 69-01, Caldas, Cali"/>
        <s v="calle 70 bis # 4 cn 103, Los Guaduales, Cali"/>
        <s v="calle 17 85 c 44, El Ingenio, Cali"/>
        <s v="Carrera 7Pbis # 62-124, las ceibas, Cali"/>
        <s v="Carrera 30 # 9 50, champagnat, Cali"/>
        <s v="Calle 1d oeste # 100bis -76, Altos de Santa Elena / Polvorines, Cali"/>
        <s v="carrera 47 c 7 sur # 28, El Cristal, Cali"/>
        <s v="Calle 45 norte # 6DN - 39, La Paz, Cali"/>
        <s v="Calle 30 Norte # 2BN-42, Prados del Norte, Cali"/>
        <s v="Calle 40 Norte # 6A-45, Chipichape, Cali"/>
        <s v="calle 30 a # 29 a 109, laureano gomez, Cali"/>
        <s v="calle 57N #2BN-30, los alamos, Cali"/>
        <s v="Carrera 36B con 9, Alameda, Cali"/>
        <s v="calle 3 # 23 b -93, mira flores, Cali"/>
        <s v="Calle 12#15-51, Guayaquil, Cali"/>
        <s v="Calle 1B #60 - 44, pampalinda, Cali"/>
        <s v="Calle 9 # 44-56, Urbanizacion militar, Cali"/>
        <s v="Avenida 4B Norte # 52N-70, La flora, Cali"/>
        <s v="transversal 29 # 23-09, Santa Mónica Popular, Cali"/>
        <s v="Calle 63 Norte # 3e-60, El rincon, Cali"/>
        <s v="Calle 5 #27-09, San fernando, Cali"/>
        <s v="Calle 10 Oeste #27-48, Cristales, Cali"/>
        <s v="Calle 58nte # 5b N - 62, la flora, Cali"/>
        <s v="Calle 22 A # 118-100, Parcelaciones Pance, Cali"/>
        <s v="Calle 62 Norte No. 3GN – 80, La flora, Cali"/>
        <s v="Carrera 115 # 18-43, Ciudad Jardín, Cali"/>
        <s v="Calle 34AN # 2BN-120, Prados del Norte, Cali"/>
        <s v="Calle 50 # 92-56, Valle de Lili, Cali"/>
        <s v="Avenida 5 ta Oeste # 16-13, terron colorado, Cali"/>
        <s v="Calle 10 No. 39-19, Departamental, Cali"/>
        <s v="Calle 55 # 98-58, Valle de Lili, Cali"/>
        <s v="Carrera 14 13A 2 (6,8,10), Guayaquil, Cali"/>
        <s v="Calle 13 A 13 A 110 (122), Guayaquil, Cali"/>
        <s v="Carrera 14 13-90, Guayaquil, Cali"/>
        <s v="Calle 35 AN # 2BN-109, Prados del N., Cali"/>
        <s v="Carrera 3 # 57b -72, Cuarto de legua, Cali"/>
        <s v="Calle 13 13-84, Guayaquil, Cali"/>
        <s v="carrera 13 # 10 - 128, san juan bosco, Cali"/>
        <s v="Carrera 56 con calle 3ra, Pampalinda, Cali"/>
        <s v="carrera 94 # 1a oeste - 03, alto jordan, Cali"/>
        <s v="Cra 93 A Oeste #3a-23, La Arboleda Altos de Melendez, Cali"/>
        <s v="Carrera 1g # 51-40, Salomia, Cali"/>
        <s v="carrera 85E 28-06, Valle del Lili, Cali"/>
        <s v="Calle 33 No. 94-210, Valle del Lili, Cali"/>
        <s v="Calle 4 66-49, El Refugio, Cali"/>
        <s v="avenida 6an # 6 -104, Granada, Cali"/>
        <s v="Calle 14 # 18a - 24, Barrio Giauaquil, Cali"/>
        <s v="Cra 48 3a 53, El Lido, Cali"/>
        <s v="Avenida 4b norte # 58 N 62, Barrio la flora, Cali"/>
        <s v="Carrera 94c #2-82, Altos de Melendez, Cali"/>
        <s v="Carrera 27#10a-57, Colseguros, Cali"/>
        <s v="Avenda 2a # 75en -47, Brisas de los Alamos, Cali"/>
        <s v="carrera 39 4b 63, san fernando viejo, Cali"/>
        <s v="Carrera 76 # 2A-31, Alférez Real, Cali"/>
        <s v="Calle 3A # 22-58, Libertadores, Cali"/>
        <s v="Carrera 83 # 6a - 32 alqueria c -403 c, Las Vegas, Cali"/>
        <s v="Calle 5# 14-37, san bosco, Cali"/>
        <s v="Calle 53 # 36 25, Laureano Gomez, Cali"/>
        <s v="calle 2 # 93, El Jordan, Cali"/>
        <s v="carrera 65 # 3 a- 34, el refugio, Cali"/>
        <s v="Calle 45 98a 28, Valle del Lili, Cali"/>
        <s v="Calle 45 98a 32, Valle del Lili, Cali"/>
        <s v="calle 2c # 94bis 1b - 23, Jordan, Cali"/>
        <s v="Calle 10 # 65A-51, Refugio, Cali"/>
        <s v="Cra 24b #39-18, Barrio Asturias, Cali"/>
        <s v="Carrera 18 oeste 4 -68, Terrón Colorado, Cali"/>
        <s v="Carrera 25 U 72 U 26, Charco azul, Cali"/>
        <s v="Carrera 1D #53 -140, Los Almendros, Cali"/>
        <s v="Carrera 36A 5-145, San fernando, Cali"/>
        <s v="carrera 72 13A1 -40, Quintas de Don Simon, Cali"/>
        <s v="Cra 72 # 13A-56, quintas de don simon, Cali"/>
        <s v="Calle 62 b1 # a9 -365, Chiminangos II, Cali"/>
        <s v="Calle 2 # 66 B 129, El Refugio, Cali"/>
        <s v="PH AV 9 norte # 25-32, Santa Monica Residencial, Cali"/>
        <s v="Calle 7 # 14 a-67, San Bosco, Cali"/>
        <s v="calle 52 # 1E -53, los andes, Cali"/>
        <s v="Av. de las Americas #22 Norte-45, San Vicente, Cali"/>
        <s v="Calle 30 Norte # 5N - 35, El Dorado, Cali"/>
        <s v="Calle 2b # 66 - 52 Arboleda 1, El refugio, Cali"/>
        <s v="carrera 77 #1c - 140, danubio, Cali"/>
        <s v="Cra. 56 #5-80, Pampa Linda, Cali"/>
        <s v="Carrera 31A # 14C - 47, Cristóbal Colón, Cali"/>
        <s v="calle 44 norte # 7 -60, la campiña, Cali"/>
        <s v="Calle 47n #2i -24, La merced, Cali"/>
        <s v="Carrera 36 b# 5b2-21, San Fernando, Cali"/>
        <s v="Calle 5 No. 37A 65, San fernando, Cali"/>
        <s v="Carrera 13 # 6-32., San Bosco, Cali"/>
        <s v="Calle 56norte # 2hn-33, Vipasa / Flora, Cali"/>
        <s v="Carrera 84 No. 13B 11, El ingenio, Cali"/>
        <s v="carrera 36a 5B 1-37, san fernando, Cali"/>
        <s v="calle 2 A bis 94B1 -43, Altos de Melendez, Cali"/>
        <s v="calle 56#84~33, las vegas de comfandi, Cali"/>
        <s v="Cra77a #3D-56, napoles, Cali"/>
        <s v="Calle 16 # 29A-105, Santa Elena, Cali"/>
        <s v="Calle 6 No. 43-66, Valle del Lili, Cali"/>
        <s v="Calle 28 # 98-75, Valle de lili, Cali"/>
        <s v="Calle 4 c # 35 A 07, San Fernando Viejo, Cali"/>
        <s v="Carrera 86 17-35, Ingenio, Cali"/>
        <s v="Cl. 13 #80 - 187, Ciudadela Comfandi, Cali"/>
        <s v="Calle 13 #75 - 85, Pasoancho, Cali"/>
        <s v="Ara carrera 70, , Cali"/>
        <s v="Carrera 38 # 5b1 - 39, San Fernando N., Cali"/>
        <s v="Carrera 94B 2 -190, Jordan, Cali"/>
        <s v="Calle 5b2 #37a - 50, Tequendama, Cali"/>
        <s v="Carrera 85 D # 55-100, Vegas de confandi, Cali"/>
        <s v="Calle 83c #22-08, Valle Grande, Cali"/>
        <s v="Diagonal 23 # 10b - 54, Colseguros, Cali"/>
        <s v="Calle 9 #40-24, los cambulos, Cali"/>
        <s v="Calle 5b2 # 37 A-75, Tequendama, Cali"/>
        <s v="Carrera108 # 44-75, Bochalema, Cali"/>
        <s v="Calle 63 norte # 3e - 70, La Flora, Cali"/>
        <s v="Carrea 16 # 8A 18, Bretaña, Cali"/>
        <s v="Carrera 34 # 13-51, Colseguros, Cali"/>
        <s v="Calle 2b 66A 46, El Refugio, Cali"/>
        <s v="Corregimiento de Golondrinas sector la María, casa Ariel Montero, Rural, Cali"/>
        <s v="carrera 23 # 8 - 07, la alameda, Cali"/>
        <s v="Carrera 7B #82-18, Alfonso López, Cali"/>
        <s v="Calle 9 # 42-78, Cámbulos, Cali"/>
        <s v="calle 70 # 7j - 04, los pinos, Cali"/>
        <s v="Carrera 39d# 56-101, el vallado, Cali"/>
        <s v="Carrera 47 #4-157, Antonio Nariño, Cali"/>
        <s v="Carrera 48 # 4-71, El lido, Cali"/>
        <s v="Av 6AN # 23N-90, Santa Monica R, Cali"/>
        <s v="Calle 5B2 # 38-91, San Fernando Nuevo, Cali"/>
        <s v="Calle 26 Norte # 2BN 15, San Vicente, Cali"/>
        <s v="Carrera 94 C # 3-46, Melendez, Cali"/>
        <s v="Carrera 92 # 25-81, Ciudad Jardín, Cali"/>
        <s v="Carrera 1D1 # 53-140, Los Andes, Cali"/>
        <s v="Carrera 41a # 31- 28, Cudad Modelo, Cali"/>
        <s v="Carrera 36B # 5B2 - 04, San Fernando, Cali"/>
        <s v="carrera 15 # 43 - 28, Chapinero, Cali"/>
        <s v="Calle 5B 2 #36c-03, San fernando, Cali"/>
        <s v="Carrera 35 # 14-42, Cristobal colon, Cali"/>
        <s v="Calle 9 # 24 20, Alameda, Cali"/>
        <s v="Calle 1B 55-25, Cuarto de Legua, Cali"/>
        <s v="Calle 4 con 61A, Meléndez, Cali"/>
        <s v="carrera 94b oeste #1b-65, Alto jordan, Cali"/>
        <s v="Calle 5b3 # 37 - 85, San Fernando, Cali"/>
        <s v="Calle 6# 13-49, San Bosco, Cali"/>
        <s v="calle 2A Bis # 82-10, Alto Nápoles, Cali"/>
        <s v="cra 28 #5b -117, san fernando, Cali"/>
        <s v="Calle 70 C1 #1a 4C-33, San Luis, Cali"/>
        <s v="Carrera 22 # 11A-34, Sucre, Cali"/>
        <s v="Carrera 32 #12c-25, Colseguros, Cali"/>
        <s v="Calle 33 #67B 62, ciudad 2000, Cali"/>
        <s v="Cra 1C3 #65-24, chiminangos etapa 1, Cali"/>
        <s v="Calle 10 #12-39, san nicolas, Cali"/>
        <s v="Carrera 24c Oeste # 6 - 11, Miraflores, Cali"/>
        <s v="Carrera 5L con Calle 39, El troncal, Cali"/>
        <s v="Calle 3 # 66 - 38, El Refugio, Cali"/>
        <s v="Calle 3 D # 66B-42, el refugio, Cali"/>
        <s v="Calle 2B # 94-10, el Jordan, Cali"/>
        <s v="Carrera 86A#5-10, Mayapan - Las Vegas, Cali"/>
        <s v="Cr 1c bis 67-42, chiminangos, Cali"/>
        <s v="Carrera 35 #29 - 74, San Carlos, Cali"/>
        <s v="Calle 38A Norte – Av. 2B Norte, Prados del Norte, Cali"/>
        <s v="Calle 5 # 45A-125, tequendama, Cali"/>
        <s v="Av. 2 B2 Norte 73-151, Brisas de los Alamos, Cali"/>
        <s v="Calle 38 Norte con Avenida 2E Norte, La flora, Cali"/>
        <s v="Carrera 34 # 25 -42, La Esperanza, Cali"/>
        <s v="Kilómetro 4 via la buitrera, Rural, Cali"/>
        <s v="Calle 5B2 con Carrera 36A Edificio el Estadio, San fernando, Cali"/>
        <s v="Avenida 3 # 37 -26, La Flora, Cali"/>
        <s v="Avenida 3 # 35N - 76, Prados del Norte, Cali"/>
        <s v="Av. 6 con Calle 44, esquina – Edificio A Caner Llanera, La Flora, Cali"/>
        <s v="CRA 39 # 5B-22, tequendama, Cali"/>
        <s v="Corregimiento La Paz, Via Golondrinas,https://maps.app.goo.gl/tdiqNxax5rBKegBK7, Rural, Cali"/>
        <s v="Calle 7 OE Avenida 43B 33, Sector hora cero, Cali"/>
        <s v="Calle 14 # 54-15, primero de mayo, Cali"/>
        <s v="Carrera 35 4-40, San Fernando, Cali"/>
        <s v="Avenida 43 # 10A-54, Los Estudiantes, Cali"/>
        <s v="Calle 64N 4 - 35, La flora, Cali"/>
        <s v="Avenida 5 Oeste # 23-12, Terron Colorado, Cali"/>
        <s v="Calle 13B # 66B-56 – Unidad Bosques de la Fontana, Bosques del Limonar, Cali"/>
        <s v="Calle 62B cra1A 9-365 sector 1 Agrupación 5 Torre A, Chiminangos II, Cali"/>
        <s v="Calle 126 # 23-24, Oriente, Cali"/>
        <s v="Avenida 3N # 35n - 76, Prados del Norte, Cali"/>
        <s v="Sector 6 agrupación torre B apto 11, Chiminangos II, Cali"/>
        <s v="Calle 38 Norte #2bn - 173, Prados del Norte, Cali"/>
        <s v="Calle 14c No.48-55 Apto 204c unidad residencial Rincón del Parque, barrio la Selva, la selva, Cali"/>
        <s v="carrera 13 # 5 - 31, San Bosco, Cali"/>
        <s v="Avenida 43 oeste #10a-54, Rural, Cali"/>
        <s v="Carrera 71A 10bis-19, Capri, Cali"/>
        <s v="CAlle 51 Norte # 3 an 175, La flora, Cali"/>
        <s v="Carrera 9c # 30 - 37, El troncal, Cali"/>
        <s v="Avenida 4 Norte # 7N-53 – Edificio/Torre de Consultorios, Centenario, Cali"/>
        <s v="Cra 83 oeste # 1B - 04, Alto Nápoles, Cali"/>
        <s v="av 6 a norte # 38-60 Alameda de chipichape 3, chipichape, Cali"/>
        <s v="Calle 13 # 53-45 – Unidad Villa Marcela Revisar Aptos: 202 -201-102 B; 101- 102 A, Primero de mayo, Cali"/>
        <s v="Calle 51 # 8-58, La base, Cali"/>
        <s v="Calle 5B3 Bis # 38-25, San Fernando, Cali"/>
        <s v="Calle 5b3 bis # 31 21, San Fernando, Cali"/>
        <s v="Carrera 1F # 58-50, Conjunto Punta del Este, Bochalema, Cali"/>
        <s v="Calle 5b 3bis # 38 - 32, San Fernando, Cali"/>
        <s v="Calle 55A Norte # 2AN-99 y # 2AN-107, Alamos, Cali"/>
        <s v="Calle 2A Bis # 82A-23, Alto Nápoles, Cali"/>
        <s v="Carrera 26P # 103D-17, Marroquín I, Cali"/>
        <s v="Calle 82 # 7b bis-12 - unidad atalaya, Alfonso López, Cali"/>
        <s v="Calle 64N #4-35. Apto 1001C Paseo real 3, la flora, Cali"/>
        <s v="los andes calle 56 con carrea 1d2 Edificio portal del encinar, los andes, Cali"/>
        <s v="carrera 41 con roosvelt, los cambulos, Cali"/>
        <s v="Calle 41 con Carrera 7, los cambulos, Cali"/>
        <s v="carrera 38a # 7 - 5 , hotel flamingo, Eucarístico, Cali"/>
        <s v="calle 5# 13-58, san cayetano, Cali"/>
        <s v="Edificio afectado Calle 8c #47-35 barrio nueva tequendama, edificio cerca a Palmetto, nueva tequendama, Cali"/>
        <s v="calle 5 #23-33 2do piso---- colapso de teccho en tres hacbitaciones , 5 familias en la edificacion----, san fernando, Cali"/>
        <s v="Reporta persona atrapada en el apartamento, la puerta se dañó y no ha podido evacuar, Calle 58 Nte #5b N - 62, @sebas.avila.cabal, la flora, Cali"/>
        <s v="Daños en Carrera 96 #2a-11, reenvía Catherine de CITEL, melendez, Cali"/>
        <s v="Carrera 1 G # 59 - 04, en el barrio Paseo de los Almendros, frente al Polideportivo Dakota., paseo los almendros, Cali"/>
        <s v="Para reportar que se cayó 2 edificios en el conjunto residencial bariloche carrera 53 # 13-65 bloque 7 - 102 hay personas de la tercera edad en silla de ruedas, barrio Primero de Mayo., 1 de mayo, Cali"/>
        <s v="edificio frente a la DIAN antiguo colpátria, san pedro, Cali"/>
        <s v="Afectaciones en unidad residencial, Calle 69 # 5-85, Johana Tovar, @kennyjohanatovar, el guabito, Cali"/>
        <s v="teatro municipal Carrera 5 # 6-64, san pedro, Cali"/>
        <s v="Carrera 61A # 3-114 Edificio San Antonio, Pampalinda, Cali"/>
        <s v="Hotel la luna, calle 13 con autopista suroriental, junin, Cali"/>
        <s v="Carrera 4 con calle 10- Casinno aladdin, san pedro, Cali"/>
        <s v="DOLLAR CITYD Carrera 3 # 69-59, jorge eliecer gaitan, Cali"/>
        <s v="carrera 9 #19-20 barrio sucre, sucre, Cali"/>
        <s v="Carrera 3N #24-58, El piloto, Cali"/>
        <s v="Carrera 12 #9-55, san bosco, Cali"/>
        <s v="calle 5 con 57, Cuarto De Legua - Guadalupe, Cali"/>
        <s v="edificio contiguoa a la iglesia de la Ermita, san pedro, Cali"/>
        <s v="Calle 18a #55-105 Samanes de Guadalupe, Cañaverales, Cali"/>
        <s v="carrera 66 con 13, bosques del limonar, Cali"/>
        <s v="calle 9 con 45, urbanizacion militar, Cali"/>
        <s v="calle 9 con 44, urbanizacion militar, Cali"/>
        <s v="Carrera 25 # 3- 51 Oeste San Fernando, san fernando, Cali"/>
        <s v="Calle 13A#85C -27, el ingenio, Cali"/>
        <s v="edificio capitolio 5 con 66, gran limonar, Cali"/>
        <s v="palacio de justicia en plaza de caycedo, san pedro, Cali"/>
        <s v="Calle 14 con Carrera 66 – Edificio Parques de la Fontana, bosques del limonar, Cali"/>
        <s v="Unidad residencial Villa Marcela calle 13#53-45, primero de mayo, Cali"/>
        <s v="calle 5 #40-90 edi., nueva granada, Cali"/>
        <s v="Avenida 10 Norte # 7N-130, Edificio Colinas de Juanambu, Juanambú, Cali"/>
        <s v="carrera 72 con 7bis capri, capri, Cali"/>
        <s v="calle 5B con carrera 42a parroquia la asencion-, tequendama, Cali"/>
        <s v="Calle 7 #19 -74, Alameda, Alameda, Cali"/>
        <s v="Carrera 12 #4-10 edificio esquina, San Cayetano, san cayetano, Cali"/>
        <s v="Avenida guadalupe con 3a-, Cuarto De Legua - Guadalupe, Cali"/>
        <s v="Carrera 2bn 72d04 floralia, ciudadela floralia, Cali"/>
        <s v="calle 59 y 62 #8-100 barrio la base unidad marco fidel suarez, la base, Cali"/>
        <s v="Carrera 72 #10bis-21 torre b comuna 17, los portales - nuevo rey, Cali"/>
        <s v="calle 2bis #76-09 barrio colinas del sur, colinas del sur, Cali"/>
        <s v="Avenida 7b oeste 19a56, Terrón Colorado, terron colorado, Cali"/>
        <s v="calle 18 #85c-47 edificio la zafra, el ingenio, Cali"/>
        <s v="calle 77 #28f-95, comuneros 1, Cali"/>
        <s v="Calle 2 B # 66 A 46, Colegio San José Refugio, el refugio, Cali"/>
        <s v="Carrera 34 #5b-77 san fernando, san fernando, Cali"/>
        <s v="universidad UNAD- roosvelt, Eucarístico, Cali"/>
        <s v="Av. 5 Nte. #22 Norte-2 a 22 Norte-100, Versalles, Cali"/>
        <s v="Calle 79e casa 2010, valle grande, Cali"/>
        <s v="Calle 59 #1C-73 Torres de comfandi conjunto B, Barranquilla, Cali"/>
        <s v="antigua clinica saludcop Calle 9 # 29 (Calle 9 con Carrera 30, barrio Champagnat / La Alameda)., Champagnat, Cali"/>
        <s v="Calle 8 c #47-35, Nueva Tequendama, Cali"/>
        <s v="Calle 3D 69-33, Palmas, Cali"/>
        <s v="Carrera 17f #3012 Droguería Superior, La Independencia, Cali"/>
        <s v="Carrera 66 con Calle 12, El limonar, Cali"/>
        <s v="avenida roosvelt con 26, 3 de julio, Cali"/>
        <s v="Calle 21N#4-09, San Vicente, Cali"/>
        <s v="calle 5b con 36 edificio los profesiol}nales, San Fernando, Cali"/>
        <s v="carrera 17 con calle 15, Manuel Buenaventura, Cali"/>
        <s v="Carrera 39 #5E-46, Tequendama, Cali"/>
        <s v="Carrera 36 con 5b3 detras del estadio pascual guerrero, San Fernando, Cali"/>
        <s v="Avenida 9 norte con 21- edificio de ancianos, Santa Monica Residencial, Cali"/>
        <s v="Avenida Roosevelt #39A-20, Tequendama, Cali"/>
        <s v="Calle 42 Nte. # 7 - 71 conjunto Terrazas de Chipichape, La Campiña, Cali"/>
        <s v="calle 1 bis 70-34 edificio las palmas, Bajo Jordan, Cali"/>
        <s v="Carrera 70 #1c-70 barrio caldas. torres de san mitchel, Buenos aires, Cali"/>
        <s v="Carrera 39 # 5E-46, edificio Bachue, Tequendama, Cali"/>
        <s v="Calle 2#2-33, San Antonio, Cali"/>
        <s v="calle 6 con 13, toda la cuadra, San Bosco, Cali"/>
        <s v="calle 7 #35-10 - 35-12el templete, El Templete, Cali"/>
        <s v="Avenida 3 norte 21-22 edificio calima, barrio Versalles, San Vicente, Cali"/>
        <s v="salud total, avenida de las amenricas Avenida 3 Norte # 19N-03, Barrio San Vicente., San Vicente, Cali"/>
        <s v="calle 38 norte 3#gn-09 ed. torre ddel prado, Prados del Norte, Cali"/>
        <s v="carrera 66 #9-81, Gran Limonar, Cali"/>
        <s v="Edifico Comfenalco Cambulos, Los Cámbulos, Cali"/>
        <s v="Carrera 15 #20-08, Belalcázar, Cali"/>
        <s v="Carrera 98f #58.66 unidad indigo, Ciudad Melendez, Cali"/>
        <s v="calle 5 con 13, San Cayetano, Cali"/>
        <s v="calle 12 oeste #54-130, Las Canas, Cali"/>
        <s v="Avenida 10 norte #7n.130 colinas de, Juanambú, Cali"/>
        <s v="call 8 entre 32 y 32a, El Cedro, Cali"/>
        <s v="calle 36 con 5, Las Delicias, Cali"/>
        <s v="corregimiento de golondrinas- sector la maria, Golondrinas, Cali"/>
        <s v="Carrera 37a #3bis-19 lomas de san fernando torre 1, Santa Isabel, Cali"/>
        <s v="Carrera 43 #6a -115 nueva tequendama 6, Nueva tequendama, Cali"/>
        <s v="calle 13e #55-02, Primero de mayo, Cali"/>
        <s v="kilometro 10.5 altos del rosario corregimiento de la buitrera, Altos del rosario, Cali"/>
        <s v="edificio altavista 2000, San fernando, Cali"/>
        <s v="Calle 2c #65-22, La Cascada, Cali, Valle del Cauca, La cascada, Cali"/>
        <s v="calle 9 con 54, Pampalinda, Cali"/>
        <s v="calle 2c #93-42 melendez, Melendez, Cali"/>
        <s v="Avenida 4bnorte #58-n60 paseo real- la flora, La flora, Cali"/>
        <s v="Calle 14c #49a-29 las camelias, Las camelias, Cali"/>
        <s v="Carrera 44a con 10, Limonar, Cali"/>
        <s v="Carrera 78 #1a-176 prados del sur, Prados del sur, Cali"/>
        <s v="Calle 5 con 36, San fernando, Cali"/>
        <s v="El colegio José Holguín garses y las escuelas del sector ulpiano lloreda y anamaría lloreda sector terrón colorado, Versalles, Cali"/>
        <s v="CALLE 43N 8N30 LA CAMPIÑA CASA DE JAIRO, La campiña, Cali"/>
        <s v="Carrera 53 con calle 12, Santa Anita, Cali"/>
        <s v="calle 22 norte 9-87, Versalles, Cali"/>
        <s v="Carrera 43 # 5C-34&#10; Barrio Tequendama- Fundación Lazzos de Amor, tequendama, Cali"/>
        <s v="Carrera 23D # 13-31, Junin, Cali"/>
        <s v="Avenida Los Estudiantes, sector La Escuela – Sede Educativa San Pedro, Montebello, Cali"/>
        <s v="Vereda Campo Alegre – Institución Educativa Andrés Lenis, Montebello, Cali"/>
        <s v="Felidia- sin direccion, Felidia, Cali"/>
        <s v="Carrera 72a #13a-80, quintas de don simon, Cali"/>
        <s v="Calle 5b1 #29-17, san fernando, Cali"/>
        <s v="parroquia nuestra señora de los andes- Validar, Los Andes, Cali"/>
        <s v="Calle 23n #6an-17 antigu ed- dinners, santa monica, Cali"/>
        <s v="Avenida 3n #23bn-43 Ed. España, san vicente, Cali"/>
        <s v="Carrera 94 #2-20, jordan, Cali"/>
        <s v="Calle 48n #4bn-42 Ed. petriza, la flora, Cali"/>
        <s v="Carrera 2 #59B, esquina, Los amendros, Cali"/>
        <s v="Calle 1d oeste # 100bis -76 Torre 87, Altos de Santa Elena / Polvorines, Cali"/>
        <s v="calle 57N #2BN-30 Piso 02 B/Ciudad los Álamos, Cali, los alamos, Cali"/>
        <s v="CALLE 55 A NORTE NROS. 2-AN-99 Y 2-AN-107, Pacara y Alamos, Cali"/>
        <s v="Av 1 oeste # 6-28 piso 1, Santa rita, Cali"/>
        <s v="calle 5c #29-54, san fernando, Cali"/>
        <s v="Ave 2 bn 32 an 33 - rincón de la flora dos etapa d, Prados del Norte, Cali"/>
        <s v="Calle 47 norte # 2i-24 edificio 3 pisos, La merced, Cali"/>
        <s v="Calle 12-A. No 50-25, Santa Anita, Cali"/>
        <s v="Carrea 36 c # 5 B 1-60, San fernando nuevo, Cali"/>
        <s v="Calle 55A # 30B-50, Comuneros I, Cali"/>
        <s v="calle 3 # 71-03, buenos aires, Cali"/>
        <s v="Cra 7Lbis # 76-96, Alfonso López, Cali"/>
        <s v="Carrera 32 # 12C-25, Colseguros, Cali"/>
        <s v="Carrera 15 # 8 - 50 hasta el 56, San Bosco, Cali"/>
        <s v="Calle 99 # 55 - 250, Puertas del sol, Cali"/>
        <s v="Carrer 100 # 34 96, Valle del Lili, Cali"/>
        <s v="Carrera 14 # 5-19, San Juan Bosco, Cali"/>
        <s v="Carrera 8 # 10 - 47, San pedro, Cali"/>
        <s v="Carrera 38 # 9a Oste -50, Cristales, Cali"/>
        <s v="Carrera 14 # 74-55, Andres Sanin, Cali"/>
        <s v="Avenida 10n # 7n -10 apart 502, Juananbu, Cali"/>
        <s v="Calle 2 #66B-19, apto 203, Refugio, Cali"/>
        <s v="Calle 79 # 9A-32, puerto mallarino, Cali"/>
        <s v="carrera 41a #16_40, San Judas, Cali"/>
        <s v="Calle 5 B 3 # 38 16, San fernando nuevo, Cali"/>
        <s v="Cra 1 No. 4 A 70D 08 bloque 95 apto 101, Los Alcazares, Cali"/>
        <s v="Calle 10 # 21 47, Bretaña, Cali"/>
        <s v="Carrera 36d #12 oeste - 143, Los Cristales, Cali"/>
        <s v="Carrera 59# 1-10, Cuarto de Legua, Cali"/>
        <s v="Calle 14 #42-12, El Guabal, Cali"/>
        <s v="Avenida 4 con 37 A, La flora, Cali"/>
        <s v="Avenida 3H con Calle 37 (prados del Norte), prados del norte, Cali"/>
        <s v="CAlle 10 #12-63, San Bosco, Cali"/>
        <s v="Calle 10 #12-69, San Bosco, Cali"/>
        <s v="Calle 39 N avenida 36 Esquina entre 3H y 36 (la juana), Union de Vivienda Popular, Cali"/>
        <s v="Calle 12 A Norte 6N 50 (bloque 3 apto 902), Granada, Cali"/>
        <s v="Calle 42 # 7 - 49, Antonio nariño, Cali"/>
        <s v="Calle 8 A No. 42-56, Los Cámbulos, Cali"/>
        <s v="Carrera 27 No. 4 Oeste-74, San Fernando, Cali"/>
        <s v="Cl. 13c #49-15, La Selva, Cali"/>
        <s v="Calle 26 norte #6-13, , Cali"/>
        <s v="Calle 2c # 66b -47, Refugio, Cali"/>
        <s v="Carrea 38 # 55 a 29, El Vallado, Cali"/>
        <s v="Calle 12A-No.57-21CR Palmar de Coomeva II, Primero de Mayo, Cali"/>
        <s v="Calle 7 oeste avenida 43B-33, Rural, Cali"/>
        <s v="Calle 3 oeste # 94A-35, Alto Polvorines, Cali"/>
        <s v="avenida Guadalupe # 2-157, Cuarto de Legua, Cali"/>
        <s v="Calle 2 # 66B-87, El Refugio, Cali"/>
        <s v="Calle 72W # 28B1-06, Poblado 2, Cali"/>
        <s v="calle 2A 93A - 176, melendez, Cali"/>
        <s v="calle 13 A # 69-74, La hacienda, Cali"/>
        <s v="Calle 9 # 27 - 60 Alameda, Alameda, Cali"/>
        <s v="Cl 12A #56-25, santa anita, Cali"/>
        <s v="Calle 3 oeste No 94A35 Barrio alto Polvorines, polvorines, Cali"/>
        <s v="Calle 12A-No.57-21, santa anita, Cali"/>
        <s v="Calle 8 # 42 - 55, Cámbulos, Cali"/>
        <s v="Calle 51 # 8H - 10, la base, Cali"/>
        <s v="Carrera 42A1 #42-88, la union, Cali"/>
        <s v="Cra. 23 #8-07, Bretaña, Cali"/>
        <s v="Calle 13 oeste # 55 - 72 Edificio Gualanday, Bella Suiza, Cali"/>
        <s v="Calle 13c # 49 -15 conjunto multifamiliar triveca, Zaguasqui, Cali"/>
        <s v="Calle 7 # 30-21, El cedro, Cali"/>
        <s v="Avenida 6N #26N -36, Santa Monica norte, Cali"/>
        <s v="Carrera 2b # 78 -03, Petecuy etapa 1, Cali"/>
        <s v="Carrera 97 #2a -50, Melendez, Cali"/>
        <s v="Calle 14 # 54-15, Limonar, Cali"/>
        <s v="Carrera 100 oeste #1B-26, Melendez, Cali"/>
        <s v=", San fernando viejo, Cali"/>
        <s v="Calle 72 P # 26 H 3 - 58, Los lagos distrito de agua blanca, Cali"/>
        <s v=", , Cali"/>
        <s v="Calle 4b # 35 - 19 Edificio amarillo, San fernando viejo, Cali"/>
        <s v="Carrera 38 # 6-58, El templete, Cali"/>
        <s v="Carrera 28 # 7 -47, El cedro, Cali"/>
        <s v="Carrera 27 #5B-29, 4 de Julio, Cali"/>
        <s v="Carrera 23d # 10a - 02, Bretaña, Cali"/>
        <s v="Carrera 42 # 6-29, Cámbulos, Cali"/>
        <s v="Avenida las americas # 22n _45 fondo nacional del ahorro, San Vicente, Cali"/>
        <s v=", San Fernando, Cali"/>
        <s v="Carrera 56 # 5 -80, Guadalupe, Cali"/>
        <s v="Calle 71 a # 2 C 68, Jorge eliecer gaitan, Cali"/>
        <s v="Carrera 24 #7-71, Alameda, Cali"/>
        <s v=", La base, Cali"/>
        <s v="Cra 16 #9-30, Bretaña, Cali"/>
        <s v="Carrera 50B con Avenida 12 Oeste, lleras camargo, Cali"/>
        <s v="Calle 4b #39-47, Nueva Granada, Cali"/>
        <s v="Calle 12 # 39-40, Departamental, Cali"/>
        <s v="Avenida 5B Norte # 64-80 Apartamento 402 Torre A, La Flora, Cali"/>
        <s v="Calle 5B #52A - 5, tequendama, Cali"/>
        <s v="Cra 36b #5-127, San Fernando, Cali"/>
        <s v="Carrera 48 # 4-163, el lido, Cali"/>
        <s v="Calle 13 # 13 -86, San Pascual, Cali"/>
        <s v="Carrera 12 D 30 08, Saavedra galindo, Cali"/>
        <s v="Carrera 62 #2A-96, Cuarto de Legua, Cali"/>
        <s v="Calle 13A # 39-51, El Guabal, Cali"/>
        <s v="Carrera 51 # 8h-10, Panamericano, Cali"/>
        <s v=", Santa Isabel, Cali"/>
        <s v="Carrera 42A1 #42-88  B// union de vivienda popular , union de viviendas popular , Cali"/>
        <s v="Calle 8 22 87, La alameda, Cali"/>
        <s v="Call 42 a cr 47 b 41 marianos ramos"/>
        <s v="calle 63 #23-36 Nueva floresta"/>
        <s v="CRA 43A # 13-77 barrio Guabal"/>
        <m/>
        <s v="Carrera 26T #73-136 Alfonso Bonilla Aragón. "/>
        <s v="Avenida 2AN # 39- 213 barrio Vipasa&#10;Multifamiliar Ochoa"/>
      </sharedItems>
    </cacheField>
    <cacheField name="Descripción" numFmtId="0">
      <sharedItems containsBlank="1">
        <s v="Colapso de 3 edificaciones y 4 en riesgo de colapso"/>
        <s v="Colapso Estructural"/>
        <s v="-"/>
        <s v="Daño estructural"/>
        <s v="Colapso estructural - Edificación de 8 pisos colapsada, aproximadamente 28 personas atrapadas. Fuga de gas, Edificio de 7 pisos"/>
        <s v="Colapso estructural - Niña atrapada"/>
        <s v="Daño estructural, evacuación controlada"/>
        <s v="Edificio en alto riesgo de colapso"/>
        <s v="Fallecido Masculino - Vía Pública"/>
        <s v="Colapso techo, reportan fallecido Guillermo Atehortua CC 14948983"/>
        <s v="Daño estructural - reportan 2 ancianos atrapados"/>
        <s v="Daño estructural , se reportan atrapamiento femenina y canino"/>
        <s v="Daño estructural, Se escucha"/>
        <s v="Daño estructural, con posibles fugas de gas"/>
        <s v="Daño estructural, casa antigua a punto de colapsar"/>
        <s v="Arboles caidos"/>
        <s v="daño estructural casa de tres pisos, hay grietas en todos los pisos,CEL. 3136175363 Olga Lucía Camacho"/>
        <s v="Daño estructural, evacuacion controlada"/>
        <s v="Daño estructural , Fisuras en 3 piso"/>
        <s v="daños en fachada y estructura del edificio, Vicenta Striem resido en la Avenida 4B norte # 52N 76 apto 110 conjunto Aragon La Flora.&#10;Cel: 3148079618"/>
        <s v="Taller afectado, iglesia al lado destruida"/>
        <s v="Daño estructural en vivienda paredes agrietadas"/>
        <s v="muro posterior agrietado Nombre: miguel González &#10;Telefono: 318 389 43 60"/>
        <s v="Daño estructural en mamposteria y paredes agrietadas"/>
        <s v="afectacion estructural en edificio de 5 pisos por desprendimiento de muros yina riascos cc 66.749.927"/>
        <s v="edificio con grietas, Stephany Castañeda celular 3176822210"/>
        <s v="daño estructural ana villota 3122953851"/>
        <s v="daño estructural jesus alvarez gallego 3117402973"/>
        <s v="daño estructural María deissy Silva sanchez cc 52704070. Celular 3137960993"/>
        <s v="daño estructural, paredes y techo M"/>
        <s v="Edificio que se agrietó por replica"/>
        <s v="edificio está muy agrietado, aperturas por donde cabe una mano y hasta una persona Paredes en el piso y demás, se está ladeando hacia adelante. Sandra Velez, soy la administradora del edificio Palma de La Voragene celular 316 7531109"/>
        <s v="Daño estructural en vivienda"/>
        <s v="daño estructural, colapso de techo"/>
        <s v="caida de techo en empresa- ttabajadores evacuados"/>
        <s v="daño estructural-colapso de pared"/>
        <s v="daño estructural cida parcial de muros"/>
        <s v="daño estructural, colapso en techo"/>
        <s v="daño estructural en fachada"/>
        <s v="daño estructural y colapso en techo de local comercial"/>
        <s v="colapso estructural de pared sobre techo"/>
        <s v="daño estructural, caida de paredes"/>
        <s v="colapso de vivienda- persona lesionada"/>
        <s v="daño estructural, caida parcial de techo"/>
        <s v="daño estructural, caida parcial pared de fachada"/>
        <s v="daño estructural-edif contiguo tambien con daño estructural"/>
        <s v="daño estructural. colapso parcial de techo"/>
        <s v="daño estructural, cida de techo parcial en ultimo piso"/>
        <s v="colapso parcial de pared hacia via publica"/>
        <s v="colapso parcial en paredes"/>
        <s v="colapso en pared trasera"/>
        <s v="daño estructural, colapso parcial en paredes"/>
        <s v="daño estructural. parcial de muro"/>
        <s v="daño estrucutural colap de muros"/>
        <s v="daño estrucutural"/>
        <s v="daño en vivienda por colapso de estructura"/>
        <s v="daño estructural, daño en paredes exteriores del edificio"/>
        <s v="vivienda con afectacion en estructura, grietas cel 3206422698 Aymer Darío Pérez Ramírez Anexo otro número de contacto 3148578390"/>
        <s v="afectacion por daños en cubierta y estructura, Carlos Duvan Rendón 310 3732331"/>
        <s v="Grietas en todas las paredes ,necesitamos evaluación por estructurales ."/>
        <s v="afectacion en paredes y riesgo de caida de cubierta"/>
        <s v="apartamento con afectacion en estructura y perdida parcial de cielo falso."/>
        <s v="daño estructural,"/>
        <s v="Grietas en todos los pisos pero no sabemos qué tan graves puedan llegar a ser. Es una casa de 3 pisos con terraza y vemos que cada piso hay grietas en los techos y paredes."/>
        <s v="edificio con afectaciones en fachada y grietas"/>
        <s v="Afectacion a vivienda por grietas, 301 2160701"/>
        <s v="Fondo Nacional del Ahorro Sede Las Americas - requiere revision de las instalaciones para poder ingresar los empleados y resumir operaciones."/>
        <s v="Daño estructural en vivienda Paola Vargas 3187207404"/>
        <s v="daño estructural caida de techo 3105392101"/>
        <s v="Pisos y escaleras que cedieron y una pared que está por caer y pone en riesgo las casas de al lado."/>
        <s v="afectacion por grietas, requiere verificacion Gloria Isabel Rincón &#10;3148383882"/>
        <s v="las casas están agrietadas y paredes caídas y otras en riesgo inminente de colapso,"/>
        <s v="vivienda con afectacion por grietas, requiere verificacion"/>
        <s v="daño estructural Yoselin santana 3159254781"/>
        <s v="Edificio vecino inclinado con alto riesgo de caer sobre este registrado, e igualmente este presenta daños estructurales, defensa civil recomendo evacuar (ya lo hicieron)"/>
        <s v="pared de tercer piso con grietas, desprendida de columna, tienda elige llantas, Daniel Muelas administrador 3122586869&#10;3182081805"/>
        <s v="Pared descolgada que amenaza caer en casa vecina"/>
        <s v="presenta unas fisuras entre el primero y sexto piso séptimo y octavo otras fisuras menos evidentes más delgadas. El Ascensor no está en funcionamiento y el contrapeso averió la cabina de Ascensor."/>
        <s v="daño estructural, local vehimarcas del valle Ivon Katherine Sánchez tel 3128332023-3147921804, email delvallevehimarcas@gmail.com"/>
        <s v="afectacion en fachada por grietas, requiere verificacion"/>
        <s v="colapso total de cubierta, requiere verificacion Jesús Arnoby López 322 4991384"/>
        <s v="Techos y muros colapsados, daño severo"/>
        <s v="afectacion estructural requiere verificacion en todo el edificio"/>
        <s v="casa de 3 pisos con afectacion estructural, María Elizabeth Medina Leal&#10;&#10;Contactos 3182970023&#10;3136612178&#10;3171387883"/>
        <s v="afectacion estructurar se requiere verificacion del edificio"/>
        <s v="afectacion en pared por desplome de edificio vecino, requiere verificacion"/>
        <s v="afectacion en pared exterior con riesgo de caida"/>
        <s v="Fachada agrietada alrededor de ventanas"/>
        <s v="afectacion estructural, ÁLVARO FERNANDO CÁRDENAS YARCE&#10;cc. 94.511.374 de Cali&#10;Cel.: 300 603 32 41"/>
        <s v="Grietas en la torre i"/>
        <s v="afectacion en cielo falso y paredes agrietadas, requiere verificacion"/>
        <s v="afectacion estructural, requiere verificacion,Teléfono Comtacto en sitio &#10;Geisler &#10;+57 (300) 283-2681 Teléfono contacto &#10;Ximena Delgado M&#10;3045216867"/>
        <s v="Daños estructurales en 14 casas, una casa es perdida total, 33 personas afectadas, muchos niños."/>
        <s v="Agrietamiento en estructura fachada del edificio"/>
        <s v="afectaciones importantes tanto internas como externas. Se cayeron algunas paredes y se evidencian grietas en varias paredes y elementos de la estructura"/>
        <s v="afectacion estructural, requiere verificacion"/>
        <s v="Las escaleras del 4 y 5 piso se encuentran agrietadas y en el el segundo piso las escaleras tienen una abertura en la unión de las gradas que ya se desprendió el cemento y no aguantan otro sismo, y los apartamentos tienen grietas"/>
        <s v="Grietas leves. escaleras con grietas"/>
        <s v="afectacion estructural requiere verificacion"/>
        <s v="Evidenciamos una grieta en la casa, el segundo piso, cerca a la columna hacia al abismo"/>
        <s v="edificio evacuado por afectacion estructural"/>
        <s v="Daño estructural en las escaleras"/>
        <s v="daño estructural en edificio"/>
        <s v="persona atrapada- daño estructural"/>
        <s v="daños estructurales"/>
        <s v="daños estructurales en multiples casas del sector"/>
        <s v="colapso estructural piso superior"/>
        <s v="colapso en pared perimetral, techo averiado"/>
        <s v="agrietamiento de paredes en edificio, afectacion es estructura"/>
        <s v="Daño estructural, techo colapsado"/>
        <s v="Vivienda con graves afectaciones"/>
        <s v="daño estructural, reportan personas atrapadas"/>
        <s v="daño estructural en pisos intermedios"/>
        <s v="Se presentan muchas grietas dentro de los apartamentos y en las escaleras de la torre, nos da miedo volver a subir sin revisión de la estructura"/>
        <s v="edificios colapsados, en la zona"/>
        <s v="daño estructural estructura comerciar"/>
        <s v="daño estructural en edificio de viviendas- apartamentos"/>
        <s v="Afectaciones en la vivienda, grietas, solicita verificación de la vivienda, edificio de 3 pisos"/>
        <s v="Afectaciones en fachada del edificio"/>
        <s v="afectaciones en parte posterior de fachada"/>
        <s v="daño estructural en fachada- sin revisar"/>
        <s v="daño estructural en fachadas y escaleras"/>
        <s v="Agrietamiento en el edificio"/>
        <s v="daño estructural, con inclinacion de estructura"/>
        <s v="Afectaciones en el edificio"/>
        <s v="colapso estructural total en edificio"/>
        <s v="colapso parcial de estructura"/>
        <s v="reporta afectaciones en vivienda"/>
        <s v="agrietamiento en vivienda, afectaciones en estructura"/>
        <s v="caida de edificio"/>
        <s v="Afectaciones en vivienda"/>
        <s v="agrietamientos en estructura"/>
        <s v="colapso de estructura"/>
        <s v="colapso de estructura-viviendas"/>
        <s v="Colaspo de estructura"/>
        <s v="agrietamiento de estructura y eescaleras"/>
        <s v="colapso del techo y pared medianera"/>
        <s v="Agrietamiento en fachada"/>
        <s v="caida de techo y muro"/>
        <s v="colapso parcial de fachada y paredes. con afectacion e techo"/>
        <s v="colapso de techo y pared en estructura de uno mixto"/>
        <s v="grieta en fachada de vivienda"/>
        <s v="agrietamiento en vivienda"/>
        <s v="colapso de paredes de fachada, agrietamiento de estructura"/>
        <s v="agrietamiento en edificio"/>
        <s v="techo colapsado"/>
        <s v="afectaciones en la fachada"/>
        <s v="Daños materiales sin víctimas"/>
        <s v="daño en estructura en varias edificaciones de uso mixto seguidas de 3 pisos"/>
        <s v="afectacion en fachada de edificio"/>
        <s v="daño en estructura de edificio, caida de materia de fachada"/>
        <s v="colapso de edificaciones varias."/>
        <s v="afectacion estructural en edifico con caida de material"/>
        <s v="daño estructural con caida de material"/>
        <s v="edificio colapsado"/>
        <s v="daño en estructura, vigas y columnas afectadas"/>
        <s v="se desplomó techo y fachada"/>
        <s v="colpaso en paredes internas del edificio"/>
        <s v="grietas en pared"/>
        <s v="colapso de paredes, daños estructurales"/>
        <s v="edificio de 4 pisos, fisuras en columnas y desplazamiento de la edificacion"/>
        <s v="edificio de 16 pisos afectaciones internas en muros evacuados el 50% hay personas de movilidad reducida ciegos"/>
        <s v="daño estructural, con caida de material en via publica"/>
        <s v="agrietamiento en estructura, edificio de 5 pisos, sobre todo el pirmer piso"/>
        <s v="colapso de estructura, aplastando carros en parqueadero"/>
        <s v="argietamiento en estructura en tercer piso y terraza, con riesgo de colapso"/>
        <s v="arietamiento en edificio de 10 oisos"/>
        <s v="caida materia en via publica, daños en fachadas en estructuras de uso mixto"/>
        <s v="dañoe en estructura de edificio de viviendas, tanque dañado con riesgo de caer"/>
        <s v="dañoe estructural en edificio de apartamentos"/>
        <s v="5 viviendas colapsadas del grupo satic"/>
        <s v="agrietamiento en estructura de edificio de apartamentos"/>
        <s v="agrietamientos profundos en vivienda, con riesgo de colapso"/>
        <s v="persona atrapada en edificacion"/>
        <s v="edificio de apartamentos con colapso interno"/>
        <s v="agrietamiento estructurral caida parcial de techo en edificacion de 10 pisos de uno mixto"/>
        <s v="afectacion forntal de vivienda por colapso de muros en manposteria, riesgo de colapso"/>
        <s v="afectaciones internas y en escaleras de edificio de aoartamend¿tos de 9 pisos 7 torres afectadas"/>
        <s v="daño estructural en edificacion de apartamentos"/>
        <s v="colapso parcial de techo, daño en estructura en vivienda de 4 pisos"/>
        <s v="daño estructural en columnas y fachada"/>
        <s v="edificacion de uso mixto de 4 pisos con agrietamiento de pardes y fachada"/>
        <s v="edificacion de uso de colegio, agrietamiento en paredes y caida de tejas en techo."/>
        <s v="agrietamiento en vivienda de dos pisos"/>
        <s v="agrietamiento en edifivio de apartamentos"/>
        <s v="agrietamiento en vivienda, con dalo en pared medianera"/>
        <s v="colapso de paredes, con dañoe estructural. reportan femenina muerta en la escena"/>
        <s v="colapso parcial de edificio residencial"/>
        <s v="daño estructural en pisos altos"/>
        <s v="Daño estructural, Cida parcial de techo"/>
        <s v="Daño estructural, colapso de muros"/>
        <s v="Daño estructural, grietas"/>
        <s v="Grietas graves y derrumbe alrededor"/>
        <s v="Daño estructural edificio de 6 pisos con riesgo de colapso"/>
        <s v="evacuacion controlada, requiere verificacion Rector: Patricia Escobar Cel. 3113446002 Paulo Cesar Sabogal Administrador 3103900816"/>
        <s v="3 paredes averiadas con riesgo de colapso"/>
        <s v="Daños grandes en la estructura, torres 3 &amp; 4 ya evacuadas"/>
        <s v="afectacion en cubierta y estructura"/>
        <s v="afectación como caídas de las láminas del cielo raso de la cocina"/>
        <s v="Colapso completo de habitaciones, y posible derrumbe de estructura"/>
        <s v="Daño estructural, en el bloque varios aptos tienes grietas queremos saber si son de riesgo"/>
        <s v="Grieta leve"/>
        <s v="Daño estructural 5 torres de 5 apartamentos"/>
        <s v="Cada apartamento presenta grietas fuertes internas y de fachada, 3 familias viven alli"/>
        <s v="Techo parcialmente caido, muros/paredes agrietados"/>
        <s v="Estado grave, residentes actualmente durmiendo en la calle, son casi 20"/>
        <s v="Grietas considerables en todo el edificio"/>
        <s v="Grieta grande en la parte externa"/>
        <s v="Grietas balcon inclinado hacia delante"/>
        <s v="Grietas en la vivienda"/>
        <s v="Se rompió ubo de agua, paredes agrietadas a punto de caerse y baños dañados"/>
        <s v="grietas en toda la estructura, riesgo de colapso, evacuado, esperando concepto tecnico de riesgo"/>
        <s v="Grietas en el 100% de la estructura"/>
        <s v="Caida de techo y paredes, al borde del colapso total"/>
        <s v="Grave agrietamiento en estructura, riesgo de colapso, evacuado"/>
        <s v="Daño severo de la estructura, alto riesgo de colapso"/>
        <s v="Edificio inclinado con alto riesgo de colapsar sobre Guarderia"/>
        <s v="Daño estructural, colapso parcial paredes de fachada"/>
        <s v="daño estructural grave, vivienda inhabitable"/>
        <s v="Daño estructural, 67 de 72 familias evacuadas"/>
        <s v="Daño estructural grave, edificio evacuado con riesgo de colapso"/>
        <s v="daño estructural en columna de construccion de dos pisos"/>
        <s v="Daño en paredes y la base del edificio"/>
        <s v="4 torres de 20 pisos son 540 apartamentos"/>
        <s v="Cuenta con 3 psos nueve apartamentos con grietas"/>
        <s v="El segundo piso se agrieto"/>
        <s v="Todos los pisos estan afectados con grietas son 2 apartamentos por psios"/>
        <s v="Son varias casas con grietas y afectaciones estructurales"/>
        <s v="Fachada y gradas agrietadas"/>
        <m/>
        <s v="DAÑOS EN PAREDES DE LA SALA EL PATIO COCINA NOS PIDIERON EVACUAR"/>
        <s v="El edificio es 5 pisos con 4 apartamentos - preesenta grietas y problemas en la base del edificio"/>
        <s v="Presenta grietas. rejas movidas y sin poder cerrar."/>
        <s v="El edificio es 5 pisos con 5 apartamentos y 5 oficinas - presenta grietas y problemas en la base del edificio"/>
        <s v="Colapso el techo y un muro&#10;Paredes agrietadas"/>
        <s v="Se le callo el techo y los pisos estan donde unos vecinos"/>
        <s v="edificio de 10 apartamentos. 4 de ellos bien afectados. El primer piso agrietados pero los 3 y 4 están las paredes acabadas se cayó la pared de baños. Azulejos. El sótano está intacto."/>
        <s v="Casa de dos pisos, tiene grietas"/>
        <s v="Daño estructural en vigas y muros"/>
        <s v="Grietas en las peredes y se callo un techo en la parte de atras"/>
        <s v="El edificio tiene grietas, paredes rajadas"/>
        <s v="Grietas en las peredes, daños visibles en estructura"/>
        <s v="Pared de tercer piso colapsada y escaleras dañadas."/>
        <s v="problemas en la estructura del inmueble tenemos paredes con grietas"/>
        <s v="Terraza se cayó muro, 2 centímetros, agrietado terraza, grietas Estructurales en toda la vivienda, vivienda de 2 pisos y terraza"/>
        <s v="daño estructural en torre que tiene unas campanas con más de 100 kilos, con casas al rededor"/>
        <s v="una pared de la casa vecina cayo sobre el techo y este ocaciono el colapso del mismo, aun no se ha caido del todo pero esta apunto de hacerlo"/>
        <s v="las escaleras se ven con mucho daño y mucha grieta"/>
        <s v="Grietas en paredes y muros"/>
        <s v="daño estructural -grietas"/>
        <s v="Vivienda de dos pisos, Se cayó la culata del vecino en el techo del ciudadano, un herido golpe en la cabeza con heridas leves pero atendidos medicamente, un segundo afectado con golpes en el cuerpo pero son lesiones graves"/>
        <s v="daño estructural, con caida de paredes en interiores y zona de parqueaderos"/>
        <s v="Del 3 al 1 hay dilatacion de las columnas a las paredes con grietas, el 4 piso se callo la fachada quedo colgando con peligro inminente "/>
        <s v="Viga doblada, grieta leve, viga en segundo piso fracturada, marcos de puerta en cuarto piso dañados.&#10;Actualmente estna viviendo ahí, hay menores de edad."/>
        <s v="Daños graves en fachada"/>
        <s v="presenta unas grietas muy fuertes y columnas averiadas"/>
        <s v="están destruidos y afectados 6 de 8 aptos"/>
        <s v="Grietas leves "/>
        <s v="daño estructural, con caida parcial de techo y de pared"/>
        <s v="dañoe estructural, caida de pared en techo de vivienda"/>
        <s v="afectaciones en vigas y columnas en la parte interna"/>
        <s v="daño estructural por desprendimiento parcial de muros"/>
        <s v="Luz Elena Quintana Duque&#10;Celular 3216914175&#10;Vereda las pilas del cabuyal casa 15 b&#10;Urgente Visita"/>
        <s v="colapso del techo"/>
        <s v="Grietas en paredes"/>
        <s v="Calle 4ta # 58-70 cuarto de legua edificio Mariana lloreda de 7 pisos requiere valoración contacto: 3113330588- 3155202535 Jairo Otero"/>
        <s v="daño estructural en paredes, vigas y techo"/>
        <s v="Grietas, escaleras deterioradas, grietas en fachas, internanmente puertas y ventanas colapsadas."/>
      </sharedItems>
    </cacheField>
    <cacheField name="Normalizacion" numFmtId="0">
      <sharedItems containsBlank="1">
        <s v="Colapso Estructural"/>
        <s v="-"/>
        <s v="Afectación estructural"/>
        <s v="Alto Riesgo de Colapso"/>
        <s v="Levantamiento de cuerpo"/>
        <s v="Arboles caidos"/>
        <s v="Colapso Parcial"/>
        <m/>
        <s v="Afectacion estructural."/>
        <s v="afectacion estructural"/>
        <s v="afetacion estructural"/>
        <s v="afectacion estructural en riesgo"/>
        <s v="Afectación estructural "/>
        <s v="afectacion estructural "/>
      </sharedItems>
    </cacheField>
    <cacheField name="Personas Evacuadas">
      <sharedItems containsBlank="1" containsMixedTypes="1" containsNumber="1" containsInteger="1">
        <m/>
        <s v="-"/>
        <s v="SI"/>
        <n v="0.0"/>
        <s v="NO"/>
      </sharedItems>
    </cacheField>
    <cacheField name="Seres sintientes">
      <sharedItems containsBlank="1" containsMixedTypes="1" containsNumber="1" containsInteger="1">
        <m/>
        <s v="-"/>
        <n v="0.0"/>
      </sharedItems>
    </cacheField>
    <cacheField name="Atencion de la respuesta" numFmtId="0">
      <sharedItems containsBlank="1">
        <s v="BROS - DCC"/>
        <s v="PROFESIONAL VOLUNTARIO"/>
        <s v="-"/>
        <s v="BROS"/>
        <s v="DCC - BROS"/>
        <s v="RIESGOS - BROS"/>
        <s v="RIESGOS"/>
        <s v="CRC"/>
        <m/>
        <s v="BROS - RIESGOS"/>
        <s v="Bomberos - Cruz Ruja"/>
        <s v="DCC - BROS - MOVIIDAD - POLICIA"/>
        <s v="GAS - &#10;DCC - BROS &#10;PROFESIONAL VOLUNTARIO"/>
        <s v="BROS -&#10; CRC"/>
        <s v="RIESGOS / PROFESIONAL VOLUNTARIO"/>
        <s v="BROS PALMIRA"/>
        <s v="BRS &#10;- CRC"/>
        <s v="DCC"/>
        <s v="SCOUT"/>
        <s v="PAZ Y CULTURA"/>
        <s v="EDRU"/>
        <s v="BROS - CR - DCC"/>
        <s v="DAGMA"/>
        <s v="BROS POPAYAN / PROFESIONAL VOLUNTARIO"/>
        <s v="RIESGOS , PROFESIONAL VOLUNTARIO"/>
        <s v="DCC - BROS / PROFESIONAL VOLUNTARIO"/>
        <s v="BROS / PROFESIONAL VOLUNTARIO"/>
        <s v="BROS, RIESGOS, PROFESIONAL VOLUNTARIO"/>
        <s v="ICBF /PROFESIONAL VOLUNTARIO"/>
        <s v="DCC / PROFESIONAL VOLUNTARIO"/>
      </sharedItems>
    </cacheField>
    <cacheField name="Colapso Total">
      <sharedItems containsBlank="1" containsMixedTypes="1" containsNumber="1" containsInteger="1">
        <n v="1.0"/>
        <s v="-"/>
        <m/>
      </sharedItems>
    </cacheField>
    <cacheField name="Colapso Parcial">
      <sharedItems containsBlank="1" containsMixedTypes="1" containsNumber="1" containsInteger="1">
        <m/>
        <s v="-"/>
        <n v="1.0"/>
      </sharedItems>
    </cacheField>
    <cacheField name="Daños">
      <sharedItems containsBlank="1" containsMixedTypes="1" containsNumber="1" containsInteger="1">
        <m/>
        <s v="-"/>
        <n v="1.0"/>
      </sharedItems>
    </cacheField>
    <cacheField name="Atrapamientos">
      <sharedItems containsBlank="1" containsMixedTypes="1" containsNumber="1" containsInteger="1">
        <s v="SI"/>
        <s v="NO"/>
        <s v="-"/>
        <n v="2.0"/>
        <n v="5.0"/>
        <n v="20.0"/>
        <n v="12.0"/>
        <s v="Validar"/>
        <m/>
        <s v="29 (niños)"/>
        <n v="11.0"/>
        <n v="0.0"/>
        <n v="3.0"/>
        <n v="1.0"/>
        <s v="SI (60)"/>
        <n v="50.0"/>
        <n v="18.0"/>
        <n v="4.0"/>
        <n v="13.0"/>
      </sharedItems>
    </cacheField>
    <cacheField name="Rescatados">
      <sharedItems containsBlank="1" containsMixedTypes="1" containsNumber="1" containsInteger="1">
        <n v="7.0"/>
        <m/>
        <s v="-"/>
        <n v="10.0"/>
        <n v="5.0"/>
        <n v="6.0"/>
        <n v="3.0"/>
        <n v="4.0"/>
        <n v="8.0"/>
        <n v="0.0"/>
        <n v="2.0"/>
      </sharedItems>
    </cacheField>
    <cacheField name="Fallecidos">
      <sharedItems containsBlank="1" containsMixedTypes="1" containsNumber="1" containsInteger="1">
        <n v="3.0"/>
        <m/>
        <s v="-"/>
        <n v="7.0"/>
        <n v="1.0"/>
        <n v="2.0"/>
        <n v="0.0"/>
        <n v="6.0"/>
        <n v="4.0"/>
        <s v="SI"/>
        <s v="No"/>
      </sharedItems>
    </cacheField>
    <cacheField name="Hospital/Clinica">
      <sharedItems containsBlank="1" containsMixedTypes="1" containsNumber="1" containsInteger="1">
        <m/>
        <s v="-"/>
        <n v="1.0"/>
        <n v="0.0"/>
      </sharedItems>
    </cacheField>
    <cacheField name="NOMBRE DELEGADO">
      <sharedItems containsBlank="1" containsMixedTypes="1" containsNumber="1" containsInteger="1">
        <s v="DANIELA GONZALEZ/MAFE"/>
        <m/>
        <s v="-"/>
        <s v="Juan Manuel Montaño y Jose Luis Cobo"/>
        <s v="Gebel Taba"/>
        <s v="Giovanny Ordoñez y Felipe Galves"/>
        <s v="Miguel Medina"/>
        <s v="YESICA JORDAN"/>
        <s v="Alejandro Barrera&#10;Daiha Navarro"/>
        <s v="NATHALIE GARCIA - EVELIN COLLAZOS - ERON CISNEROS - MARIA ISABEL"/>
        <s v="DANIELA CARDONA"/>
        <s v="CAMILA LOZANO&#10;MIGUEL LOPEZ"/>
        <s v="Juan David Lopez"/>
        <s v="Nicolás Alarcón Brochero"/>
        <s v="JOSE APOLINAR"/>
        <s v="Sebastian Penagos y David Arboleda"/>
        <s v="Sergio Arias"/>
        <s v="JUAN HERNANDEZ"/>
        <n v="1.0"/>
        <s v="Carlos Rua"/>
        <s v="Juan Jose Mendez Scout - natalia Diaz"/>
        <s v="Felipe Ortiz Rubiano"/>
        <s v="Wilmar Valencia - Nicolas Quintero"/>
        <s v="Francisco Qesada y patricia de la pava"/>
        <s v="Diana Gomez y Angel Rodriguez"/>
        <s v="Nicolas Mejia"/>
        <s v="Luis Ramírez"/>
        <s v="Juan Hernández y Héctor Rivas"/>
        <s v="Sebastian Vleasco y Jefry lemos"/>
        <s v="Carolina Soto - Juan Cralos"/>
        <s v="Andres Prado - Unidad de busqueda"/>
        <s v="Carlos Rua / Felipe Ortiz Rubiano"/>
        <s v="Rodrigo Valencia - voluntario"/>
        <s v="Maribel Cortes"/>
        <s v="NATALIA"/>
        <s v="Atiende Juan Hernández y Héctor Rivas"/>
        <s v="Nathalie García"/>
        <s v="Arquitecto Daniel Andrés Ruiz Ferro"/>
        <s v="Natalia Diaz, Juan Ballesteros y Juan Mendez"/>
        <s v="Margarita Ocho y Nicolas Guzman"/>
        <s v="Edwin Henao"/>
        <s v="Doris y Orlando"/>
        <s v="JHON MOLANO"/>
        <s v="Juan Carlos Florez / Mauricio lopez - Atiende virtual"/>
        <s v="Franco -300 6408781"/>
        <s v="JUAN CARLOS FLOREZ"/>
        <s v="ESTEAFIA / ANGELICA CAICEDO"/>
        <s v="Alejandro Barrera -Dahian Navarro"/>
        <s v="Juan David Hernandez"/>
        <s v="TEO"/>
        <s v="Francisco Quesada"/>
        <s v="Natalia Torres - Riesgos"/>
        <s v="Alejandra Rodriguez-3182817107"/>
        <s v="Carmen Dominguez y Juan David"/>
        <s v="Cesar Ibañez"/>
        <s v=""/>
        <s v="Vivienda"/>
        <s v="Jolio Cesar Upegui-3146170049"/>
        <s v="Javier Molina 3104580674"/>
        <s v="Natalia Sarasty Calderón - Móvil : 3137502880"/>
        <s v="Lus Marina Santa 3117454538"/>
        <s v="Erum Rescate Colombia"/>
        <s v="Maribel Cortés Carvajal"/>
      </sharedItems>
    </cacheField>
    <cacheField name="Observación Gestión del Riesgo">
      <sharedItems containsBlank="1" containsMixedTypes="1" containsNumber="1" containsInteger="1">
        <s v="En atención se requiere busqueda tecnica. (Bros).. Se asistio con 5 Recursos (máquinas y vehículo de comando), en horas de la noche nos retiramos. El área queda LIMPIA"/>
        <s v="(Bros)...ver punto Nro 20"/>
        <s v="-"/>
        <s v="Reporte enseguida del D1, no hay personal de bomberos, no hay energía, se necesitan linternas y guantes. (Bros)... Nos encontramos trabajando con varios recursos (aproximadamente 10 vehículos, Bomberos Yumbo) siendo las 23: 20 horas se continua las labore"/>
        <s v="En atención, salimos la estación alameda en la máquina B2 a la Carrera 61 # 3-167 cuarto de Legua"/>
        <s v="Edificio averiado, se rescata una feminina del sexto piso, lugar acordonado y se da indicacaciones de no habilitar el lugar. (Bros)... = igual información"/>
        <s v="Se requiere personal personas atrapadas. (Bros)... Se asitio con dos recursos. ZONA LIMPIA"/>
        <s v="Riesgos - Vivienda de dos niveles afectada en fachada. Fractura en paredes de habitación de la parte frontal. Maria Eugenia Ospina.,"/>
        <s v="Familia de 5 personas atrapada - no hay equipos de rescate. (Bros)... Ver punto Nro 6"/>
        <s v="Se cayo el hotel la luna, no hay personas atrapadas. (Bros)... No hubo intervención por parte de Bomberos"/>
        <s v="Se requiere validar, no hubo atención de bomberos. Fuga de gas y maquinaria para buscar 3 víctimas con movilidad reducida&#10;Calle 5ta 42 esquina 3235906044 Oscar Aristizábal"/>
        <s v="En atención - Priorizado USAR Nacional, Se recomendó evacuación"/>
        <s v="Se encuentan en labores de rescate, se requiere apoyo de Seguridad y Justicia; policia con el fin de controlar la aglomeración de personas."/>
        <s v="1. descripcion de la afectación: Edifico de 5 pisos más azotea colapso,&#10;2. se tienen sobrevivientes ya se sacó 1, se necesita urgente personal para ayudar a sacar parece que hay más sobrevivientes,&#10;3. Tienen 2 máquinas de bomberos,&#10;4. Nos indica que ya cr"/>
        <s v="Atendido - Sin atrapamientos"/>
        <s v="Colapso de paredes dos personas sanas, paredes fracturados."/>
        <s v="10 edificios afectados. (Bros)... Se asistio con dos recursos. ZONA LIMPIA"/>
        <s v="En atención. (Bros)...Se asitio con dos recursos. ZONA LIMPIA"/>
        <s v="Atendido, sin personas atrapadas"/>
        <s v="Se requiere validar"/>
        <s v="PUNTO CRITICO En atención - asistio ICBF Equipo psicosicial y unidades moviles. (Bros)...siendo las 01:00 horas del día 11 de agosto continuamos con las labores"/>
        <s v="PUNTO CRITICO En atención - COL 19, se encuentra BOMBEROS BOGOTÁ. (Bros)...ver punto Nro 20"/>
        <s v="En validación"/>
        <m/>
        <s v="En atención"/>
        <s v="Pendiente reporte fallecido"/>
        <s v="Evacuación completa, en alto riesgo de colapso&#10;Se recmendó evacuación"/>
        <s v="Se requiere evacuacion 910 verde"/>
        <s v="Colapsado completo, en revisión si hay personas atrapadas."/>
        <s v="(Bros)... Se asitio al sitio. ZONA LIMPIA"/>
        <s v="se puede operar sin problema (helena)"/>
        <s v="Riesgos - Se evidencian daños en fachadas de mampostería y elementos estructurales comprometidos, grietas que superan 5 mm horizontales verticales y diagonales."/>
        <s v="Toda la Torre 85 presenta grietas externas e internas, los 20 Apartamento NO están APTOS PARA HABITAR, PUEDE PRESENTARSE UN COLAPSO, los pisos 1 y últimos se encuentran totalmente o 100% destrozados. Por instrucciones de la Señora Andrea de la Alcaldia, s"/>
        <s v="Estructura está sin afectación, elementos de mampostería divisorios y de fachada totalmente afectados, muros de fachada caídos, se declara inhabitable por riesgo de colapso de muros de mampostería y elementos de fachada"/>
        <s v="En atención - Reporte de personas atratapadas, 1 canino fallecido - Bomberos Cali"/>
        <s v="Riesgos - Se requiere EDAN, grietas en paredes estructurales, No hay personas afectadas."/>
        <s v="60 apartamentos afectados"/>
        <s v="Juan Pablo Dominguez 3053365053 / Fachada muy agrietada y ladrillos cayendose"/>
        <s v="Pendiente validar Riesgos"/>
        <s v="Edificio de 5 pisos en alto riesgo de colapso, pésimo estado. (Bros)...Se despacha recurso a verificar. solo daños de fachadas. ZONA LIMPIA"/>
        <s v="Caidas de fachadas sin victimas"/>
        <s v="En atención - dos edificios se cayeron de la unidad que es de 4"/>
        <s v="Reporte: &#10;11 de agosto - 9:11pm&#10;&#10;- Héctor Asdrúbal: se reporta q a las 6pm de hoy envió un msj a un familiar de q está bajo los escombros.&#10;&#10;- se estiman q hay 8 personas aún bajo los escombros. No se sabe si vivas.&#10;&#10;Se necesita URGENTE : &#10;&#10;Al menos 2 sier"/>
        <s v="Reporte de personas atratapadas, pendiente validar"/>
        <s v="Carros evacuados en la calle"/>
        <s v="Edificio de 4 pisos con colapso total 10 apartamentos"/>
        <s v="Edificio con columnas afectadas en el interior - desplazamineto de paredes de 5 cm . techo del 4 piso colaspso por caida de pared del edificio elder calle 1f #56-206 viven 6 familias solo se queda 1 alli"/>
        <s v="Edificio evacuado, se encuentra en alto riesgo de colapso."/>
        <s v="Se reporta a fiscalia"/>
        <s v="Secretaria de salud para certificado de defuncion"/>
        <s v="Evacuado por residentes"/>
        <s v="Verificar si hay personas atrapadas"/>
        <s v="Colapso de infraestructura"/>
        <s v="Persona fallecida por caída de escombros, Pendiente del retiro del cuerpo"/>
        <s v="Al lado de menga Fitenes Club"/>
        <s v="Riesgos - Grietas en paredes. 3 personas habitan la casa, no hay heridos, no se hace necesario evacuación."/>
        <s v="Voluntario cruz roja validar escaleras"/>
        <s v="En el hogar geriátrico San Fernando, Carrera 36b #5b-3-46, falleció el adulto mayor Germán Sarria Arboleda a causa de caída de escombros. Al momento afectaciones generales graves. Contacto 3174696803 Julian Ramírez"/>
        <s v="Riesgos - Grietas verticales y horizontales en muros, columnas y no presentan grietas ni fisuras. Muros de fachada afectada. El edifico presenta ríostras de reforzamiento estructural. 3. ⁠91 apartamentos evacuados totalmente 4. Sin heridos 5. ⁠coordenadas"/>
        <s v="Reporte Ciudadano - se desconoce el número de personas atrapadas, se requiere apoyo de bomberos. (Bros)... Se acudio al sitio y se brindaron recomendaciones de evacuación. ZONA LIMPIA"/>
        <s v="Riesgo - Colapso de estructuras sobre los sótanos, grietas en el interior de los apartamentos, NO SE OBSERVAN HABITANTES."/>
        <s v="Para validar riesgos"/>
        <s v="Ciudadano reporta fallecimiento, no requiere visita"/>
        <s v="Se envia a ingeniero mecanico esperto en estructuras manifiesta que las paredes de las casa se cayeron"/>
        <s v="Hay equipos de bomberos, cruz roja y defensa civil . Se recibe informacion de dron con camara termica que presenta dos personas vivass se coordina con bomberos pasto para acudir al punto 3:05am"/>
        <s v="Visitado - Edificio con grietas leves en su exterior, no se evidencia daño estructural grave en su interior. Sin lesionados. Técnico: Isabella Rodríguez"/>
        <s v="Reporte ciudadano, requiere visita por afectación estructural"/>
        <s v="Se requiere maquina de alturas. (Bros)... Bomberos acudio a las siguientes direcciones de este sector: Calle 5B1 27-17, Calle 5B2 # 31-98 y Carrera 29 # 5A-90. ZONA LIMPIA"/>
        <s v="Ciudadana pide ayuda por redes, se encuenta atrapada en edificio."/>
        <s v="Riesgos - Se evidencia desprendimiento de elementos no estructurales, mampostería, no se evidencia desde la parte externa elementos con fisuras o agrietamiento, edificio con apartaestudios y locales comerciales inferiores totalmente evacuado, no hay fluid"/>
        <s v="Riesgos - Tiene daños estructurales. Paredes caídas, rajaduras, sedimentos. Ya cerraron la llave de paso pero hay goteos de agua dentro de la estructura. Ya está evacuado."/>
        <s v="Riesgos: grietas diagonales en muros de fachada, escaleras e internos con caída de muros internos. 40 apartamentos evacuados los cuales se les recomendó no habitar hasta que se realice un estudio de vulnerabilidad. no heridos. Coordenadas:3.3966,-76.5371"/>
        <s v="Bomberos, reporta que estuvo en el lugar, no se evidencia atrapamientos."/>
        <s v="Riesgos - Se requiere EDAN, Edificio de 4 niveles. Afectación en 4 nivel con fracturas en varios espacios. Evacuado todo el 4 nivel. Residen familias en el segundo nivel. Consuelo Ospina"/>
        <s v="Reportan fuerte olor a gasolina posible daño en estructura de almacenamiento"/>
        <s v="Riesgos -Afectación estructural en muros de fachada. 4 niveles. Personas aun habitando los apartamentos."/>
        <s v="Pendiente reporte, colapso total de vivienda"/>
        <s v="Riesgos - Clínica Tequendama con daño en estructura. Evacuaron, sin heridos."/>
        <s v="Reporte ciudadano - Luz jenny grijalba"/>
        <s v="Reporte ciudadano- andres cardenas 3187236597, Casa antigua punto de colapso"/>
        <s v="Reporte ciudadano - Michel Guzmán Gallego"/>
        <s v="Reporte ciudadano - Licenia Pinilla 3157276874"/>
        <s v="Dos torres afectadas y las escaleras"/>
        <s v="Enviar ingeniero"/>
        <s v="Tienen dos menores de edad y un adulto en cama"/>
        <s v="Señora 3104097194 - Ana Ilia Burbana"/>
        <s v="Alejandra Dorado ciudadana - 3015099395"/>
        <s v="Angelica tenorio 3023750456"/>
        <s v="Edificio de 5 pisos con 27 apartamentos problemas estructurales anoche evacuaron llamo William Tolosa"/>
        <s v="William Terán Gómez - 3166942215"/>
        <s v="Dos torres afectadas catalina cardona 3152744787"/>
        <s v="Casa de ds pisos jesenia mosquera 3147219724"/>
        <s v="Edficio en farol afectado caludia capote .- 3045761399"/>
        <s v="318 4524992"/>
        <s v="Yenni caicedo 3215362845 -"/>
        <s v="Luis Alfonso Fajardo 3113839448"/>
        <s v="Soledad cartagena perez - 3155282579"/>
        <s v="Auranely Robledo - 3175516489"/>
        <s v="Afectacion de vivienda adulta mayor sola - Dario alexander Ojeda segundo piso"/>
        <s v="Riesgos - Unidad totalmente evacuada, presencia de agrietamiento en elementos estructurales, concepto no habitable."/>
        <s v="Se validó, no hay personas afectadas, reporte recibido por movilidad."/>
        <s v="Evacuaron por temor de colapso 50 aparta - felipe corrales 3185245437"/>
        <s v="Hay varios apartamentos dagnificados - Patricia Cardona - 3128345988 llamar antes de ir"/>
        <s v="Las casas estan separadas habitan niños, adolescentes y papas"/>
        <s v="Willian Alonso Noriega - 3168337750"/>
        <s v="Claudia Fajardo - 3186594757"/>
        <s v="Son 7 torres de 2 aptos x piso 5 pisos.- Lina herrera cel 3154618360"/>
        <s v="Reporte de alto Meléndez:&#10;Conjunto Reserva de Meléndez 1 Cra 94 B No 2 - 46&#10;Conjunto de 10 Torres, cada una de 5 pisos, 4 aptos por piso&#10;Viven al rededor de 1000 personas El edificio presenta graves afectaciones en la estructura y total destrucción en la "/>
        <s v="Vivienda de 5 pisos Harrison 3166048038"/>
        <s v="Julián Arias - 313 7355627"/>
        <s v="Marivel cortes"/>
        <s v="Son 12 apartamentos afectados revision para ingreso - Alba Lida Mena 3113088430"/>
        <s v="Se verifica no hay personas atrapadas, verifica SUB MOVILIDAD. (Bros)... Se asistio con máquina al sitio. ZONA LIMPIA"/>
        <s v="En atención. (Bros)...Varios recursos en escena, siendo las 00:30 horas del día 11 agosto continuamos con las labores"/>
        <s v="Sonia Gomez 316 5348368, afectacion en paredes y columnas de la edificacion"/>
        <s v="Reportan que esta bomberos 3 niños y 2 adultos atrapados (Amparo Jaramillo, Violeta Guerrero)"/>
        <s v="Lina Duran 3207044151"/>
        <s v="Atendido - Se requiere apoyo - colaspso total de la estructura - se requiere maquinaria amarrilla. (Bros)...acudimos en horas AM/ PM pero no nos reportaron lesionados ni fallecidos. ZONA LIMPIA"/>
        <s v="Henry Macias 3113280146 / Francy Mendoza 3183947758"/>
        <s v="Henry Macias 3113280146"/>
        <s v="Se requiere apoyo&#10;Edificio de 7 niveles, solo daños estructurales en apilamiento, según información externa todo el personal salio del edificio..(Bros)... Se asistio con máquina. ZONA LIMPIA"/>
        <s v="En atencion"/>
        <s v="Edilma Buritica 3163270340 Tiene un hogar sustituto bajo, 1 niño con discapacidad"/>
        <s v="Reporte de personas atratapadas, pendiente validar.(Bros)... Se asistio con máquina. ZONA LIMPIA"/>
        <s v="Adrian Gutierrez 3057413445"/>
        <s v="Claudia Marcela restrepo 3104306685"/>
        <s v="Martha Cala 3103169218"/>
        <s v="Reporta Rodrigo Lozano 3122599810 - favor llamar"/>
        <s v="Hernando Rodriguez 3113118129"/>
        <s v="Presenta daño estructural"/>
        <s v="Jose David Santander 3104146841"/>
        <s v="Se comunican de gobierno"/>
        <s v="Isabel Cristina Barandico 3155255570 / Se cayo pared y hay panel abierto / bienestar, bienes"/>
        <s v="Leandro Chavez 3148402005 / y el de al lado"/>
        <s v="isabela perez 3158927892 agrietamiento de paredes y escaleras."/>
        <s v="Se cayo una parte de la plancha Arelis Jimena 317344778"/>
        <s v="Jose Sandoval 3160503159 / 2 paredes que se van a caer"/>
        <s v="Mauricio Gutierrez 3174381462"/>
        <s v="Ana 315 7529356"/>
        <s v="En atención. (Bros)... Ver punto Nro 6 Informan para rescatar - Alli hay una pajarita - un bocat - una plata electrica - iluminaria - falta EPP - Esta bomberos y ambulancia. (Bros)... Ver punto Nro 6"/>
        <s v="Carolina Regino 3157649924"/>
        <s v="Alejandra Rodríguez 3182817107"/>
        <s v="Blanca Martinez 3178048953 / ya evacuo, panaderia abajo esta funcionando"/>
        <s v="Pendiente en validar. (Bros)... Siendo las 01:15 del día 11 agosto continuamos con labores. Persona fallecida y un herido por caída de escombros.&#10;&#10;Atendio un niño remitido a sura"/>
        <s v="Juan Pablo Garcia 3182721096"/>
        <s v="Ramiro jaramillo - 30078086996"/>
        <s v="Las torres con mayor afectacion son la torres e y h - Lina Ibargue evacuado"/>
        <s v="Jorge Moreno 3016131430 / 10 torres todas afectadas, mas en torre 3"/>
        <s v="Una persona desaparecida"/>
        <s v="Claudia Salgado 3137321945 / 6o piso, muchas grietas"/>
        <s v="Adriana Arreaza/ Anna Pulido - Números de contacto: 3173104351/3107489162"/>
        <s v="Maria Claudia Ossa 3163019780 / Cayo pared de alcoba principal, bloques desocupados, los dos afectados"/>
        <s v="solicitamos que puedan ir a verificar y si es posible cerrar la zona y revomenardarle a los vecinos - Yasmin Muñoz 3104061886"/>
        <s v="Marcela Salamanca 3156974181 / estructura muy afectada"/>
        <s v="Mi nombre Patricia Tovar, 3105180364"/>
        <s v="Karen Lara 3165337543 / Solicita visita de equipo tecnico para revisar, paredes derribadas, daño total del techo"/>
        <s v="Alejandra Sandobal 3176533329 solicita inspeccion ya que hay afectacin importante en el edificio"/>
        <s v="Lucy Patricia Garcia - 3012217836 vivienda colapsada - ENTREGAR AYUDA HUMANITARIA"/>
        <s v="No dio # telefonico, daños estructurales y escaleras"/>
        <s v="SE REQUIERE ATENCIÓN DE INGENIERO Se validó con el portero del edificio e informa que no hay personas atrapadas. Apoyo Piscosocial."/>
        <s v="edgar gomez tel: 3177726302"/>
        <s v="Nathalia Vasquez 3182267843 / Daños estructurales graves, partes al borde del colapso, no hay heridos pero residentes siguen ingresando a la propiedad}"/>
        <s v="Andres 3508472641 / techo parcialmente colapsado"/>
        <s v="Nelson Valencia Carmona 3154019510 / muchos daños, pide un tecnico para presentar dictamen"/>
        <s v="Paredes agrietadas y pisos reventados - Humberto Orozco Labrada - 3104125003"/>
        <s v="Nathalia Henao 3176738223 / Se notan grietas en las fotos enviadas"/>
        <s v="Beatriz Lopez"/>
        <s v="3173710294 / templo esta muy afectado"/>
        <s v="Gloria Eugenia Vergara 312 225 1228"/>
        <s v="Daños en techo no habitable segun lo visto Felipe Pinzón 3128310232"/>
        <s v="Patricia Agredo 314 885 7669"/>
        <s v="Eliana Hoyos Madrina 3183062748 / Muro colapsado"/>
        <s v="Cleiser Delgado Vargas - 300 8293094"/>
        <s v="Juan Lombana 316 091 3796"/>
        <s v="Se debe llamar al número pertinente para guiar a las personas que van a asistir a la verificación - 3148939502"/>
        <s v="Apartamentos q presenta grietas"/>
        <s v="Jairo angel"/>
        <s v="310 2220926"/>
        <s v="Santes Administrativa 318 7120850 /Fisuras en fachadas, fracturas y desprendimientos en muros, fracturas diagonales. Apertura de muros, especialmente en zonas de baños y cocinas."/>
        <s v="Reporte ciudadano - Yised Betancourth-3168378339, Colapso estructural"/>
        <s v="Reporte ciudadano - 3122486627, daño estructural, colapso de techo"/>
        <s v="Reporte ciudadano - Carlos nieto 3154331875, caida de techo en empresa- ttabajadores evacuados"/>
        <s v="Reporte ciudadano - sergio-+34646932495, Daño estructural"/>
        <s v="Reporte ciudadano - javier plaza- 3108945471, Colapso estructural"/>
        <s v="Reporte ciudadano - Daño estructural"/>
        <s v="Reporte ciudadano - Alejandra roa-3113659740, Colapso estructural"/>
        <s v="Reporte ciudadano - carlos zuluaga-3104933501, Daño estructural"/>
        <s v="Reporte ciudadano - Alexandra Holguin-3007652114, daño estructural"/>
        <s v="Reporte ciudadano - diana riascos-3007566653, colapso estructural"/>
        <s v="Reporte ciudadano - uthey vargas-3160960202, colapso estructural"/>
        <s v="Reporte ciudadano - 3104562059, daño estructural"/>
        <s v="Reporte ciudadano - Valerin- 3024909295, colapso estructural"/>
        <s v="Reporte ciudadano - Samuel Serrano-3187177410, daño estructural"/>
        <s v="Reporte ciudadano - daño estructural-colapso de pared"/>
        <s v="Reporte ciudadano - Erika Reyes-3042640144, daño estructural"/>
        <s v="Reporte ciudadano - 3104008932, daño estructural"/>
        <s v="Reporte ciudadano - 3002652818, daño estructural"/>
        <s v="Reporte ciudadano - malcom-3173682705, daño estructural"/>
        <s v="Reporte ciudadano - adriana marin- 3126446068, daño estructural cida parcial de muros"/>
        <s v="Reporte ciudadano - jenny marquez-3183239935, daño estructural"/>
        <s v="Reporte ciudadano - jose betancourt 3115635804, daño estructural"/>
        <s v="Reporte ciudadano - 3133279790, daño estructural"/>
        <s v="Reporte ciudadano - 3177882393, daño estructural, colapso en techo"/>
        <s v="Reporte ciudadano - Jorge manosalva-3194126981, daño estructural"/>
        <s v="Reporte ciudadano - 3148589147, daño estructural"/>
        <s v="Reporte ciudadano - pedro-3168215630, daño estructural"/>
        <s v="Reporte ciudadano - daniela cabrera-3176462949, daño estructural en fachada"/>
        <s v="Reporte ciudadano - padre edgar-3184935031, daño estructural"/>
        <s v="Reporte ciudadano - julian uribe-3114862810, daño estructural y colapso en techo de local comercial"/>
        <s v="Reporte ciudadano - Jakeline- 3116700448, daño estructural"/>
        <s v="Reporte ciudadano - 3128286550, colapso estructural de pared sobre techo"/>
        <s v="Reporte ciudadano - abelardo castillo-3183496898, daño estructural"/>
        <s v="Reporte ciudadano - juan naranjo-3150539019, daño estructural"/>
        <s v="Reporte ciudadano - 3174378987, daño estructural"/>
        <s v="Reporte ciudadano - gerardo moreno 3174378987, daño estructural"/>
        <s v="Reporte ciudadano - daño estructural, caida de paredes"/>
        <s v="Reporte ciudadano - yned rengifo-3115714441, daño estructural"/>
        <s v="Reporte ciudadano - diana 3166178349, daño estructural"/>
        <s v="Reporte ciudadano - julian angulo-3117601563, daño estructural"/>
        <s v="Reporte ciudadano - 3117529629, colapso de vivienda- persona lesionada"/>
        <s v="Reporte ciudadano - 3138095974, daño estructural"/>
        <s v="Reporte ciudadano - leidy duarte 3166287709, daño estructural, caida parcial de techo"/>
        <s v="Reporte ciudadano - diana-3165393064, daño estructural, caida parcial pared de fachada"/>
        <s v="Reporte ciudadano - camilo sanchez, daño estructural"/>
        <s v="Reporte ciudadano - carlos castro-3128336580, daño estructural"/>
        <s v="Reporte ciudadano - 3237536719, daño estructural"/>
        <s v="Reporte ciudadano - lida gutierrez-3186290982, daño estructural"/>
        <s v="Reporte ciudadano - sergio zapata-3163326023, daño estructural, caida parcial de techo"/>
        <s v="Reporte ciudadano - luisa torres-3505119402, daño estructural"/>
        <s v="Reporte ciudadano - nestor nieva-3225543597, daño estructural"/>
        <s v="Reporte ciudadano - 34643668474, daño estructural-edif contiguo tambien con daño estructural"/>
        <s v="Reporte ciudadano - lizeth carrillo-3132733537, daño estructural"/>
        <s v="Reporte ciudadano - mara gonzalez-3153507602, daño estructural"/>
        <s v="Reporte ciudadano - maria puccini-3127771269, daño estructural. colapso parcial de techo"/>
        <s v="Reporte ciudadano - luis Cardona-3116342521, daño estructural"/>
        <s v="Reporte ciudadano - constanza montoya-3041057452, daño estructural, cida de techo parcial en ultimo piso"/>
        <s v="Reporte ciudadano - pastor duque-3045572044, colapso parcial de pared hacia via publica"/>
        <s v="Reporte ciudadano - diana ramos-3213505584, daño estructural"/>
        <s v="Reporte ciudadano - juliana cruz-3182589866, colapso estructural"/>
        <s v="Reporte ciudadano - colapso parcial en paredes"/>
        <s v="Reporte ciudadano - andrea osorio, colapso en pared trasera"/>
        <s v="Reporte ciudadano - yesenia gomez-3239471332, daño estructural"/>
        <s v="Reporte ciudadano - geraldin ruiz-3156742447, daño estructural"/>
        <s v="Reporte ciudadano - claudia rivas-3148474505, daño estructural, colapso parcial en paredes"/>
        <s v="Reporte ciudadano - adriana libreros-3013327670, daño estructural"/>
        <s v="Reporte ciudadano - patricia-3208347507, daño estructural. parcial de muro"/>
        <s v="Reporte ciudadano - Marcela Cifuentes 317 3801146, daño estructural"/>
        <s v="Reporte ciudadano - Brittany Valencia Medina&#10; Tel 3225187275, daño estructural"/>
        <s v="Reporte ciudadano - Yesenia Maquilon 310 350 1227, daño estructural"/>
        <s v="Reporte ciudadano - Luz nidia Lopez 3172526598, daño estructural"/>
        <s v="Reporte ciudadano - fabian, daño estructural"/>
        <s v="Reporte ciudadano - Alba Gloria Jordan 3177287044, daño estructural"/>
        <s v="Reporte ciudadano - 3145392021, daño estructural"/>
        <s v="Reporte ciudadano - Edwar lozada 316 6493175, daño estrucutural colap de muros"/>
        <s v="Reporte ciudadano - jhonny cardenas 3153157706, colapso estructural de pared sobre techo"/>
        <s v="Reporte ciudadano - 316 2827975, daño estrucutural"/>
        <s v="Reporte ciudadano - Walid Bultaif Yamal 3137439266, daño estrucutural"/>
        <s v="Reporte ciudadano - Martha oliveros Ospina cc 29287534 Celular 3007898398, daño estructural"/>
        <s v="Reporte ciudadano - dora milena lozano 3152347410, daño estructural"/>
        <s v="Reporte ciudadano - Oscar López L. CC 16693340 - 3208697515, daño estructural"/>
        <s v="Reporte ciudadano - Paola Diaz 3186047423, daño estructural"/>
        <s v="Reporte ciudadano - michael lynch 310 3749315, daño estructural"/>
        <s v="Reporte ciudadano - Diego Andrade 3146158809, daño en vivienda por colapso de estructura"/>
        <s v="Germán Ñustes - Cel. 3187120850 - 3176738230 / Fisuras en fachadas y en losas de pisos, especialmente fracturas y desprendimientos en esquinas de muros, fracturas diagonales. Fractura y caida de vidrios."/>
        <s v="Germán Ñustes - Cel. 3187120850 - 3176738225 / Caída de muros en pisos 1 y 2 de las torres 1, 3, 4 y 5, presenta fisuras en pisos 3 y 4. Fisuras en fachadas"/>
        <s v="Germán Ñustes - Cel. 3187120850 - 3176738226 / Fisuras en fachadas, fracturas y desprendimientos en muros, fracturas diagonales. Apertura de muros, especialmente en zonas de baños y cocinas."/>
        <s v="Martín Cuéllar Romero - 3195700460"/>
        <s v="Germán Ñustes - Cel. 3187120850 – 3176738223 / Fisuras en fachadas y en losas de pisos, especialmente fracturas y desprendimientos en esquinas de muros, fracturas diagonales."/>
        <s v="Germán Ñustes - Cel. 3187120850 - 3176738224, Desprendimiento de Fachadas"/>
        <s v="Germán Ñustes - Cel. 3187120850 - 3176738227 / Fisuras en la fachada &#10;&#10;Nathalia Henao 3176738223 / Se notan grietas en las fotos enviadas"/>
        <s v="Germán Ñustes - Cel. 3187120850 - 3176738229 / Fisuras en fachadas, fisuras en pasillos, desprendimiento de muro."/>
        <s v="Germán Ñustes - Cel. 3187120850 - 3176738231 / Fisuras en fachadas, fisuras en pasillos, desprendimiento de muro."/>
        <s v="Germán Ñustes - Cel. 3187120850 - 3176738232 / Fisuras leves en bases de las casas y en algunas fachadas."/>
        <s v="Germán Ñustes - Cel. 3187120850 - 3176738233 / Fisuras leves en torres 2,3 y 4 en los terceros pisos (últimos)."/>
        <s v="Jaime Herrera 318 5219101 / Edificio colapsado que aun no ha sido atendido"/>
        <s v="Adriana Fandiños, 3117190631 / Mi casa quedo fracturada en la. Pared se la cocina bastante agrietada"/>
        <s v="Encargada Ana Arcos funcionaria 3147559642"/>
        <s v="Vanesa Alzate 3152347062 / Hay daño estructural en la mayoria de torres, evacuaron a todos los propietarios, necesitamos ayuda para evaluar los dalos"/>
        <s v="Carolina Snachez 3012231461"/>
        <s v="Carolina Ortiz Ruiz 3174052528 / La pared de la casa de al lado que es de 2 pisos se desplomó y cayó sobre el techo de la casa de mis tías ocasionando que colapsaran las tejas y cielo falso"/>
        <s v="reporta daños, dfisuras, rompimiento de paredes y daños de la fachada 3137590589 Alexandr Diaz"/>
        <s v="Edificio de 5 pisos que esta totalmente destruido y esta a punto colapsar sobre vivienda de 2 ancianos y niños discapacitado no tienen a donde evacuar. Por favor ayuda. Dejo imagen del edificio Solana."/>
        <s v="se le cayó el techo a las habitaciones y viven 2 adultos mayores de la tercera edad&#10;Angela Viveros 311 715 8940"/>
        <s v="Angelica Maria Sepulveda Hoyos 3108260426"/>
        <s v="Jhon Fredy Tenorio 314 297 9205"/>
        <s v="Ana Milena Lopez 317 424 0648"/>
        <s v="Mario Daniel Dorado 3043383312 / edificio afectado"/>
        <s v="Sonia Gallego 311 3836781"/>
        <s v="Maria Fernanda Perlaza Sanchez 301 376 4539"/>
        <s v="Silvia Surez 316 624 6262"/>
        <s v="Encargado Zayde Inga Paz 3132439398"/>
        <s v="Daniela Guerrero 310 500 7142"/>
        <s v="Se cayó el techo del patio de piso 1 Tres paredes con perdida total Una pared presenta fisura El edificio contiguo propiedad de Emcali se corrió en el piso 1, un centímetro y en el último piso se orrió cerca de 5 a 7 centímetros y la presión nos dañó el b"/>
        <s v="Andres Ortega 318 2242055"/>
        <s v="Daños en 5 de las 7 torres, hubo desprendimiento de techo de 3 torres, los escombros cayeron a la calle y sobre la swingla, no hay heridos, no trapados, 4 torres están inclinadas Múltiples grietas en todas las torres, dilatación ente los pasillo"/>
        <s v="Edificio de 3 pisos con grietas encargado juan camilo 3117525803"/>
        <s v="Angela Córdoba 321 2473109"/>
        <s v="Tengo una pared interna apunto de desplomarse - Lorena Charria Laverde &#10;3177850654"/>
        <s v="Administrador 3154560292"/>
        <s v="Lo atiende virtual ingeniero andres noreña"/>
        <s v="Isaac Piso 321 682 2353&#10;Diana ximena Piso 312 842 6835"/>
        <s v="El edificio presenta grietas externas que atraviesan hasta dentro del apartamento.&#10;El apartamento tiene grietas entre el techo y la pared en casi todas las esquinas."/>
        <s v="Alejandro Bolaños 320 715 5167"/>
        <s v="Sorangi Velasquez 311 671 7245"/>
        <s v="Luis Diaz 315 2995659"/>
        <s v="Janeth Castro 300 439 9881"/>
        <s v="3104114069 y 3173984279"/>
        <s v="Maria Cristina Botero 318-8225745"/>
        <s v="Ana Luisa Revelo 3164782459"/>
        <s v="Maria jose Nuñez 315 751 6597&#10;Marcela Salmanca 315 697 4781"/>
        <s v="Xiomara Certuche 317 668 4378"/>
        <s v="Sacerdote Arnoldo"/>
        <s v="Felipe Ramirez 3157455889"/>
        <s v="Stella Potes 3206860075"/>
        <s v="Carolina Muñoz 3138193246"/>
        <n v="3.206410252E9"/>
        <s v="3159746934 Omar Ricardo Montoya"/>
        <s v="Luis Eduardo Cardona Aguilar 3116342521"/>
        <s v="Luis Zambrano 315 201 88 53"/>
        <s v="Fabian Rojas 3164485087 - Colapso úlitmo piso- Riesgo estructural por grietas en escaleras y grietas en las paredes y techos de todos los apartamentos. Pisos desnivelados. - Adulta mayor se niega a evacuar en el 4 piso, con alto riesgo."/>
        <s v="Rafael López Jaramillo gestor comunitario de equipos básicos de salud ladera, 321 7881028 - Reporte ciudadano - sol angela cantor-3137299304, colapso estructural"/>
        <s v="James Idrobo, Cel.3155504747 - Edificio de 5 pisos. Sufrió daños considerables en fachada, zona social, apartamentos, zonas comunes. No hubo heridos."/>
        <s v="Gustavo Atehortua 3128452134"/>
        <s v="Apto 303-A contacto 3117477824 Elmy Escobar"/>
        <s v="Luisa Fernanda Santos 300 5763778"/>
        <s v="Marisol Chavez 310 408 9742"/>
        <s v="Margarita Henao &#10;310 827 6619 Urgente, viven personas mayores y con discapacidad."/>
        <s v="Ana Maria Hincapié&#10;302 331 3616"/>
        <s v="Natalia Torres 3108105514"/>
        <s v="Marta Cecilia Morales - 300 3399288 tengo daños internos en el techo de mi casa"/>
        <s v="juan manuel silva sanchez 313 7960993"/>
        <s v="El terreno de la casa tiene, entre ambas columnas, coon grietas horizontales y verticales; habitan 5 personas la vivienda, se recomienda evacuar."/>
        <s v="tel. 3105147126 Mariano Rodriguez Diaz"/>
        <s v="Reporte ciudadano - Leidy Ramos del apto 707 - 305 2369837"/>
        <s v="Reporte ciudadano - Robert correa Plazas 3235315158, daño en estructura---daño en estructuras"/>
        <s v="Reporte ciudadano - colapso total de vivienda"/>
        <s v="Reporte ciudadano - jose david gil--- 3216191682, colapso de edificio"/>
        <s v="Reporte ciudadano - daño estructural en edificio"/>
        <s v="Reporte ciudadano - , +34 603 80 75 43, daño estructural"/>
        <s v="Reporte ciudadano - gustavo vargas 3167275348---3235833173, colapso de techo, daño estructural"/>
        <s v="Reporte ciudadano - persona atrapada- daño estructural"/>
        <s v="Reporte ciudadano - daños estructurales"/>
        <s v="Reporte ciudadano - 310 5949294, daños estructurales"/>
        <s v="Reporte ciudadano - 313 4602795, daño estructural"/>
        <s v="Reporte ciudadano - no suminnoistrado, daños estructurales"/>
        <s v="Reporte ciudadano"/>
        <s v="Reporte ciudadano - no suministrado, daños estructurales en exteriores"/>
        <s v="Reporte ciudadano - daños estructurales en multiples casas del sector"/>
        <s v="Reporte ciudadano - no suministrado, daños estructurales y colapso parcial del techo"/>
        <s v="Reporte ciudadano - no suministradp, colapso estructural piso superior"/>
        <s v="Reporte ciudadano - no suministrado, colapso en pared perimetral, techo averiado"/>
        <s v="Reporte ciudadano - 3019332856 daniel chacon, agrietamiento de paredes en edificio, afectacion es estructura"/>
        <s v="Reporte ciudadano - 3148050013, María aurora rayo, Techo colapsado"/>
        <s v="Reporte ciudadano - María Olivia Ospina, 3155837205, Vivienda con graves afectaciones"/>
        <s v="Reporte ciudadano - no suministrado, daño estructural, reportan personas atrapadas"/>
        <s v="Reporte ciudadano - no suministrado, daño estructural en pisos intermedios"/>
        <s v="Reporte ciudadano - Stephania Urbano a Rodríguez , 3232881929, Se presentan muchas grietas dentro de los apartamentos y en las escaleras de la torre, nos da miedo volver a subir sin revisión de la estructura"/>
        <s v="Reporte ciudadano - edificios colapsados, en la zona"/>
        <s v="Reporte ciudadano - no suministrado, daño estructural estructura comerciar"/>
        <s v="Reporte ciudadano - daño estructural en edificio de viviendas- apartamentos"/>
        <s v="Reporte ciudadano - Johana Sandoval, 3187761862, Afectaciones en la vivienda, grietas, solicita verificación de la vivienda, edificio de 3 pisos"/>
        <s v="Reporte ciudadano - 3165230326, Afectaciones en fachada del edificio"/>
        <s v="Reporte ciudadano - no suministrado, afectaciones en parte posterior de fachada"/>
        <s v="Reporte ciudadano - no suministrado, daño estructural en fachada- sin revisar"/>
        <s v="Reporte ciudadano - daño estructural en fachadas y escaleras - catalina gomez-3174365785, daño estructural"/>
        <s v="Reporte ciudadano - Agrietamiento en el edificio"/>
        <s v="Reporte ciudadano - diana alvares- 3165345643, daño estructural, con inclinacion de estructura"/>
        <s v="Reporte ciudadano - 3183401630, Afectaciones en el edificio"/>
        <s v="Reporte ciudadano - no suministrado, colapso estructural total en edificio"/>
        <s v="Reporte ciudadano - no suministrado, colapso parcial de estructura"/>
        <s v="Reporte ciudadano - Alicia Escobar 3233898026, reporta afectaciones en vivienda"/>
        <s v="Reporte ciudadano - Isabel Jarrín, 3173231063, agrietamiento en vivienda, afectaciones en estructura"/>
        <s v="Reporte ciudadano - no suministrado, caida de edificio"/>
        <s v="Reporte ciudadano - Inés Elvira Hernández trejos, 3136804159, Afectaciones en vivienda"/>
        <s v="Reporte ciudadano - adriana quiroga 3216429835, agrietamientos en estructura"/>
        <s v="Reporte ciudadano - no suministrado, colapso de estructura"/>
        <s v="Reporte ciudadano - johana Arenas- 31368116-98, colapso de estructura-viviendas"/>
        <s v="Reporte ciudadano - Eduardo Cuellar, 3104540170, Colaspo de estructura"/>
        <s v="Reporte ciudadano - agrietamiento de estructura y eescaleras"/>
        <s v="Reporte ciudadano - nelsy calderon- 3025244664, colapso del techo y pared medianera"/>
        <s v="Reporte ciudadano - Martha Cecilia González, 3113159859, Agrietamiento en fachada"/>
        <s v="Reporte ciudadano - carolina filigrana-3182618833, caida de techo y muro"/>
        <s v="Reporte ciudadano - no suministrado, colapso parcial de fachada y paredes. con afectacion e techo"/>
        <s v="Riesgo estructural con posibilidad de colapso de edificio que contaba con 8 pisos. La via se encuebtra con paso restrigido por riesgo de desprendimiento de la fachada. La estructura se encuentra comprometida en vigas y elementos no estructurales con falla"/>
        <s v="Reporte ciudadano - Diana rincon, 313 5346822, grieta en fachada de vivienda"/>
        <s v="Reporte ciudadano - Valentina Oviedo Ramírez, 3115708332, agrietamiento en vivienda"/>
        <s v="Reporte ciudadano - no suministrado, colapso de paredes de fachada, agrietamiento de estructura"/>
        <s v="Reporte ciudadano - no suministrado, agrietamiento en edificio"/>
        <s v="Reporte ciudadano - no suministrado, techo colapsado"/>
        <s v="Reporte ciudadano - 322 6045307, afectaciones en la fachada"/>
        <s v="Reporte ciudadano - no suministrado, Daños materiales sin víctimas"/>
        <s v="Reporte ciudadano - no suministrado, daño en estructura en varias edificaciones de uso mixto seguidas de 3 pisos"/>
        <s v="Reporte ciudadano - afectacion en fachada de edificio"/>
        <s v="Reporte ciudadano - no suministrado, daño en estructura de edificio, caida de materia de fachada"/>
        <s v="Reporte ciudadano - no suministrado, colapso de edificaciones varias."/>
        <s v="Reporte ciudadano - Karla Fernanda González, 3108457836, afectaciones en vivienda"/>
        <s v="Reporte ciudadano - no sumistrado, afectacion estructural en edifico con caida de material"/>
        <s v="Reporte ciudadano - no suministrado, daño estructural con caida de material"/>
        <s v="Reporte ciudadano - edificio colapsado"/>
        <s v="Reporte ciudadano - no suministrado, agrietamiento en fachada"/>
        <s v="Reporte ciudadano - patricia ordoñez-3150722121, daño en estructura, vigas y columnas afectadas"/>
        <s v="Reporte ciudadano - melisa obando- 3117756292, se desplomó techo y fachada"/>
        <s v="Reporte ciudadano - no suministrado, colpaso en paredes internas del edificio"/>
        <s v="Reporte ciudadano - Catalina Mesa, 3183023500, grietas en pared"/>
        <s v="Reporte ciudadano - no suministrado, colapso de paredes, daños estructurales"/>
        <s v="Reporte ciudadano - beatriz marin-3116155454, edificio de 4 pisos, fisuras en columnas y desplazamiento de la edificacion"/>
        <s v="Reporte ciudadano - 3243079575 Alejandro Hidalgo, edificio de 16 pisos afectaciones internas en muros evacuados el 50% hay personas de movilidad reducida ciegos"/>
        <s v="Reporte ciudadano - no suministrado, daño estructural, con caida de material en via publica"/>
        <s v="Reporte ciudadano - sofia llanos- 3128497403, agrietamiento en estructura, edificio de 5 pisos, sobre todo el pirmer piso"/>
        <s v="Reporte ciudadano - no suministrado, colapso de estructura, aplastando carros en parqueadero"/>
        <s v="Reporte ciudadano - 3186013312"/>
        <s v="Reporte ciudadano - paola figueroa-3164553266, argietamiento en estructura en tercer piso y terraza, con riesgo de colapso"/>
        <s v="Reporte ciudadano - graciela rojas-3206181565, arietamiento en edificio de 10 oisos"/>
        <s v="Reporte ciudadano - no suministrado, caida materia en via publica, daños en fachadas en estructuras de uso mixto"/>
        <s v="Reporte ciudadano - yorme escobar-3008581086, dañoe en estructura de edificio de viviendas, tanque dañado con riesgo de caer"/>
        <s v="Reporte ciudadano - no cuministrado, daño estructural en edificio"/>
        <s v="Reporte ciudadano - dañoe estructural en edificio de apartamentos"/>
        <s v="Reporte ciudadano - satic golondrinas, jose orlando valencia, 5 viviendas colapsadas del grupo satic"/>
        <s v="Reporte ciudadano - carolina devia-3181355739, agrietamiento en estructura de edificio de apartamentos"/>
        <s v="Reporte ciudadano - no suministrado, agrietamiento en estructura de edificio de apartamentos"/>
        <s v="Reporte ciudadano - no suministrado, agrietamientos profundos en vivienda, con riesgo de colapso"/>
        <s v="Reporte ciudadano - no suministrado, persona atrapada en edificacion"/>
        <s v="Reporte ciudadano - no suministrado, edificio de apartamentos con colapso interno"/>
        <s v="Reporte ciudadano - no suministrado, agrietamiento estructurral caida parcial de techo en edificacion de 10 pisos de uno mixto"/>
        <s v="Reporte ciudadano - no suministrado, afectacion forntal de vivienda por colapso de muros en manposteria, riesgo de colapso"/>
        <s v="Reporte ciudadano - maria delgado-3146526159, afectaciones internas y en escaleras de edificio de aoartamend¿tos de 9 pisos 7 torres afectadas"/>
        <s v="Reporte ciudadano - no suministrado, daño estructural en edificacion de apartamentos"/>
        <s v="Reporte ciudadano - no suministrado, colapso parcial de techo, daño en estructura en vivienda de 4 pisos"/>
        <s v="Reporte ciudadano - johan monsillo-3174820816, daño estructural en columnas y fachada"/>
        <s v="Reporte ciudadano - no suministrado, edificacion de uso mixto de 4 pisos con agrietamiento de pardes y fachada"/>
        <s v="Reporte ciudadano - samir hoyos- 312 8232728, edificacion de uso de colegio, agrietamiento en paredes y caida de tejas en techo."/>
        <s v="Reporte ciudadano - 317 5078935 jairhoyos, agrietamiento en vivienda de dos pisos"/>
        <s v="Reporte ciudadano - 315 4627123 ana collazos, agrietamiento en edifivio de apartamentos"/>
        <s v="Reporte ciudadano - Andrés Pedraza-310 2511010, agrietamiento en vivienda, con dalo en pared medianera"/>
        <s v="Reporte ciudadano - 3185425898, colapso de paredes, con dañoe estructural. reportan femenina muerta en la escena"/>
        <s v="Reporte ciudadano - Dayana Duran 3202175947, colapso parcial de edificio residencial"/>
        <s v="Reporte ciudadano - Ana Araujo 3177444194, Daño estructural"/>
        <s v="Reporte ciudadano - daño estructural en pisos altos"/>
        <s v="Reporte ciudadano - 3156627583, daño estructural 3214038455 Carlos Morcillo"/>
        <s v="Reporte ciudadano - erika montes-3158886554, daño estructural, acida parccial de techo"/>
        <s v="Reporte ciudadano - juan manuel silva sanchez - 313 7960993"/>
        <s v="Ana Maria Hincapié &#10;302 331 3616"/>
        <s v="Reporte ciudadano - Fredy Rosas 3186763430"/>
        <s v="Adriana Cortes&#10;311 632 8410"/>
        <s v="Consuelo Lopez 300 6551768"/>
        <s v="M. Fernanda 300 317 7607&#10;Hilda Mera 300 304 9458&#10;ANTENDER URGENTE PRIORITARIO 3 ADULTOS MAYORES DE 75 AÑOS"/>
        <s v="Viviana Valencia Ocampo,3116113872 - 3163866479"/>
        <s v="Rocio Rosales 3156279529"/>
        <s v="ANGÉLICA MARIA DELGADO, 316 4782943"/>
        <s v="wilber Sinisterra 301 4598017"/>
        <s v="Claudia Fabiola Díaz &#10;310 505 8707"/>
        <s v="Claudia Patricia Arenas 313 595 9920"/>
        <s v="Beatriz Campo &#10;316 319 6037"/>
        <s v="Requiere una visita para saber si se habita el edificio - Katerine Cardona 3165229005"/>
        <s v="Vanessa Tamayo 300 8780103"/>
        <s v="Alexander Jiménez 3154661329"/>
        <s v="Pomeo Uribe 3146670978"/>
        <s v="Carolina Arroyabe 310 6713113"/>
        <s v="Bryan Taborda 310 3782035, es arrendatario en apto 1008 torre 1, y esta haciendo el reporte para todo el edificio de forma independiente"/>
        <s v="Ana Lucia Holande&#10;311 3897225"/>
        <s v="Diego Miranda &#10;315 462 0342 / 315 543 2557"/>
        <s v="Maria Clemencia Sandoval- Adulto Mayor - 315 4454854"/>
        <s v="Oscar Dario Sepulvedad-3147467273"/>
        <s v="willian Gonzales hijo del afectado (hda Mpl), sin mas datos"/>
        <s v="Katerine Marmolejo 3028405609"/>
        <s v="Sin datos disponibles"/>
        <s v="Reporte ciudadano -Yenny Ordóñez 311 3379067"/>
        <s v="Reporte ciudadano - Diana Monroy 3004070945"/>
        <s v="Reporte ciudadano - Martha Navia 3332635877"/>
        <s v="Reporte ciudadano - Gustavo Lozano - 3006001020"/>
        <s v="Reporte ciudadano - Viven dos personas revisar - Luis Felipe Ballecilla 3188990666"/>
        <s v="Reporte ciudadano - Wilmer Valencia 3106171719"/>
        <s v="Reporte ciudadano - Gloria Giraldo 3207093529"/>
        <s v="Reporte ciudadano - Sara Duque Naranjo 3058988977"/>
        <s v="Pedro pablo Ateortua &#10;316 869 6546&#10;Ruben Dario Lozano &#10;310 894 2874"/>
        <s v="MARTHA LUCÍA CASTILLO 3137367169"/>
        <s v="Reporte ciudadano - Alaba Cecilia Lenis 3208556225"/>
        <s v="Milena Palacio 321 508 5974"/>
        <s v="Lady Hinojosa Grajales- habitante 320 381 4667&#10;321 898 6050"/>
        <s v="Reporte ciudadano - Angela Liliana Campo 3215871870 - 3104539750"/>
        <s v="Patricia Cardona 3128345988, estan alojados en otra parte"/>
        <s v="Reporte ciudadano - Luis Fernanda Gonzalez 3043919767"/>
        <s v="Administradora Sandra Milena Zuluaga - Cel: 300 863 3441"/>
        <s v="Reporte ciudadano Diana Maria Omen - 3005117287"/>
        <s v="Nicolas Romero 3124680618"/>
        <s v="Amanda valencia&#10;316 087 2204"/>
        <s v="Monica Hurtado 3218787178"/>
        <s v="320 623 6981 Gloria esperanza giraldo"/>
        <s v="Horson Quintero Quintero 3154906370"/>
        <s v="ARacely Otero Leyton 3122696942"/>
        <s v="Alfredo Nicolás Olivar Cardozo 3148139989"/>
        <s v="321 242 1905 Walter López"/>
        <s v="323 5806544 Yuliana Florez"/>
        <s v="Reporte ciudadano - Tania Correa 3505798080"/>
        <s v="Karen Egidi &#10;310 867 05 89&#10;Nazareth cabezas (secretaria)&#10;314 730 6885"/>
        <s v="Informacion compartida internamente"/>
        <s v="María Consuelo Quintero 315 5485776"/>
        <s v="Erika Andrea Azcarate 3174024161"/>
        <s v="Luz Esperanza Bravo &#10;320 681 2598"/>
        <s v="313 6202232"/>
        <s v="3207860761&#10;Paola Andrea Parra Sánchez "/>
        <s v="daño en estructura, con caida parcial de pared y techo en parte trasera"/>
        <s v="Horacio Parra 315 5511934"/>
        <s v="Fernando Yusti Montero 3206110776"/>
        <s v="Reporte ciudadano Cel 316 3498900"/>
        <s v="Sandra Mónica Cabezas Soto Teléfono 316 5851857"/>
        <s v="Gloria Cerquerea &#10;312 887 3817"/>
      </sharedItems>
    </cacheField>
    <cacheField name="SOLICITUDES PENDIENTES" numFmtId="0">
      <sharedItems containsBlank="1">
        <s v="Actualización BROS"/>
        <s v="-"/>
        <m/>
        <s v="11/08 11:28PM RESCATE - 2 Sierra sable"/>
        <s v="S"/>
      </sharedItems>
    </cacheField>
    <cacheField name="REFERENCIADO EN EL MAPA" numFmtId="0">
      <sharedItems containsBlank="1">
        <m/>
        <s v="-"/>
        <s v="DIGITALIZADO"/>
        <s v="Por favor actualizar BOMBEROS - OK &#10;DIGITALIZADO"/>
        <s v="Por favor actualizar BOMBEROS - OK&#10;DIGITALIZADO"/>
        <s v="SI"/>
        <s v="NO"/>
        <s v="Por favor actualizar BOMBEROS - OK"/>
        <s v="Por favor actualizar BOMEROS"/>
        <s v="Reporte ciudadano - Daño estructural"/>
        <s v="Reporte ciudadano - Claudia pardo 3108368503, Daño estructural en vivienda"/>
        <s v="Reporte ciudadano - Cielo Valero 3181503278, daño estructural"/>
      </sharedItems>
    </cacheField>
    <cacheField name="DESAPARECIDOS" numFmtId="0">
      <sharedItems containsString="0" containsBlank="1">
        <m/>
      </sharedItems>
    </cacheField>
    <cacheField name="COORDENADAS" numFmtId="0">
      <sharedItems containsBlank="1">
        <m/>
        <s v="3.3935084, -76.5436393"/>
      </sharedItems>
    </cacheField>
    <cacheField name="DESCRIPCION DE LA SITUACION" numFmtId="0">
      <sharedItems containsBlank="1">
        <m/>
        <s v="Se encuentra el inmueble en su mayoría con buen estado, parte de la fachada que mira hacia la autopista sur-oriental presenta desprendimiento de elementos no estructurales. Dentro de las zonas comunes se hayan fisuras leves en elementos no estructurales. "/>
      </sharedItems>
    </cacheField>
    <cacheField name="Observaciones generales (FORMULARIO)" numFmtId="0">
      <sharedItems containsBlank="1">
        <m/>
        <s v="Clara victoria Calderón Vega&#10;3165058528"/>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2184" sheet="EDAN 100826 - Datos Madre"/>
  </cacheSource>
  <cacheFields>
    <cacheField name="Consecutiv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m/>
      </sharedItems>
    </cacheField>
    <cacheField name="Prioridad" numFmtId="0">
      <sharedItems containsBlank="1">
        <s v="ALTA"/>
        <s v="BAJO"/>
        <s v="-"/>
        <s v="MEDIO"/>
        <s v="MEDIA"/>
        <m/>
        <s v="ALTO"/>
        <s v="Prioritaria"/>
        <s v="BAJO "/>
      </sharedItems>
    </cacheField>
    <cacheField name="Estado" numFmtId="0">
      <sharedItems containsBlank="1">
        <s v="Atendido"/>
        <s v="En atención"/>
        <s v="Visitado"/>
        <s v="ANULADO"/>
        <s v="Pendiente"/>
        <s v="En validación"/>
        <s v="Validado"/>
        <m/>
        <s v="Pendeiente"/>
        <s v="Sin atender"/>
      </sharedItems>
    </cacheField>
    <cacheField name="Color semaforo" numFmtId="0">
      <sharedItems containsBlank="1">
        <s v="NARANJA"/>
        <s v="MORADO"/>
        <s v="NEGRO"/>
        <s v="VERDE"/>
        <s v="AMARILLO"/>
        <s v="ROJO"/>
        <s v="SIN CLASIFICAR"/>
        <m/>
      </sharedItems>
    </cacheField>
    <cacheField name="Urgente" numFmtId="0">
      <sharedItems containsBlank="1">
        <s v="SI"/>
        <s v=""/>
        <s v="-"/>
        <m/>
      </sharedItems>
    </cacheField>
    <cacheField name="Comuna - Corregimiento" numFmtId="0">
      <sharedItems containsBlank="1">
        <s v="Comuna 19"/>
        <s v="Comuna 17"/>
        <s v="-"/>
        <s v="Comuna 9"/>
        <s v="Comuna 5"/>
        <s v="Comuna 3"/>
        <s v="Comuna 10"/>
        <s v="Comuna 2"/>
        <s v="Comuna 4"/>
        <s v="Comuna 18"/>
        <s v="Comuna 22"/>
        <s v="Comuna 16"/>
        <s v="Comuna 1"/>
        <s v="Comuna 21"/>
        <s v="Comuna 15"/>
        <s v="Comuna 6"/>
        <s v="Comuna 14"/>
        <s v="Comuna 13"/>
        <s v="Comuna 8"/>
        <s v="Comuna 11"/>
        <s v="Montebello"/>
        <s v="Los Andes"/>
        <s v="Comuna 20"/>
        <s v="Comuna 7"/>
        <s v="Golondrinas"/>
        <s v="La Buitrera"/>
        <s v="Felidia"/>
        <m/>
        <s v="Comuna"/>
        <s v="comuna 5 "/>
      </sharedItems>
    </cacheField>
    <cacheField name="Sector" numFmtId="0">
      <sharedItems containsBlank="1">
        <s v="Sur"/>
        <s v="-"/>
        <s v="Centro"/>
        <s v="Norte"/>
        <s v="Oriente"/>
        <s v="Oeste"/>
        <s v="Suroeste"/>
        <s v="Suroriente"/>
        <s v="Rural"/>
        <s v="Nororiente"/>
        <s v="Nor Oriente"/>
        <s v="Sur - Occidente"/>
        <s v="Sur-Occidental"/>
        <s v="Sur-Occidente"/>
        <s v="Centro-Oeste"/>
        <s v="Occidente"/>
        <s v="Bretaña"/>
        <m/>
        <s v="Centro-sur"/>
        <s v="Sur "/>
        <s v="Centrica"/>
        <s v="norte "/>
      </sharedItems>
    </cacheField>
    <cacheField name="Barrio">
      <sharedItems containsDate="1" containsBlank="1" containsMixedTypes="1">
        <s v="El Lido"/>
        <s v="La Hacienda"/>
        <s v="Limonar"/>
        <s v="-"/>
        <s v="Cuarto de Legua"/>
        <s v="Pampalinda"/>
        <s v="Los Cámbulos"/>
        <s v="Olimpico"/>
        <s v="San Fernando"/>
        <s v="Junin"/>
        <s v="Urbanización Tequendama"/>
        <s v="Chiminangos II"/>
        <s v="Tequendama"/>
        <s v="El Refugio"/>
        <s v="Poblado ll"/>
        <s v="San Bosco"/>
        <s v="Eucarístico"/>
        <s v="Centro"/>
        <s v="El Limonar"/>
        <s v="San Pedro"/>
        <s v="Alameda"/>
        <s v="Torres de Comfandi"/>
        <s v="Colseguros"/>
        <s v="Barranquilla"/>
        <s v="Nuevo Tequendama"/>
        <s v="San Vicente"/>
        <s v="El templete"/>
        <s v="Bueno Madrid"/>
        <s v="Asturias"/>
        <s v="San Miguel"/>
        <s v="Valle del Lili"/>
        <s v="Altos de Santa Elena / Polvorines"/>
        <s v="La Flora"/>
        <s v="San Fernando Nuevo"/>
        <s v="Bosques del Limonar"/>
        <s v="Cámbulos"/>
        <s v="Versalles"/>
        <s v="Cristóbal Colón"/>
        <s v="Esmeralda"/>
        <s v="Las Vegas"/>
        <s v="Salomia"/>
        <s v="Buenos Aires"/>
        <s v="Prados del Norte"/>
        <s v="Santa Mónica Residencial"/>
        <s v="Ciudad 2000"/>
        <s v="Unión de Vivienda Popular"/>
        <s v="Mariano ramos"/>
        <s v="El Cedro"/>
        <s v="Alto Jordan"/>
        <s v="El Gran Limonar"/>
        <s v="Refugio"/>
        <s v="Mayapan"/>
        <s v="Cuarto de Legua – Guadalupe"/>
        <s v="Bajo Aguacatal"/>
        <s v="Sucre"/>
        <s v="Santa Elena"/>
        <s v="El ingenio"/>
        <s v="Ciudadela Pasoancho"/>
        <s v="Villa del mar"/>
        <s v="Valle grande"/>
        <s v="La Riviera/ San Marino"/>
        <s v="Guadalupe"/>
        <s v="Los andes"/>
        <s v="Prados del N."/>
        <s v="Ciudad Cordoba etapa II"/>
        <s v="Melendez"/>
        <s v="El Peñon"/>
        <s v="Valle de lili"/>
        <d v="2026-07-04T00:00:00Z"/>
        <s v="Flora Ind."/>
        <s v="Barrio el Cedro"/>
        <s v="Primero de mayo"/>
        <s v="Urbanizacion Barranquilla"/>
        <s v="Las Camelias"/>
        <s v="Tres de julio"/>
        <s v="Los Cambulos"/>
        <s v="Capri"/>
        <s v="San Nicolas"/>
        <s v="Camino Real"/>
        <s v="Marroquin 2"/>
        <s v="Brisas de los Alamos"/>
        <s v="El poblado II"/>
        <s v="Terron Colorado"/>
        <s v="Patios de la Fora"/>
        <s v="Los Chorros"/>
        <s v="san luis"/>
        <s v="Joaquin Borrero - Cañaveralejo"/>
        <s v="Champagnat"/>
        <s v="Colseguros andes"/>
        <s v="Panamericano"/>
        <s v="Antonio Nariño"/>
        <s v="Santa Monica Norte"/>
        <s v="Portal de Santillana"/>
        <s v="Barrio 3 de Julio por el estadio oriental"/>
        <s v="La Campiña"/>
        <s v="Libertadores"/>
        <s v="San Juan Bosco"/>
        <s v="Templete"/>
        <s v="Nueva Tequendama"/>
        <s v="Terrón colorado, sector Casas Nuevas"/>
        <s v="El jordan"/>
        <s v="Cedro"/>
        <s v="Club residencial los cristales"/>
        <s v="nueva granada"/>
        <s v="3 de Julio"/>
        <s v="El Seminario"/>
        <s v="Ciudad Melendez"/>
        <s v="Pizamos II"/>
        <s v="Santa Isabel"/>
        <s v="El Sindical"/>
        <s v="Quintas de Don Simón"/>
        <s v="Ciudad Cordoba"/>
        <s v="La Merced"/>
        <s v="Pampa Linda"/>
        <s v="Vientos de Guadalupe"/>
        <s v="Cuarto de Llegua"/>
        <s v="Juanambu"/>
        <s v="Cañaveralejo"/>
        <s v="villacolombia"/>
        <s v="Las Acacias"/>
        <s v="Tejares de San Fernando"/>
        <s v="Santa Monica Residencial"/>
        <s v="Bretaña"/>
        <s v="Alfonso Bonilla"/>
        <s v="Alférez real"/>
        <s v="La Independencia"/>
        <s v="pacara"/>
        <s v="palma real"/>
        <s v="San Fernando Viejo"/>
        <s v="Pondaje"/>
        <s v="Santa Anita Reserva"/>
        <s v="Normandia"/>
        <s v="El rincon"/>
        <s v="Sector La Escuela"/>
        <s v="Vereda Campo Alegre"/>
        <s v="Montebello"/>
        <s v="Menga"/>
        <s v="Cuerto de Legua"/>
        <s v="centenario"/>
        <s v="santa anita"/>
        <s v="Pance"/>
        <s v="Ciudad Capri"/>
        <s v="polvorines"/>
        <s v="santa monica"/>
        <s v="Vereda Atenas"/>
        <s v="La viga-pance"/>
        <s v="santa monica popular"/>
        <s v="Departamental"/>
        <s v="Bellavista"/>
        <s v="El Jardin"/>
        <s v="santa rosa"/>
        <s v="El Guabal"/>
        <s v="isabel perez"/>
        <s v="prados del sur"/>
        <s v="Cascada"/>
        <s v="Los amendros"/>
        <s v="Caldas"/>
        <s v="Los Guaduales"/>
        <s v="las ceibas"/>
        <s v="El Cristal"/>
        <s v="La Paz"/>
        <s v="Chipichape"/>
        <s v="laureano gomez"/>
        <s v="los alamos"/>
        <s v="mira flores"/>
        <s v="Guayaquil"/>
        <s v="Urbanizacion militar"/>
        <s v="Santa Mónica Popular"/>
        <s v="Cristales"/>
        <s v="Parcelaciones Pance"/>
        <s v="Ciudad Jardín"/>
        <s v="La Arboleda Altos de Melendez"/>
        <s v="Granada"/>
        <s v="Barrio Giauaquil"/>
        <s v="Barrio la flora"/>
        <s v="Altos de Melendez"/>
        <s v="Jordan"/>
        <s v="Barrio Asturias"/>
        <s v="Terrón Colorado"/>
        <s v="Charco azul"/>
        <s v="Los Almendros"/>
        <s v="Quintas de Don Simon"/>
        <s v="El Dorado"/>
        <s v="danubio"/>
        <s v="Vipasa / Flora"/>
        <s v="las vegas de comfandi"/>
        <s v="napoles"/>
        <s v="Ingenio"/>
        <s v="Ciudadela Comfandi"/>
        <s v="Pasoancho"/>
        <m/>
        <s v="San Fernando N."/>
        <s v="Vegas de confandi"/>
        <s v="Bochalema"/>
        <s v="Rural"/>
        <s v="la alameda"/>
        <s v="Alfonso López"/>
        <s v="los pinos"/>
        <s v="el vallado"/>
        <s v="Santa Monica R"/>
        <s v="Cudad Modelo"/>
        <s v="Chapinero"/>
        <s v="Cristobal colon"/>
        <s v="Meléndez"/>
        <s v="Alto Nápoles"/>
        <s v="chiminangos etapa 1"/>
        <s v="Miraflores"/>
        <s v="El troncal"/>
        <s v="Mayapan - Las Vegas"/>
        <s v="chiminangos"/>
        <s v="San Carlos"/>
        <s v="La Esperanza"/>
        <s v="Sector hora cero"/>
        <s v="Los Estudiantes"/>
        <s v="Calimio – Desepaz"/>
        <s v="la selva"/>
        <s v="La base"/>
        <s v="Alamos"/>
        <s v="Marroquín I"/>
        <s v="san cayetano"/>
        <s v="paseo los almendros"/>
        <s v="1 de mayo"/>
        <s v="el guabito"/>
        <s v="jorge eliecer gaitan"/>
        <s v="El piloto"/>
        <s v="Cuarto De Legua - Guadalupe"/>
        <s v="Cañaverales"/>
        <s v="gran limonar"/>
        <s v="Juanambú"/>
        <s v="ciudadela floralia"/>
        <s v="los portales - nuevo rey"/>
        <s v="colinas del sur"/>
        <s v="comuneros 1"/>
        <s v="Palmas"/>
        <s v="Manuel Buenaventura"/>
        <s v="Bajo Jordan"/>
        <s v="San Antonio"/>
        <s v="Belalcázar"/>
        <s v="Las Canas"/>
        <s v="Las Delicias"/>
        <s v="Golondrinas"/>
        <s v="Altos del rosario"/>
        <s v="La cascada"/>
        <s v="Felidia"/>
        <s v="Pacara y Alamos"/>
        <s v="Santa rita"/>
        <s v="Comuneros I"/>
        <s v="Puertas del sol"/>
        <s v="Andres Sanin"/>
        <s v="Juananbu"/>
        <s v="puerto mallarino"/>
        <s v="San Judas"/>
        <s v="Los Alcazares"/>
        <s v="Los Cristales"/>
        <s v="Union de Vivienda Popular"/>
        <s v="Alto Polvorines"/>
        <s v="Poblado 2"/>
        <s v="la union"/>
        <s v="Bella Suiza"/>
        <s v="Zaguasqui"/>
        <s v="Petecuy etapa 1"/>
        <s v="Los lagos distrito de agua blanca"/>
        <s v="4 de Julio"/>
        <s v="lleras camargo"/>
        <s v="San Pascual"/>
        <s v="Saavedra galindo"/>
        <s v="union de viviendas popular "/>
        <s v="Nueva Floresta"/>
        <s v="guabal"/>
        <s v="vereda las pilas del cabuyal"/>
        <s v="Alfonso Bonilla Aragón"/>
        <s v="Vipasa"/>
        <s v="Cambulos"/>
        <s v="la rivera guayacanes "/>
      </sharedItems>
    </cacheField>
    <cacheField name="Tipo" numFmtId="0">
      <sharedItems containsBlank="1">
        <s v="Edificio"/>
        <s v="-"/>
        <s v="Casa"/>
        <s v="Parroquia"/>
        <s v="Hospital"/>
        <s v="Colegio"/>
        <s v="Tipo"/>
        <s v="Clinica"/>
        <s v="Ancianato"/>
        <s v="Estacion de Servicio"/>
        <s v="Local Comercial"/>
        <s v="Unidad residencial"/>
        <s v="U. Residencial"/>
        <s v="Panaderia"/>
        <s v="Taller"/>
        <s v="Notaria"/>
        <s v="Empresa"/>
        <s v="Conjunto residencial"/>
        <s v="Supermercado"/>
        <s v="Casas - varias"/>
        <s v="Casa antigua"/>
        <s v="Edificio multiusos"/>
        <s v="Edificio rosales"/>
        <s v="capilla"/>
        <m/>
        <s v="Casas"/>
        <s v="Edificios"/>
        <s v="Hotel"/>
        <s v="Vivienda"/>
        <s v="Edifico"/>
        <s v="Edifico "/>
        <s v="Edificio "/>
        <s v="casa "/>
      </sharedItems>
    </cacheField>
    <cacheField name=" " numFmtId="0">
      <sharedItems containsBlank="1">
        <s v="Carrera 44 con calle 5"/>
        <s v="Carrera 72 con calle 11"/>
        <s v="Calle 10 Bis # 70 34"/>
        <s v="-"/>
        <s v="Carrera 57 # 3-88"/>
        <s v="Calle 3 # 61B"/>
        <s v="Av. Roosevelt (Calle 6) con Carrera 42"/>
        <s v="Carrera 38a # 10"/>
        <s v="Carrera 36 con Calle 5 B2 69"/>
        <s v="Carrera 58 # 3-138"/>
        <s v="Autopista Sur # 13-01"/>
        <s v="Calle 5 con Carrera 42"/>
        <s v="Calle 62B # 1A9-365"/>
        <s v="Carrera 42 con calle 5"/>
        <s v="Carrera 67 # 3c -15"/>
        <s v="Calle 72U # 28E-00, Poblado II"/>
        <s v="Calle 9 con Carrera 18"/>
        <s v="Carrera 40 # 4B-26"/>
        <s v="Calle 10 38 21"/>
        <s v="Carrera 52 # 3 20"/>
        <s v="Carrera 38A # 6 38"/>
        <s v="Carrera 5 # 13 46"/>
        <s v="CRE 52 # 2-01"/>
        <s v="Carrera 44 con Calle 9 35"/>
        <s v="Carrera 72 # 10 Bis-21"/>
        <s v="Calle 5E # 40 - 36"/>
        <s v="Calle 14 #5-20"/>
        <s v="Calle 9 con carrera 22"/>
        <s v="Calle 62 carrera 1b"/>
        <s v="Calle 9 #5-59"/>
        <s v="carrera 10 calle 5"/>
        <s v="Calle 62B # 1A-2-50"/>
        <s v="Calle 10 #33-51"/>
        <s v="carrera 1 bis con calle 59"/>
        <s v="Calle 5 e 46 82 conunto 4 apto 302 b"/>
        <s v="carrera 68 con calle 3b 61"/>
        <s v="CR 36 5- 21-20"/>
        <s v="Calle 5 con 13 y 14"/>
        <s v="Cra. 41 &amp; Av. Roosevelt&#10;Zona: Sur"/>
        <s v="Calle 7 con Carrera 41"/>
        <s v="Av. 4 Norte #21N-54"/>
        <s v="Carrera 34 #7-00"/>
        <s v="Calle 5E #43A-34"/>
        <s v="Av. 3 Norte #32AN-40"/>
        <s v="Calle 5N # 60 65"/>
        <s v="Carrera 80 con Calle 5"/>
        <s v="Calle 3C # 63A-44"/>
        <s v="Calle 5E # 46 82"/>
        <s v="Calle 5 con Carrera 57"/>
        <s v="Calle 1B Oeste con Carrera 100"/>
        <s v="Calle 1D Oeste # 100 Bis-49"/>
        <s v="Avenida 7N # 56-120"/>
        <s v="Calle 9 con Carrera 45"/>
        <s v="Calle 12B # 33 45"/>
        <s v="Calle 9 con Carrera 44"/>
        <s v="Calle 5B4 #36B-45"/>
        <s v="Calle 8 con Carrera 8"/>
        <s v="Carrera 63 # 2A 3"/>
        <s v="Carrera 66 # 13B 29"/>
        <s v="Calle 41 Norte # 4N-170"/>
        <s v="Carrera 46 calle 8 b"/>
        <s v="Carrera 23 # 9 06"/>
        <s v="Carrera 65 # 2b -14"/>
        <s v="Calle 5B2 # 31 98"/>
        <s v="Calle 3 con Carrera 4"/>
        <s v="Carrera 67 con calle 3 C"/>
        <s v="Cra. 46 #9C-85"/>
        <s v="Av. 5A Norte #23N-46/57"/>
        <s v="Calle 5 # 36-08"/>
        <s v="Carrera 62 # 2A 197"/>
        <s v="3 c norte con Calle 63"/>
        <s v="Avenida 3 Norte 59 125"/>
        <s v="Calle 15 # 33-71"/>
        <s v="Calle 5D # 38A-35"/>
        <s v="Carrera 5C con 43"/>
        <s v="Carrera 37 # 5b1 - 37"/>
        <s v="calle 2a # 78b-30"/>
        <s v="calle 19Norte con Avenida 4 Norte"/>
        <s v="carrera 59 #1e -43"/>
        <s v="Calle 5b1 con carrera 36b"/>
        <s v="calle 5b1 # 36b-06"/>
        <s v="Calle 48 #4D-11"/>
        <s v="Calle 3d con carrera 67"/>
        <s v="Calle 56 # 3 -88"/>
        <s v="Calle 1f carrera 59"/>
        <s v="Cra. 7 # 10-19"/>
        <s v="Calle 4 con carrera 44"/>
        <s v="Carrera 7 con calle 12"/>
        <s v="Carrera 39/38A # 5d - 09"/>
        <s v="calle 36 # 5 - 145"/>
        <s v="Calle 3 # 58-135"/>
        <s v="Carrera 63 # 3c - 76"/>
        <s v="Calle 36 Norte # 3GN-93"/>
        <s v="Calle 8 #39-120"/>
        <s v="Calle 22 Bis Norte # 9-11"/>
        <s v="Carrera 54 # 33B - 07"/>
        <s v="Calle 40 # 41 H - 15"/>
        <s v="Carrera 49a # 43-19"/>
        <s v="Carrera 36B # 5B3-46"/>
        <s v="Carrera 64a # 13c -65"/>
        <s v="Carrera 30a # 6 -07"/>
        <s v="Calle 4C # 35A-16"/>
        <s v="Carrera 94d # calle 2 a bis - entre carreras 94c1 y 94b1"/>
        <s v="Carrera 67 con Calle 13D"/>
        <s v="Calle 4 # 66B - 52"/>
        <s v="Carrera 83 # 6-50"/>
        <s v="Calle 1F #56-206"/>
        <s v="Calle 2 BIS # 66B 88"/>
        <s v="Carrera 41 # 5B-82"/>
        <s v="Calle 3 #66-87"/>
        <s v="Calle 24A Norte # 6N-27"/>
        <s v="Cra. 30 # 5A-57"/>
        <s v="Carrera 22 #11a - 44"/>
        <s v="Carrera 46 # 8 -20"/>
        <s v="Calle 19 Norte #4N-15"/>
        <s v="Calle 13A #64-50"/>
        <s v="Calle 23N # 6A - 65"/>
        <s v="Calle 5B # 29 - 17"/>
        <s v="Carrera 66–70"/>
        <s v="Carrera 61a # 2a-197"/>
        <s v="Calle 1F #59-199"/>
        <s v="Carrera 13A # 66B 16"/>
        <s v="Calle 6 con Carrera 42"/>
        <s v="Carrera 36 #5B3-40"/>
        <s v="Calle 5 # 80-00"/>
        <s v="Carrera 36B #5B3-29"/>
        <s v="Calle 4 con Carrera 58"/>
        <s v="Calle 5 #39-173"/>
        <s v="Avenida 15 Oeste #5-43"/>
        <s v="Calle 11 #12-57"/>
        <s v="Carrera 98 f # 58 - 66 Local 06"/>
        <s v="Calle 16 # 25 - 65"/>
        <s v="Carrera 75 # 13 -196"/>
        <s v="Carrera 67 con calle c"/>
        <s v="Calle 6 # 13 - 33"/>
        <s v="Calle 13a bis # 80 - 45"/>
        <s v="Carrera 50 # 5-173"/>
        <s v="Calle 30 c oeste # 6-26"/>
        <s v="Carrera 36 #5b1 - 52"/>
        <s v="Calle 83b # 22 -19"/>
        <s v="Carrera 3d con 67"/>
        <s v="Calle 13 a # 69-74"/>
        <s v="Calle 12a # 55 - 20"/>
        <s v="Carrera 54 #1a-60"/>
        <s v="Carrera 39a 5d -69"/>
        <s v="Calle 2a # 66 b- 86"/>
        <s v="Calle 10 carrera 71"/>
        <s v="Calle 59c # 2 - 65"/>
        <s v="Calle 37an # 2an - 07"/>
        <s v="Calle 9a # 42-55"/>
        <s v="Calle 47 # 49a -94"/>
        <s v="Calle 12 - 92 - 133"/>
        <s v="Calle 1 oeste #36b -05"/>
        <s v="Carrera 102 # 25-83"/>
        <s v="Calle 4 oeste # 14 -65"/>
        <s v="Carrera 57 # 4- 46"/>
        <s v="Carrera 61 # 26-54"/>
        <s v="Calle 14 a # 50a - 22"/>
        <s v="Carrera 27 #5 b - 29"/>
        <s v="Calle 49 n # 3gn - 93"/>
        <s v="Carrera 67 # 3c"/>
        <s v="Calle 49n #3gn -77"/>
        <s v="Carrera 30 8a-35"/>
        <s v="Carrera 53 # 13 65"/>
        <s v="Carrera 94b # 2 -46"/>
        <s v="Calle 62 # 1c1 - 18"/>
        <s v="calle 4 con carrera 60 a"/>
        <s v="Calle 2A 78B 30, Apto 401B"/>
        <s v="Calle 14 49A 29"/>
        <s v="Carrera 26 # 5c -06"/>
        <s v="Calle 9 con 24"/>
        <s v="Carrera 67 con calle 3c -15"/>
        <s v="Carrera 41 con 7 - 45"/>
        <s v="Calle 10 con carera 71"/>
        <s v="Calle 21 #2-05"/>
        <s v="Calle 3d con 67"/>
        <s v="Carrera 59a # 7 35"/>
        <s v="Calle 12 # 12 - 18"/>
        <s v="avenida 6 norte 26N -58"/>
        <s v="cra 26g3 #73-04"/>
        <s v="Calle 3 # 55 b - 72"/>
        <s v="Carrera 42 con 5"/>
        <s v="Carrera 35 #3A-65"/>
        <s v="calle 74 AN # 2a-03"/>
        <s v="Calle 9 #12-65"/>
        <s v="Carrera 28 d # 72w -14"/>
        <s v="Av 5 Oeste #26-21"/>
        <s v="Calle 58 Norte #5BN75"/>
        <s v="Carrera 41 con 7"/>
        <s v="Carrera 39 #5d-09"/>
        <s v="Carrera 69 # 1-74"/>
        <s v="Carrera 62 #2a -97"/>
        <s v="Calle 4 con 61 a"/>
        <s v="Carrera 42 #5-25"/>
        <s v="Calle 1b # 55 - 25"/>
        <s v="carrera 1 B2 # 72 -15"/>
        <s v="Calle 34an #2an -70"/>
        <s v="Avenida 4B norte # 52N 76"/>
        <s v="Calle 19 Oeste 4A-30"/>
        <s v="Carrera 56 # 3 -26"/>
        <s v="Carrera 59 #5-39"/>
        <s v="Carrera 39 # 9b -06"/>
        <s v="Calle 52 # 3-20"/>
        <s v="Calle 21n # 5bn -22"/>
        <s v="Calle 9c #31A-25"/>
        <s v="Carrera 59 #1E-45"/>
        <s v="Calle 38 #5n-30"/>
        <s v="Calle 12c #29b-115"/>
        <s v="Calle 12 C # 31-23"/>
        <s v="Carrera 44 #12a -17"/>
        <s v="Carrera 3a #6-38"/>
        <s v="Carrera 40 #40-04"/>
        <s v="Calle 31N #6bis 32"/>
        <s v="Avenida 6b norte 28n -56"/>
        <s v="Carrera 56 #1b-81"/>
        <s v="Calle 12B#23-24"/>
        <s v="Carrera 56 # 3-88"/>
        <s v="Calle 5B1 #29-75"/>
        <s v="Carrea 5 b con 39"/>
        <s v="Avenida 6N # 44-31 La Campiña"/>
        <s v="Calle 5 b 2 # 38-91"/>
        <s v="Calle 1A #22-06"/>
        <s v="carrera 46 # 8b -95"/>
        <s v="Carrera 4 con 9"/>
        <s v="Carrera 83 #15-76"/>
        <s v="Calle 6 carrera 13"/>
        <s v="Carrera 24 # 07 -11"/>
        <s v="Carrera 58 No. 3-125"/>
        <s v="Carrera 36a bis # 6-66"/>
        <s v="Carrera 36 # con 5"/>
        <s v="Carrera 72 #10a - 10"/>
        <s v="Avenida 2b2 # 73 bis -99"/>
        <s v="Carrera 98 #48-30"/>
        <s v="Calle 8b #45- 15"/>
        <s v="Calle 5 con 56"/>
        <s v="Carrera 37 #4A Bis - 49"/>
        <s v="Avenida 6ta Oeste # 13-115"/>
        <s v="Carrera 34 #13-51"/>
        <s v="Carrera 36 #5B3-62"/>
        <s v="Carrera 94c #2-46"/>
        <s v="Calle 23N # 3N-63"/>
        <s v="Carrera 36C #5B1-81"/>
        <s v="Carrera 90 # 54C - 50"/>
        <s v="Calle 25Norte # 5bn - 45"/>
        <s v="Carrera 30a # 6 -17"/>
        <s v="Calle 10 Oe 36B 151"/>
        <s v="Calle 62B 1A9-80 Sector 6, Agrupacion 4, Torre i"/>
        <s v="carrera 40 # 4 - 30"/>
        <s v="Carrera 30 # 5a - 52"/>
        <s v="calle 1 e # 56-205"/>
        <s v="Carrera 96 # 59 42"/>
        <s v="calle 9 con carrera 39"/>
        <s v="Cra 64A # 13A-74"/>
        <s v="Carrera 41 #7-05"/>
        <s v="Calle 5C #39-41"/>
        <s v="carrera 28 e6 calle 123 a 1-03"/>
        <s v="Avenida 3 CN #61N-40"/>
        <s v="Carrera 39 # 4b - 29"/>
        <s v="Carrera 39 # 4b-13"/>
        <s v="Calle 2 # 66b -89"/>
        <s v="Calle 7 Oeste # 35 - 09"/>
        <s v="Avenida 3F Nte #55N-120"/>
        <s v="Carrera 76 #13a -05"/>
        <s v="calle 55c # 47-96"/>
        <s v="Calle 6 #5-14"/>
        <s v="Calle 2a #60a-60"/>
        <s v="Calle 14# 54-15"/>
        <s v="Cra 57 # 2a-95"/>
        <s v="AV 11 NORTE 7 - 178"/>
        <s v="Cra 64 # 6a 57"/>
        <s v="Carrera 14 #55-15"/>
        <s v="calle 13d 57-81"/>
        <s v="Calle 25 # 24 - 98"/>
        <s v="Carrera 24e Oeste # 6 - 41"/>
        <s v="Calle 34 A Norte # 2 A 70"/>
        <s v="Av. 7 Norte # 24N - 09"/>
        <s v="Calle 45 Nte #7n-27"/>
        <s v="carrera 15 # 12 - 60"/>
        <s v="calle 76 # 28 - 20"/>
        <s v="Carrera 36A 5B1-37"/>
        <s v="calle 4 # 73 91"/>
        <s v="Carrera 6ta # 26 G 22"/>
        <s v="calle 26C # 41a -19"/>
        <s v="calle 2c # 65 56"/>
        <s v="calle 1A oeste KR 100 bis 61"/>
        <s v="Carrera 94b1- calle 2abis"/>
        <s v="Calle 55 norte 2 an 107"/>
        <s v="calle 3D 75 a 30"/>
        <s v="Cra 24 3 # 7 - 86"/>
        <s v="cra 25 # 2 oeste - 41"/>
        <s v="calle 64 Norte # 4 - 90"/>
        <s v="Cra 36c # 5b5 - 84"/>
        <s v="Calle 72 n # 26h3 -27"/>
        <s v="Carrera 62 #9-280"/>
        <s v="Calle 10 # 10 - 13"/>
        <s v="Carrera 7 # 14 - 154"/>
        <s v="calle 11b #58 37"/>
        <s v="Avenida 5ta norte con 37an"/>
        <s v="Av 6 oeste # 5 oeste - 93"/>
        <s v="Av 4b Nte # 58N - 60"/>
        <s v="Calle 28 # 86-80"/>
        <s v="calle 4b# 35-31"/>
        <s v="Calle 63 Norte # 3EN-60"/>
        <s v="sede educativa san pedro, Montebello-- Avenida Los Estudiantes, sector La Escuela"/>
        <s v="Institucion educativa Andres Lenis- Montebello- vereda Campo Alegre"/>
        <s v="Avenida 43 Oeste # 5A-49"/>
        <s v="Avenida 7 N #66-04"/>
        <s v="Carrera 59 #1d-48"/>
        <s v="Calle 15 #7-79"/>
        <s v="Carrera 2 #19-51"/>
        <s v="Calle 13 #9-20"/>
        <s v="calle 7 #37-04"/>
        <s v="calle 17 # 17n-44"/>
        <s v="calle 44n #6dn-42"/>
        <s v="Avenida 5n #43-51"/>
        <s v="calle 5b2 #36c-40"/>
        <s v="Avenida 4n #8n-24"/>
        <s v="Calle 12a #56-60"/>
        <s v="Carrera 47 #3a-25"/>
        <s v="Carrera 45 #1a-31"/>
        <s v="Avenida 7norte #44-44"/>
        <s v="Carrera 125 #19-58"/>
        <s v="Calle 2b bis #94b1-15"/>
        <s v="Calle 4 #85-39"/>
        <s v="Carrera 42 #5c-48"/>
        <s v="Calle 6 #74a-50"/>
        <s v="Calle 10 #8-27"/>
        <s v="Carrera 56 # 2-157"/>
        <s v="Calle 8 #32-07"/>
        <s v="Calle 4a oeste #94-34"/>
        <s v="Avenida 2ds norte #7n-66"/>
        <s v="Carrera 59a #5-41"/>
        <s v="Calle 2a #93-68"/>
        <s v="Avenida 6n #30n-54"/>
        <s v="Avenida 2d norte #24n-17"/>
        <s v="Calle 7 #30-25"/>
        <s v="Calle 10 #65a-66"/>
        <s v="Avenida 6bn #35-34"/>
        <s v="Cra. 1D2 # 52-109"/>
        <s v="Avenida 6n #28-83"/>
        <s v="Carrera 2 oeste #21-94"/>
        <s v="Calle 48 #92-107"/>
        <s v="Calle 1c #66b-100"/>
        <s v="Calle 12a #29b-78"/>
        <s v="Avenida 10n #21-06"/>
        <s v="Calle 23n #6an-17"/>
        <s v="Avenida 3n #23bn-43"/>
        <s v="Calle 25 #127-100"/>
        <s v="Carrera 24b #33c-150"/>
        <s v="Carrera 46a #12-36"/>
        <s v="Calle 9 #38-06"/>
        <s v="Calle 10A # 49A - 11"/>
        <s v="Carrera 33 #10-39"/>
        <s v="Calle 8 oeste #4-32"/>
        <s v="Avenida 8 n #46n-27"/>
        <s v="Calle 48n #con avenida 4"/>
        <s v="Calle 3 #63-34"/>
        <s v="Carrera 33b #27-43"/>
        <s v="Calle 6 #5-50"/>
        <s v="Calle 5 #35-38"/>
        <s v="Calle 7 #10-82"/>
        <s v="Calle 8 #32-32"/>
        <s v="Carrera 37a #6-43"/>
        <s v="Carrera 44 #14-71"/>
        <s v="Calle 2a #66-56"/>
        <s v="Carrera 42 #5a-39"/>
        <s v="Carrera 86a #5-10"/>
        <s v="Calle 1A Oeste # 100A-12"/>
        <s v="Carrera 41a oeste #1b-57"/>
        <s v="Calle 9b #50-15"/>
        <s v="Carrera 17 #39-87"/>
        <s v="Calle 2a #92-10"/>
        <s v="Calle 11 #3-25"/>
        <s v="Avenida 5n #4n-116"/>
        <s v="Calle 2a #18-60"/>
        <s v="Calle 1a oeste #73d-19"/>
        <s v="Carrera 66 #2b-4"/>
        <s v="Avenida 6n #37bn-50"/>
        <s v="Carrera 56 #5-152"/>
        <s v="CALLE 17 # 85 C- 44"/>
        <s v="Carrera 2 #59B"/>
        <s v="Carrera 42a #5C-67"/>
        <s v="carrera 69 # 2 c 02 y calle 2 c # 69-01"/>
        <s v="calle 70 bis # 4 cn 103"/>
        <s v="calle 17 85 c 44"/>
        <s v="Carrera 7Pbis # 62-124"/>
        <s v="Carrera 30 # 9 50"/>
        <s v="Calle 1d oeste # 100bis -76"/>
        <s v="carrera 47 c 7 sur # 28"/>
        <s v="Calle 45 norte # 6DN - 39"/>
        <s v="Calle 30 Norte # 2BN-42"/>
        <s v="Calle 40 Norte # 6A-45"/>
        <s v="calle 30 a # 29 a 109"/>
        <s v="calle 57N #2BN-30"/>
        <s v="Carrera 36B con 9"/>
        <s v="calle 3 # 23 b -93"/>
        <s v="Calle 12#15-51"/>
        <s v="Calle 1B #60 - 44"/>
        <s v="Calle 9 # 44-56"/>
        <s v="Avenida 4B Norte # 52N-70"/>
        <s v="transversal 29 # 23-09"/>
        <s v="Calle 63 Norte # 3e-60"/>
        <s v="Calle 5 #27-09"/>
        <s v="Calle 10 Oeste #27-48"/>
        <s v="Calle 58nte # 5b N - 62"/>
        <s v="Calle 22 A # 118-100"/>
        <s v="Calle 62 Norte No. 3GN – 80"/>
        <s v="Carrera 115 # 18-43"/>
        <s v="Calle 34AN # 2BN-120"/>
        <s v="Calle 50 # 92-56"/>
        <s v="Avenida 5 ta Oeste # 16-13"/>
        <s v="Calle 10 No. 39-19"/>
        <s v="Calle 55 # 98-58"/>
        <s v="Carrera 14 13A 2 (6,8,10)"/>
        <s v="Calle 13 A 13 A 110 (122)"/>
        <s v="Carrera 14 13-90"/>
        <s v="Calle 35 AN # 2BN-109"/>
        <s v="Carrera 3 # 57b -72"/>
        <s v="Calle 13 13-84"/>
        <s v="carrera 13 # 10 - 128"/>
        <s v="Carrera 56 con calle 3ra"/>
        <s v="carrera 94 # 1a oeste - 03"/>
        <s v="Cra 93 A Oeste #3a-23"/>
        <s v="Carrera 1g # 51-40"/>
        <s v="carrera 85E 28-06"/>
        <s v="Calle 33 No. 94-210"/>
        <s v="Calle 4 66-49"/>
        <s v="avenida 6an # 6 -104"/>
        <s v="Calle 14 # 18a - 24"/>
        <s v="Cra 48 3a 53"/>
        <s v="Avenida 4b norte # 58 N 62"/>
        <s v="Carrera 94c #2-82"/>
        <s v="Carrera 27#10a-57"/>
        <s v="Avenda 2a # 75en -47"/>
        <s v="carrera 39 4b 63"/>
        <s v="Carrera 76 # 2A-31"/>
        <s v="Calle 3A # 22-58"/>
        <s v="Carrera 83 # 6a - 32 alqueria c -403 c"/>
        <s v="Calle 5# 14-37"/>
        <s v="Calle 53 # 36 25"/>
        <s v="calle 2 # 93"/>
        <s v="carrera 65 # 3 a- 34"/>
        <s v="Calle 45 98a 28"/>
        <s v="Calle 45 98a 32"/>
        <s v="calle 2c # 94bis 1b - 23"/>
        <s v="Calle 10 # 65A-51"/>
        <s v="Cra 24b #39-18"/>
        <s v="Carrera 18 oeste 4 -68"/>
        <s v="Carrera 25 U 72 U 26"/>
        <s v="Carrera 1D #53 -140"/>
        <s v="Carrera 36A 5-145"/>
        <s v="carrera 72 13A1 -40"/>
        <s v="Cra 72 # 13A-56"/>
        <s v="Calle 62 b1 # a9 -365"/>
        <s v="Calle 2 # 66 B 129"/>
        <s v="PH AV 9 norte # 25-32"/>
        <s v="Calle 7 # 14 a-67"/>
        <s v="calle 52 # 1E -53"/>
        <s v="Av. de las Americas #22 Norte-45"/>
        <s v="Calle 30 Norte # 5N - 35"/>
        <s v="Calle 2b # 66 - 52 Arboleda 1"/>
        <s v="carrera 77 #1c - 140"/>
        <s v="Cra. 56 #5-80"/>
        <s v="Carrera 31A # 14C - 47"/>
        <s v="calle 44 norte # 7 -60"/>
        <s v="Calle 47n #2i -24"/>
        <s v="Carrera 36 b# 5b2-21"/>
        <s v="Calle 5 No. 37A 65"/>
        <s v="Carrera 13 # 6-32."/>
        <s v="Calle 56norte # 2hn-33"/>
        <s v="Carrera 84 No. 13B 11"/>
        <s v="carrera 36a 5B 1-37"/>
        <s v="calle 2 A bis 94B1 -43"/>
        <s v="calle 56#84~33"/>
        <s v="Cra77a #3D-56"/>
        <s v="Calle 16 # 29A-105"/>
        <s v="Calle 6 No. 43-66"/>
        <s v="Calle 28 # 98-75"/>
        <s v="Calle 4 c # 35 A 07"/>
        <s v="Carrera 86 17-35"/>
        <s v="Cl. 13 #80 - 187"/>
        <s v="Calle 13 #75 - 85"/>
        <s v="Ara carrera 70"/>
        <s v="Carrera 38 # 5b1 - 39"/>
        <s v="Carrera 94B 2 -190"/>
        <s v="Calle 5b2 #37a - 50"/>
        <s v="Carrera 85 D # 55-100"/>
        <s v="Calle 83c #22-08"/>
        <s v="Diagonal 23 # 10b - 54"/>
        <s v="Calle 9 #40-24"/>
        <s v="Calle 5b2 # 37 A-75"/>
        <s v="Carrera108 # 44-75"/>
        <s v="Calle 63 norte # 3e - 70"/>
        <s v="Carrea 16 # 8A 18"/>
        <s v="Carrera 34 # 13-51"/>
        <s v="Calle 2b 66A 46"/>
        <s v="Corregimiento de Golondrinas sector la María, casa Ariel Montero"/>
        <s v="carrera 23 # 8 - 07"/>
        <s v="Carrera 7B #82-18"/>
        <s v="Calle 9 # 42-78"/>
        <s v="calle 70 # 7j - 04"/>
        <s v="Carrera 39d# 56-101"/>
        <s v="Carrera 47 #4-157"/>
        <s v="Carrera 48 # 4-71"/>
        <s v="Av 6AN # 23N-90"/>
        <s v="Calle 5B2 # 38-91"/>
        <s v="Calle 26 Norte # 2BN 15"/>
        <s v="Carrera 94 C # 3-46"/>
        <s v="Carrera 92 # 25-81"/>
        <s v="Carrera 1D1 # 53-140"/>
        <s v="Carrera 41a # 31- 28"/>
        <s v="Carrera 36B # 5B2 - 04"/>
        <s v="carrera 15 # 43 - 28"/>
        <s v="Calle 5B 2 #36c-03"/>
        <s v="Carrera 35 # 14-42"/>
        <s v="Calle 9 # 24 20"/>
        <s v="Calle 1B 55-25"/>
        <s v="Calle 4 con 61A"/>
        <s v="carrera 94b oeste #1b-65"/>
        <s v="Calle 5b3 # 37 - 85"/>
        <s v="Calle 6# 13-49"/>
        <s v="calle 2A Bis # 82-10"/>
        <s v="cra 28 #5b -117"/>
        <s v="Calle 70 C1 #1a 4C-33"/>
        <s v="Carrera 22 # 11A-34"/>
        <s v="Carrera 32 #12c-25"/>
        <s v="Calle 33 #67B 62"/>
        <s v="Cra 1C3 #65-24"/>
        <s v="Calle 10 #12-39"/>
        <s v="Carrera 24c Oeste # 6 - 11"/>
        <s v="Carrera 5L con Calle 39"/>
        <s v="Calle 3 # 66 - 38"/>
        <s v="Calle 3 D # 66B-42"/>
        <s v="Calle 2B # 94-10"/>
        <s v="Carrera 86A#5-10"/>
        <s v="Cr 1c bis 67-42"/>
        <s v="Carrera 35 #29 - 74"/>
        <s v="Calle 38A Norte – Av. 2B Norte"/>
        <s v="Calle 5 # 45A-125"/>
        <s v="Av. 2 B2 Norte 73-151"/>
        <s v="Calle 38 Norte con Avenida 2E Norte"/>
        <s v="Carrera 34 # 25 -42"/>
        <s v="Kilómetro 4 via la buitrera"/>
        <s v="Calle 5B2 con Carrera 36A Edificio el Estadio"/>
        <s v="Avenida 3 # 37 -26"/>
        <s v="Avenida 3 # 35N - 76"/>
        <s v="Av. 6 con Calle 44, esquina – Edificio A Caner Llanera"/>
        <s v="CRA 39 # 5B-22"/>
        <s v="Corregimiento La Paz, Via Golondrinas,https://maps.app.goo.gl/tdiqNxax5rBKegBK7"/>
        <s v="Calle 7 OE Avenida 43B 33"/>
        <s v="Calle 14 # 54-15"/>
        <s v="Carrera 35 4-40"/>
        <s v="Avenida 43 # 10A-54"/>
        <s v="Calle 64N 4 - 35"/>
        <s v="Avenida 5 Oeste # 23-12"/>
        <s v="Calle 13B # 66B-56 – Unidad Bosques de la Fontana"/>
        <s v="Calle 62B cra1A 9-365 sector 1 Agrupación 5 Torre A"/>
        <s v="Calle 126 # 23-24"/>
        <s v="Avenida 3N # 35n - 76"/>
        <s v="Sector 6 agrupación torre B apto 11"/>
        <s v="Calle 38 Norte #2bn - 173"/>
        <s v="Calle 14c No.48-55 Apto 204c unidad residencial Rincón del Parque, barrio la Selva"/>
        <s v="carrera 13 # 5 - 31"/>
        <s v="Avenida 43 oeste #10a-54"/>
        <s v="Carrera 71A 10bis-19"/>
        <s v="CAlle 51 Norte # 3 an 175"/>
        <s v="Carrera 9c # 30 - 37"/>
        <s v="Avenida 4 Norte # 7N-53 – Edificio/Torre de Consultorios"/>
        <s v="Cra 83 oeste # 1B - 04"/>
        <s v="av 6 a norte # 38-60 Alameda de chipichape 3"/>
        <s v="Calle 13 # 53-45 – Unidad Villa Marcela Revisar Aptos: 202 -201-102 B; 101- 102 A"/>
        <s v="Calle 51 # 8-58"/>
        <s v="Calle 5B3 Bis # 38-25"/>
        <s v="Calle 5b3 bis # 31 21"/>
        <s v="Carrera 1F # 58-50, Conjunto Punta del Este"/>
        <s v="Calle 5b 3bis # 38 - 32"/>
        <s v="Calle 55A Norte # 2AN-99 y # 2AN-107"/>
        <s v="Calle 2A Bis # 82A-23"/>
        <s v="Carrera 26P # 103D-17"/>
        <s v="Calle 82 # 7b bis-12 - unidad atalaya"/>
        <s v="Calle 64N #4-35. Apto 1001C Paseo real 3"/>
        <s v="los andes calle 56 con carrea 1d2 Edificio portal del encinar"/>
        <s v="carrera 41 con roosvelt"/>
        <s v="Calle 41 con Carrera 7"/>
        <s v="carrera 38a # 7 - 5 , hotel flamingo"/>
        <s v="calle 5# 13-58"/>
        <s v="Edificio afectado Calle 8c #47-35 barrio nueva tequendama, edificio cerca a Palmetto"/>
        <s v="calle 5 #23-33 2do piso---- colapso de teccho en tres hacbitaciones , 5 familias en la edificacion----"/>
        <s v="Reporta persona atrapada en el apartamento, la puerta se dañó y no ha podido evacuar, Calle 58 Nte #5b N - 62, @sebas.avila.cabal"/>
        <s v="Daños en Carrera 96 #2a-11, reenvía Catherine de CITEL"/>
        <s v="Carrera 1 G # 59 - 04, en el barrio Paseo de los Almendros, frente al Polideportivo Dakota."/>
        <s v="Para reportar que se cayó 2 edificios en el conjunto residencial bariloche carrera 53 # 13-65 bloque 7 - 102 hay personas de la tercera edad en silla de ruedas, barrio Primero de Mayo."/>
        <s v="edificio frente a la DIAN antiguo colpátria"/>
        <s v="Afectaciones en unidad residencial, Calle 69 # 5-85, Johana Tovar, @kennyjohanatovar"/>
        <s v="teatro municipal Carrera 5 # 6-64"/>
        <s v="Carrera 61A # 3-114 Edificio San Antonio"/>
        <s v="Hotel la luna, calle 13 con autopista suroriental"/>
        <s v="Carrera 4 con calle 10- Casinno aladdin"/>
        <s v="DOLLAR CITYD Carrera 3 # 69-59"/>
        <s v="carrera 9 #19-20 barrio sucre"/>
        <s v="Carrera 3N #24-58"/>
        <s v="Carrera 12 #9-55"/>
        <s v="calle 5 con 57"/>
        <s v="edificio contiguoa a la iglesia de la Ermita"/>
        <s v="Calle 18a #55-105 Samanes de Guadalupe"/>
        <s v="carrera 66 con 13"/>
        <s v="calle 9 con 45"/>
        <s v="calle 9 con 44"/>
        <s v="Carrera 25 # 3- 51 Oeste San Fernando"/>
        <s v="Calle 13A#85C -27"/>
        <s v="edificio capitolio 5 con 66"/>
        <s v="palacio de justicia en plaza de caycedo"/>
        <s v="Calle 14 con Carrera 66 – Edificio Parques de la Fontana"/>
        <s v="Unidad residencial Villa Marcela calle 13#53-45"/>
        <s v="calle 5 #40-90 edi."/>
        <s v="Avenida 10 Norte # 7N-130, Edificio Colinas de Juanambu"/>
        <s v="carrera 72 con 7bis capri"/>
        <s v="calle 5B con carrera 42a parroquia la asencion-"/>
        <s v="Calle 7 #19 -74, Alameda"/>
        <s v="Carrera 12 #4-10 edificio esquina, San Cayetano"/>
        <s v="Avenida guadalupe con 3a-"/>
        <s v="Carrera 2bn 72d04 floralia"/>
        <s v="calle 59 y 62 #8-100 barrio la base unidad marco fidel suarez"/>
        <s v="Carrera 72 #10bis-21 torre b comuna 17"/>
        <s v="calle 2bis #76-09 barrio colinas del sur"/>
        <s v="Avenida 7b oeste 19a56, Terrón Colorado"/>
        <s v="calle 18 #85c-47 edificio la zafra"/>
        <s v="calle 77 #28f-95"/>
        <s v="Calle 2 B # 66 A 46, Colegio San José Refugio"/>
        <s v="Carrera 34 #5b-77 san fernando"/>
        <s v="universidad UNAD- roosvelt"/>
        <s v="Av. 5 Nte. #22 Norte-2 a 22 Norte-100"/>
        <s v="Calle 79e casa 2010"/>
        <s v="Calle 59 #1C-73 Torres de comfandi conjunto B"/>
        <s v="antigua clinica saludcop Calle 9 # 29 (Calle 9 con Carrera 30, barrio Champagnat / La Alameda)."/>
        <s v="Calle 8 c #47-35"/>
        <s v="Calle 3D 69-33"/>
        <s v="Carrera 17f #3012 Droguería Superior"/>
        <s v="Carrera 66 con Calle 12"/>
        <s v="avenida roosvelt con 26"/>
        <s v="Calle 21N#4-09"/>
        <s v="calle 5b con 36 edificio los profesiol}nales"/>
        <s v="carrera 17 con calle 15"/>
        <s v="Carrera 39 #5E-46"/>
        <s v="Carrera 36 con 5b3 detras del estadio pascual guerrero"/>
        <s v="Avenida 9 norte con 21- edificio de ancianos"/>
        <s v="Avenida Roosevelt #39A-20"/>
        <s v="Calle 42 Nte. # 7 - 71 conjunto Terrazas de Chipichape"/>
        <s v="calle 1 bis 70-34 edificio las palmas"/>
        <s v="Carrera 70 #1c-70 barrio caldas. torres de san mitchel"/>
        <s v="Carrera 39 # 5E-46, edificio Bachue"/>
        <s v="Calle 2#2-33"/>
        <s v="calle 6 con 13, toda la cuadra"/>
        <s v="calle 7 #35-10 - 35-12el templete"/>
        <s v="Avenida 3 norte 21-22 edificio calima, barrio Versalles"/>
        <s v="salud total, avenida de las amenricas Avenida 3 Norte # 19N-03, Barrio San Vicente."/>
        <s v="calle 38 norte 3#gn-09 ed. torre ddel prado"/>
        <s v="carrera 66 #9-81"/>
        <s v="Edifico Comfenalco Cambulos"/>
        <s v="Carrera 15 #20-08"/>
        <s v="Carrera 98f #58.66 unidad indigo"/>
        <s v="calle 5 con 13"/>
        <s v="calle 12 oeste #54-130"/>
        <s v="Avenida 10 norte #7n.130 colinas de"/>
        <s v="call 8 entre 32 y 32a"/>
        <s v="calle 36 con 5"/>
        <s v="corregimiento de golondrinas- sector la maria"/>
        <s v="Carrera 37a #3bis-19 lomas de san fernando torre 1"/>
        <s v="Carrera 43 #6a -115 nueva tequendama 6"/>
        <s v="calle 13e #55-02"/>
        <s v="kilometro 10.5 altos del rosario corregimiento de la buitrera"/>
        <s v="edificio altavista 2000"/>
        <s v="Calle 2c #65-22, La Cascada, Cali, Valle del Cauca"/>
        <s v="calle 9 con 54"/>
        <s v="calle 2c #93-42 melendez"/>
        <s v="Avenida 4bnorte #58-n60 paseo real- la flora"/>
        <s v="Calle 14c #49a-29 las camelias"/>
        <s v="Carrera 44a con 10"/>
        <s v="Carrera 78 #1a-176 prados del sur"/>
        <s v="Calle 5 con 36"/>
        <s v="El colegio José Holguín garses y las escuelas del sector ulpiano lloreda y anamaría lloreda sector terrón colorado"/>
        <s v="CALLE 43N 8N30 LA CAMPIÑA CASA DE JAIRO"/>
        <s v="Carrera 53 con calle 12"/>
        <s v="calle 22 norte 9-87"/>
        <s v="Carrera 43 # 5C-34&#10; Barrio Tequendama- Fundación Lazzos de Amor"/>
        <s v="Carrera 23D # 13-31"/>
        <s v="Avenida Los Estudiantes, sector La Escuela – Sede Educativa San Pedro"/>
        <s v="Vereda Campo Alegre – Institución Educativa Andrés Lenis"/>
        <s v="Felidia- sin direccion"/>
        <s v="Carrera 72a #13a-80"/>
        <s v="Calle 5b1 #29-17"/>
        <s v="parroquia nuestra señora de los andes- Validar"/>
        <s v="Calle 23n #6an-17 antigu ed- dinners"/>
        <s v="Avenida 3n #23bn-43 Ed. España"/>
        <s v="Carrera 94 #2-20"/>
        <s v="Calle 48n #4bn-42 Ed. petriza"/>
        <s v="Carrera 2 #59B, esquina"/>
        <s v="Calle 1d oeste # 100bis -76 Torre 87"/>
        <s v="calle 57N #2BN-30 Piso 02 B/Ciudad los Álamos, Cali"/>
        <s v="CALLE 55 A NORTE NROS. 2-AN-99 Y 2-AN-107"/>
        <s v="Av 1 oeste # 6-28 piso 1"/>
        <s v="calle 5c #29-54"/>
        <s v="Ave 2 bn 32 an 33 - rincón de la flora dos etapa d"/>
        <s v="Calle 47 norte # 2i-24 edificio 3 pisos"/>
        <s v="Calle 12-A. No 50-25"/>
        <s v="Carrea 36 c # 5 B 1-60"/>
        <s v="Calle 55A # 30B-50"/>
        <s v="calle 3 # 71-03"/>
        <s v="Cra 7Lbis # 76-96"/>
        <s v="Carrera 32 # 12C-25"/>
        <s v="Carrera 15 # 8 - 50 hasta el 56"/>
        <s v="Calle 99 # 55 - 250"/>
        <s v="Carrer 100 # 34 96"/>
        <s v="Carrera 14 # 5-19"/>
        <s v="Carrera 8 # 10 - 47"/>
        <s v="Carrera 38 # 9a Oste -50"/>
        <s v="Carrera 14 # 74-55"/>
        <s v="Avenida 10n # 7n -10 apart 502"/>
        <s v="Calle 2 #66B-19, apto 203"/>
        <s v="Calle 79 # 9A-32"/>
        <s v="carrera 41a #16_40"/>
        <s v="Calle 5 B 3 # 38 16"/>
        <s v="Cra 1 No. 4 A 70D 08 bloque 95 apto 101"/>
        <s v="Calle 10 # 21 47"/>
        <s v="Carrera 36d #12 oeste - 143"/>
        <s v="Carrera 59# 1-10"/>
        <s v="Calle 14 #42-12"/>
        <s v="Avenida 4 con 37 A"/>
        <s v="Avenida 3H con Calle 37 (prados del Norte)"/>
        <s v="CAlle 10 #12-63"/>
        <s v="Calle 10 #12-69"/>
        <s v="Calle 39 N avenida 36 Esquina entre 3H y 36 (la juana)"/>
        <s v="Calle 12 A Norte 6N 50 (bloque 3 apto 902)"/>
        <s v="Calle 42 # 7 - 49"/>
        <s v="Calle 8 A No. 42-56"/>
        <s v="Carrera 27 No. 4 Oeste-74"/>
        <s v="Cl. 13c #49-15"/>
        <s v="Calle 26 norte #6-13"/>
        <s v="Calle 2c # 66b -47"/>
        <s v="Carrea 38 # 55 a 29"/>
        <s v="Calle 12A-No.57-21CR Palmar de Coomeva II"/>
        <s v="Calle 7 oeste avenida 43B-33"/>
        <s v="Calle 3 oeste # 94A-35"/>
        <s v="avenida Guadalupe # 2-157"/>
        <s v="Calle 2 # 66B-87"/>
        <s v="Calle 72W # 28B1-06"/>
        <s v="calle 2A 93A - 176"/>
        <s v="Calle 9 # 27 - 60 Alameda"/>
        <s v="Cl 12A #56-25"/>
        <s v="Calle 3 oeste No 94A35 Barrio alto Polvorines"/>
        <s v="Calle 12A-No.57-21"/>
        <s v="Calle 8 # 42 - 55"/>
        <s v="Calle 51 # 8H - 10"/>
        <s v="Carrera 42A1 #42-88"/>
        <s v="Cra. 23 #8-07"/>
        <s v="Calle 13 oeste # 55 - 72 Edificio Gualanday"/>
        <s v="Calle 13c # 49 -15 conjunto multifamiliar triveca"/>
        <s v="Calle 7 # 30-21"/>
        <s v="Avenida 6N #26N -36"/>
        <s v="Carrera 2b # 78 -03"/>
        <s v="Carrera 97 #2a -50"/>
        <s v="Carrera 100 oeste #1B-26"/>
        <m/>
        <s v="Calle 72 P # 26 H 3 - 58"/>
        <s v="Calle 4b # 35 - 19 Edificio amarillo"/>
        <s v="Carrera 38 # 6-58"/>
        <s v="Carrera 28 # 7 -47"/>
        <s v="Carrera 27 #5B-29"/>
        <s v="Carrera 23d # 10a - 02"/>
        <s v="Carrera 42 # 6-29"/>
        <s v="Avenida las americas # 22n _45 fondo nacional del ahorro"/>
        <s v="Carrera 56 # 5 -80"/>
        <s v="Calle 71 a # 2 C 68"/>
        <s v="Carrera 24 #7-71"/>
        <s v="Cra 16 #9-30"/>
        <s v="Carrera 50B con Avenida 12 Oeste"/>
        <s v="Calle 4b #39-47"/>
        <s v="Calle 12 # 39-40"/>
        <s v="Avenida 5B Norte # 64-80 Apartamento 402 Torre A"/>
        <s v="Calle 5B #52A - 5"/>
        <s v="Cra 36b #5-127"/>
        <s v="Carrera 48 # 4-163"/>
        <s v="Calle 13 # 13 -86"/>
        <s v="Carrera 12 D 30 08"/>
        <s v="Carrera 62 #2A-96"/>
        <s v="Calle 13A # 39-51"/>
        <s v="Carrera 51 # 8h-10"/>
        <s v="Carrera 42A1 #42-88  B// union de vivienda popular "/>
        <s v="Calle 8 22 87"/>
        <s v="Call 42 a cr 47 b 41 marianos ramos"/>
        <s v="calle 63 #23-36 Nueva floresta"/>
        <s v="CRA 43A # 13-77 barrio Guabal"/>
        <s v="calle 5B1 29-51"/>
        <s v="Calle 2 #66B-93"/>
        <s v="Vereda las pilas del cabuyal casa 15 b"/>
        <s v="Calle 11 # 13-79"/>
        <s v="Calle 48Nte #4A-80"/>
        <s v="Calle 9 3-38"/>
        <s v="Calle 4ta # 58-70 cuarto de legua edificio Mariana lloreda"/>
        <s v="Carrera 26T #73-136  "/>
        <s v="Avenida 2AN # 39- 213 "/>
        <s v="Calle 99 39 00"/>
        <s v="Calle 64 1 ibis -02 B//la rivera guayacanes "/>
      </sharedItems>
    </cacheField>
    <cacheField name="Referencia">
      <sharedItems containsBlank="1" containsMixedTypes="1" containsNumber="1" containsInteger="1">
        <m/>
        <s v="-"/>
        <s v="Edificio Ana del Pilar"/>
        <s v="Edificio de 3 Pisos"/>
        <s v="Edificio Punto Rojo"/>
        <s v="Hotel La Luna"/>
        <s v="Parroquia La Ascensión del Señor"/>
        <s v="Torre G"/>
        <s v="Quintapan"/>
        <s v="Barrio el refugio"/>
        <s v="Hospital Carlos Holmes Trujillo"/>
        <s v="N/A"/>
        <s v="Molino Rojo"/>
        <s v="Bodega de reciclaje"/>
        <s v="Edificio el cafe"/>
        <s v="Coliseo Pueblo"/>
        <s v="Colegio Adventista"/>
        <s v="Edificio Torres del Limonar"/>
        <s v="Centro comercial la fortuna"/>
        <s v="Iglesia san fracisco"/>
        <s v="Sector 3 – Chiminangos"/>
        <s v="Clínica Nuestra Señora del Rosario"/>
        <s v="Torres de santiagp de cali"/>
        <s v="C.C. La Fortuna"/>
        <s v="Clínica Al Alba"/>
        <s v="Clinica Rey David"/>
        <s v="Clinica Sanitas"/>
        <s v="Clinica Cali"/>
        <s v="Asturias"/>
        <s v="Ancianato San Miguel"/>
        <s v="Bosques de Puente Palma"/>
        <s v="Unidad Residencial Manigua"/>
        <s v="Edificio Altos de Santa Elena, Etapa I"/>
        <s v="Edificio Santorini–Mikonos"/>
        <s v="Unidad Torres de Buganvilias"/>
        <s v="Edificio Vanessa"/>
        <s v="Hogar Héroes de Vida y Amor"/>
        <s v="EDIFICIO ALMINAR"/>
        <s v="Clinica Colombia"/>
        <s v="Clinica Versalles"/>
        <s v="Hospital Universitario del Valle (HUV)"/>
        <s v="IPS CRISTOBAL COLON"/>
        <s v="Clinica de Colores"/>
        <s v="Edificio Liliana"/>
        <s v="Conjunto familiar atabanza"/>
        <s v="IPS Salud total"/>
        <s v="Las Violetas , pampalinda,"/>
        <s v="Mantis"/>
        <s v="Edificio Torres de Salomia"/>
        <s v="Edificio Maria Josefa"/>
        <s v="Unidad Residencial Las Palmas"/>
        <s v="Edificio - Torre Mantis"/>
        <s v="Edificio Guanacaste"/>
        <s v="Edificio Altamira"/>
        <s v="Edificio Las Camias del Sur,"/>
        <s v="Detras del edificio miroliving"/>
        <s v="Conjunto Residencial La Alquería B"/>
        <s v="Fundación Pre-Renal"/>
        <s v="Edificio Las Mercedes"/>
        <s v="Edificio Cantabria"/>
        <s v="Unidad Residencial Los Yarumos"/>
        <s v="Torre Limonar,"/>
        <s v="Edificio Torre de Guadalupe"/>
        <s v="Edificio Yuliano"/>
        <s v="Banco de Occidente"/>
        <s v="Edificio Mar Isa"/>
        <s v="Clínica Tequendama"/>
        <s v="Edificio torres de badalona"/>
        <s v="Santiago de cali - bloque 141 apar 103"/>
        <s v="Villa del mar"/>
        <s v="Centro ABC - Colegio"/>
        <s v="Santa Ana de Guadalupe"/>
        <s v="Riberas del río torre Volga"/>
        <s v="Urbanizacion tequendama"/>
        <s v="Refugio campestre"/>
        <s v="Torres de limonar"/>
        <s v="Edificio Farallones"/>
        <s v="Unidad prado de horizonte etapa 1 - apart a 503 . apa h 102"/>
        <s v="Torre 3 apar 404 Beneto"/>
        <s v="Edificio altavista"/>
        <s v="Conjunto residencial"/>
        <s v="Edificio Jennifer"/>
        <s v="Conjunto residencial Bariloche"/>
        <s v="Reserva Melendez 1"/>
        <s v="Conjunto Alquería b, y Naranjos del Caney"/>
        <s v="Conjunto Multifamiliar Atabanza"/>
        <s v="Unidad residencial las camelias"/>
        <s v="Edificio sandalo"/>
        <s v="Unidad Loyola"/>
        <s v="Sanvicente"/>
        <s v="Marroquín 2 etapa"/>
        <s v="Edificio 13 Hair Center"/>
        <s v="Notaría 20"/>
        <s v="Sector La Legua, Terron Colorado"/>
        <s v="Patios de la Flora"/>
        <s v="Los Chorros"/>
        <s v="Tequendama al lado"/>
        <s v="Reservas del Rio"/>
        <s v="Torre b apt 504 edificio terracino"/>
        <s v="Apto 110 conjunto Aragon La Flora."/>
        <s v="Terron Colorado"/>
        <s v="Torres de Guadalupe"/>
        <s v="Joaquin Borrero - Cañaveralejo"/>
        <s v="Edificio Saravena"/>
        <s v="Edificio Las Violetas"/>
        <s v="apt 097"/>
        <s v="Conjunto colseguros ll"/>
        <s v="Edificio Inquilinato"/>
        <s v="Edificio Santa Monica Plaza"/>
        <s v="Notaria 5"/>
        <s v="Edificio Yemanya"/>
        <s v="Edifico San Fernando Antiguo"/>
        <s v="Nueva Tequendama"/>
        <s v="Edificio don Carlos"/>
        <s v="Edificio el templete - apartamento 101"/>
        <s v="Conjunto los robles"/>
        <s v="Conjunto Residencial San Gabriel"/>
        <s v="Edificio andrea"/>
        <s v="Apto 503 bloque 2 Condominio Marsella"/>
        <s v="Reservas de Melendez, Etapa 1"/>
        <s v="Edificio Almirante"/>
        <s v="Unidad apartamento 203 T3"/>
        <s v="Sector 6, Agrupacion 4, Torre i"/>
        <s v="Condominio pio XII"/>
        <s v="Torre 4B Unidad Residencial Magenta B"/>
        <s v="(Revisar si es segura la zona)"/>
        <s v="Edificio Archinie"/>
        <s v="Edificio Balmoral"/>
        <s v="(1 psio afectado)"/>
        <s v="Palmares del Bayarta"/>
        <s v="Edificio El Zafiro"/>
        <s v="Parques del Limonar 2"/>
        <s v="Edificio Santiago de Cali"/>
        <s v="Parroquia Santa Teresita de Jesus"/>
        <s v="Edificio Hena"/>
        <s v="Juanambu"/>
        <s v="Edifio patrio"/>
        <s v="Terracino"/>
        <s v="UTS Nuevo Latir"/>
        <s v="apto 101"/>
        <s v="Conjunto residencial quintas de la bocana"/>
        <s v="Parques del Refugio"/>
        <s v="Torre 55"/>
        <s v="Bloque 2 apto 402 pacara cali"/>
        <s v="Parques de la Flora"/>
        <s v="Ciudadela recretaiva charco azul y el pondaje"/>
        <s v="Edificio Ibiza 1"/>
        <s v="Edificio Patrick towers"/>
        <s v="Edificio Paseo Real I"/>
        <s v="Nogales de Lili"/>
        <s v="Edificio Palma de La Voragene"/>
        <s v="Institucion educativa sede central-"/>
        <s v="Edificio ancora"/>
        <s v="Ed. la Flora"/>
        <s v="Edificio Coquibacoa"/>
        <s v="Conjunto altana Pance"/>
        <s v="Unidad santa veronica"/>
        <s v="centro zonal sur ICBF"/>
        <s v="Edificio sorrento"/>
        <s v="Casa matria"/>
        <s v="Edificio multicolores"/>
        <s v="ed. color morado"/>
        <s v="La esquina del sabor"/>
        <s v="Edificio Onix"/>
        <s v="Ed- eclipse"/>
        <s v="ed. portal de la estacion 2"/>
        <s v="Parroquia nuestra señora de los andes- Validar"/>
        <s v="Vereda atenas. sector la palma"/>
        <s v="Unidad los cedros"/>
        <s v="Edificio lomalinda"/>
        <s v="Antiguo ed- dinners"/>
        <s v="Ed. España"/>
        <s v="Santa monica popular. unidad Fiorentina"/>
        <s v="ed. alqueria"/>
        <s v="ed. el bosquecito"/>
        <s v="Esquina"/>
        <s v="Unidad puente blanco"/>
        <s v="ed- remanso del refugio"/>
        <s v="Fundacion para personas con discapacidad cognitiva"/>
        <s v="ed. santa ana de la vega"/>
        <s v="Altos de santa elena bloque 85"/>
        <s v="Ed. torres de la 50"/>
        <s v="Unidad camino real 2"/>
        <s v="APTO. 402"/>
        <s v="Edificio Guaduales"/>
        <s v="Edificio Chapagna"/>
        <s v="Torre 87"/>
        <s v="Edificio miradores de chipichape apto 502A"/>
        <s v="Piso 02 B/Ciudad los Álamos, Cali"/>
        <s v="Unidad residencial gemelos de los chorros"/>
        <s v="Torres de Alicante"/>
        <s v="Conjunto Castilla"/>
        <s v="Conjunto Portal de la Flora"/>
        <s v="Conjunto residencial santa maria del los vientos"/>
        <s v="Condominio Barcelona"/>
        <s v="Conjunto Cartuja"/>
        <s v="Conjunto Portal del Alferez"/>
        <s v="Edificio Torres del prado"/>
        <s v="Conjunto Lusitania"/>
        <s v="Terron colorado, sector el tablazo"/>
        <s v="Tel. 3164828110 ivan quintero"/>
        <s v="Conjunto Rivera del Valle"/>
        <s v="Edificio tres pisos"/>
        <s v="Conjunto Zoila"/>
        <s v="Alto Jordán"/>
        <s v="Toscana residencial tel. 3015286319 Boris"/>
        <s v="Apto 1615 condominio nova plus, valle del lili"/>
        <s v="Apto 103 B unidad cayaru tel. 3137938101"/>
        <s v="Edificio san marino"/>
        <s v="Edificio Torre Continental"/>
        <s v="Edificio Marcela"/>
        <s v="Edificio paseo real 2"/>
        <s v="Resevas de melendez atapa 1"/>
        <s v="Alameda del rio"/>
        <s v="San fernando viejo"/>
        <s v="Edificio maritana"/>
        <s v="Unidad residencial encinar"/>
        <s v="Edificio torre mantis tel. 3154392429 Carlos Molina"/>
        <s v="Edificio fuente de las quintas 3154392429 Carlos Molina"/>
        <s v="apto 101 torre C Unidad Pontevedra"/>
        <s v="torre c unidad chiminagos 2 sector 1 agrupacion 5"/>
        <s v="San Vicente, Cali, Valle del Cauca"/>
        <s v="Pampa Linda, Cali, Valle del Cauca"/>
        <s v="Mirador de Pasoancho"/>
        <s v="Casa de 3 pisos"/>
        <s v="Edificio Elizondo"/>
        <s v="Conjunto Santa Mariana"/>
        <s v="Edificio Marcherie"/>
        <s v="Alto melendez"/>
        <s v="Las vegas de confandi"/>
        <s v="Barrio napoles"/>
        <s v="Edificio Olga Lucia"/>
        <s v="Condominio residencial Alameda del Lili"/>
        <s v="Colegio Instituto Para Niños Ciegos y Sordos"/>
        <s v="Clinica Instituto Para Niños Ciegos y Sordos"/>
        <s v="Apto 402 torre c"/>
        <s v="Instituto Tobias Emanuel"/>
        <s v="Torre 3 apartamento 306K-108 NOGAL"/>
        <s v="B// alfonso"/>
        <s v="B/Cambulos"/>
        <s v="El vallado"/>
        <s v="Unidades Residencial Antonio Nariño III Etapa y Quinta Etapa"/>
        <s v="Santa Monica"/>
        <s v="Edificio Vacobo"/>
        <s v="Reservas de melendez etapa I"/>
        <s v="Torres de Valgarda 25"/>
        <s v="Conjunto Residencial Encinar, Etapa B"/>
        <s v="Parroquia Santa Mariana"/>
        <s v="Edificio long"/>
        <s v="Casa 3 pisos"/>
        <s v="bloque 11C apto 402 chiminangos"/>
        <s v="Edificio Miraflores; apto 401"/>
        <s v="Edificio El Portal de Vizcaya"/>
        <s v="Datos: Jessica Unda cel: 3155797387"/>
        <s v="Casa Cultural Tejiendo Sororidades"/>
        <s v="Edificio Santa Ana de la Vega"/>
        <s v="Bloque 6D apartamento 301"/>
        <s v="Edificio Barceló"/>
        <s v="URESA. Bloque 1- Apto. 301"/>
        <s v="Edificio Las Margaritas"/>
        <s v="datos: 3165751072 Mi nombre odilia Salazar"/>
        <s v="Casa 403"/>
        <s v="Porvenir de la Flora"/>
        <s v="Edificio A Caner Llanera"/>
        <s v="centro medico santa teresa"/>
        <s v="Portal de San Fernando"/>
        <s v="Los estudiantes Violedy Escobar"/>
        <s v="Conjunto paseo real III Maria Isabel Trujillo"/>
        <s v="Unidad Bosques de la Fontana"/>
        <s v="Panaderia El Molino"/>
        <s v="Edificio El Molino"/>
        <s v="Sara María Osorio Quiñones, 3004912993"/>
        <s v="Edificio"/>
        <s v="Edificio, torre consultorio al lado de la sebastian"/>
        <s v="Leydy Joana Marin palma &#10;Teléfono 3102341273"/>
        <s v="Unidad Villa Marcela"/>
        <s v="Punta del este, Daniela Saavedra Henao&#10; 3216607354"/>
        <s v="Hotel Maderos"/>
        <s v="Pacara II"/>
        <s v="Paseo Real 3, Mi número es 3107288753"/>
        <s v="edificio portal del encinar 1"/>
        <s v="hotel flamingo"/>
        <s v="Edificio afectado; edificio cerca a Palmetto"/>
        <s v="piso colapso de teccho en tres hacbitaciones"/>
        <s v="apartamento"/>
        <s v="conjunto residencial bariloche; bloque 7 - 102 hay personas de la"/>
        <s v="edificio frente a la DIAN antiguo colpátria"/>
        <s v="unidad residencial"/>
        <s v="Paula Moreno tel. 3009794535"/>
        <s v="edificio contiguoa a la iglesia de la Ermita"/>
        <s v="edificio capitolio 5 con 66"/>
        <s v="Edificio Parques de la Fontana"/>
        <s v="Unidad residencial Villa Marcela"/>
        <s v="Edificio Colinas de Juanambu"/>
        <s v="parroquia la asencion"/>
        <s v="edificio esquina"/>
        <s v="unidad marco fidel suarez"/>
        <s v="torre b"/>
        <s v="edificio la zafra"/>
        <s v="Colegio San José Refugio"/>
        <s v="universidad UNAD- roosvelt"/>
        <s v="conjunto B"/>
        <s v="clinica saludcop"/>
        <s v="edificio los profesiol}nales"/>
        <s v="edificio de ancianos"/>
        <s v="conjunto Terrazas de Chipichape"/>
        <s v="edificio las palmas"/>
        <s v="edificio Bachue"/>
        <s v="edificio calima"/>
        <s v="torre ddel prado"/>
        <s v="unidad indigo"/>
        <s v="torre 1"/>
        <s v="edificio altavista 2000"/>
        <s v="colegio José Holguín garses y las escuelas del"/>
        <s v="Piso 02 B/Ciudad los Álamos"/>
        <s v="Sebastian Moreno 3225860193"/>
        <s v="Condominio Parque 50"/>
        <s v="Casa"/>
        <n v="3.015002549E9"/>
        <s v="Oasis de Pasoancho"/>
        <s v="KR 15 # 8 - 50"/>
        <s v="Remanso del Lili"/>
        <s v="Unidad Fronteira Valle del Lili"/>
        <s v="4 pisos"/>
        <s v="Coopser"/>
        <s v="Cristales 2"/>
        <s v="Colegio Instituto Nuestra Señora de la Asunción"/>
        <s v="Conjunto Manantial"/>
        <s v="capilla puerto mallarino"/>
        <s v="Casa segundo piso"/>
        <s v="Los Alcazares"/>
        <s v="Mirador de Guadalupe"/>
        <s v="Rosalba"/>
        <s v="Edificio Cuellar"/>
        <s v="Edificio amarillo al lado"/>
        <s v="Edificio Multifamiliar Katrina"/>
        <s v="Edificio Tejares"/>
        <s v="Edificio Tribeca"/>
        <s v="Edificio meca"/>
        <s v="Casa de 4 pisos"/>
        <s v="Al frente del Fruver"/>
        <s v="Sector Algarrobos"/>
        <s v="Edificio Sottomonte"/>
        <s v="Edificio Gracias a Dios"/>
        <s v="Fabrica de fajas"/>
        <s v="Unidad la Castellana"/>
        <s v="unidad Santa María de Guadalupe"/>
        <s v="CR Palmar de Coomeva II"/>
        <s v="Casa de dos pisos"/>
        <s v="Edificio de tres"/>
        <s v="Vientos de Guadalupe"/>
        <s v="Edificio germel"/>
        <s v="ALTOS DE SANTA ELENA"/>
        <s v="charco azul el pondaje bloque 2 303"/>
        <s v="Al lado de la iglesia de colseguros"/>
        <s v="Torres de Santiago de Cali"/>
        <s v="Hotel/Edificio"/>
        <s v="Al lado del magdonal"/>
        <s v="Negocio en 2ndo Piso"/>
        <s v="capilla San antonio Nonato"/>
        <s v="Casa, 2o piso"/>
        <s v="unidad residencial Alhambra AB, torre 6"/>
        <s v="Unidad Balcón de las Flores"/>
        <s v="edificio multiusos"/>
        <s v="Edificio de 4 pisos"/>
        <s v="Abajo es un local y arriba 4 apartemanetos"/>
        <s v="Puente Palma"/>
        <s v="CASCADAS DE LA CAROLINA"/>
        <s v="Edifico de 5 pisos "/>
        <s v="vivienda"/>
        <s v="Edificio Los Mangos"/>
        <s v="Gloria Elena Garcia Garcia CC 66.870.579"/>
        <s v="Luz Elena Quintana Duque Celular 3216914175"/>
        <s v="Hotel "/>
        <s v="edificio mariano lloreda"/>
        <s v="Edificio 5 pisos "/>
      </sharedItems>
    </cacheField>
    <cacheField name="Direccion completa" numFmtId="0">
      <sharedItems containsBlank="1">
        <s v="Carrera 44 con calle 5, El Lido, Cali"/>
        <s v="Carrera 72 con calle 11, La Hacienda, Cali"/>
        <s v="Calle 10 Bis # 70 34, Limonar, Cali"/>
        <s v="-"/>
        <s v="Carrera 57 # 3-88, Cuarto de Legua, Cali"/>
        <s v="Calle 3 # 61B, Pampalinda, Cali"/>
        <s v="Av. Roosevelt (Calle 6) con Carrera 42, Los Cámbulos, Cali"/>
        <s v="Carrera 38a # 10, Olimpico, Cali"/>
        <s v="Carrera 36 con Calle 5 B2 69, San Fernando, Cali"/>
        <s v="Carrera 58 # 3-138, Cuarto de Legua, Cali"/>
        <s v="Autopista Sur # 13-01, Junin, Cali"/>
        <s v="Calle 5 con Carrera 42, Urbanización Tequendama, Cali"/>
        <s v="Calle 62B # 1A9-365, Chiminangos II, Cali"/>
        <s v="Carrera 42 con calle 5, Tequendama, Cali"/>
        <s v="Carrera 67 # 3c -15, El Refugio, Cali"/>
        <s v="Calle 72U # 28E-00, Poblado II, Poblado ll, Cali"/>
        <s v="Calle 9 con Carrera 18, San Bosco, Cali"/>
        <s v="Carrera 40 # 4B-26, Tequendama, Cali"/>
        <s v="Calle 10 38 21, Eucarístico, Cali"/>
        <s v="Carrera 52 # 3 20, El Lido, Cali"/>
        <s v="Carrera 38A # 6 38, Eucarístico, Cali"/>
        <s v="Carrera 5 # 13 46, Centro, Cali"/>
        <s v="CRE 52 # 2-01, Cuarto de Legua, Cali"/>
        <s v="Carrera 44 con Calle 9 35, Los Cámbulos, Cali"/>
        <s v="Carrera 72 # 10 Bis-21, El Limonar, Cali"/>
        <s v="Calle 5E # 40 - 36, Tequendama, Cali"/>
        <s v="Calle 14 #5-20, San Pedro, Cali"/>
        <s v="Calle 9 con carrera 22, Alameda, Cali"/>
        <s v="Calle 62 carrera 1b, Torres de Comfandi, Cali"/>
        <s v="Calle 9 #5-59, San Pedro, Cali"/>
        <s v="carrera 10 calle 5, San Bosco, Cali"/>
        <s v="Calle 62B # 1A-2-50, Chiminangos II, Cali"/>
        <s v="Calle 10 #33-51, Colseguros, Cali"/>
        <s v="carrera 1 bis con calle 59, Barranquilla, Cali"/>
        <s v="Calle 5 e 46 82 conunto 4 apto 302 b, Nuevo Tequendama, Cali"/>
        <s v="carrera 68 con calle 3b 61, El Refugio, Cali"/>
        <s v="CR 36 5- 21-20, San Fernando, Cali"/>
        <s v="Calle 5 con 13 y 14, San Bosco, Cali"/>
        <s v="Cra. 41 &amp; Av. Roosevelt&#10;Zona: Sur, Tequendama, Cali"/>
        <s v="Calle 7 con Carrera 41, Los Cámbulos, Cali"/>
        <s v="Av. 4 Norte #21N-54, San Vicente, Cali"/>
        <s v="Carrera 34 #7-00, El templete, Cali"/>
        <s v="Calle 5E #43A-34, Tequendama, Cali"/>
        <s v="Av. 3 Norte #32AN-40, Bueno Madrid, Cali"/>
        <s v="Calle 5N # 60 65, Asturias, Cali"/>
        <s v="Carrera 80 con Calle 5, San Miguel, Cali"/>
        <s v="Calle 3C # 63A-44, El Refugio, Cali"/>
        <s v="Calle 5E # 46 82, Tequendama, Cali"/>
        <s v="Calle 5 con Carrera 57, Pampalinda, Cali"/>
        <s v="Calle 1B Oeste con Carrera 100, Valle del Lili, Cali"/>
        <s v="Calle 1D Oeste # 100 Bis-49, Altos de Santa Elena / Polvorines, Cali"/>
        <s v="Avenida 7N # 56-120, La Flora, Cali"/>
        <s v="Calle 9 con Carrera 45, Los Cámbulos, Cali"/>
        <s v="Calle 12B # 33 45, Colseguros, Cali"/>
        <s v="Calle 9 con Carrera 44, Los Cámbulos, Cali"/>
        <s v="Calle 5B4 #36B-45, San Fernando Nuevo, Cali"/>
        <s v="Calle 8 con Carrera 8, San Pedro, Cali"/>
        <s v="Carrera 63 # 2A 3, El Limonar, Cali"/>
        <s v="Carrera 66 # 13B 29, Bosques del Limonar, Cali"/>
        <s v="Calle 41 Norte # 4N-170, La Flora, Cali"/>
        <s v="Carrera 46 calle 8 b, Nuevo Tequendama, Cali"/>
        <s v="Carrera 23 # 9 06, Alameda, Cali"/>
        <s v="Carrera 65 # 2b -14, El refugio, Cali"/>
        <s v="Calle 5B2 # 31 98, San Fernando, Cali"/>
        <s v="Calle 3 con Carrera 4, San Pedro, Cali"/>
        <s v="Carrera 67 con calle 3 C, El Refugio, Cali"/>
        <s v="Cra. 46 #9C-85, Cámbulos, Cali"/>
        <s v="Av. 5A Norte #23N-46/57, Versalles, Cali"/>
        <s v="Calle 5 # 36-08, San Fernando, Cali"/>
        <s v="Carrera 62 # 2A 197, Pampalinda, Cali"/>
        <s v="3 c norte con Calle 63, La Flora, Cali"/>
        <s v="Avenida 3 Norte 59 125, La Flora, Cali"/>
        <s v="Calle 15 # 33-71, Cristóbal Colón, Cali"/>
        <s v="Calle 5D # 38A-35, Tequendama, Cali"/>
        <s v="Carrera 5C con 43, Esmeralda, Cali"/>
        <s v="Carrera 37 # 5b1 - 37, San Fernando, Cali"/>
        <s v="calle 2a # 78b-30, Las Vegas, Cali"/>
        <s v="calle 19Norte con Avenida 4 Norte, San vicente, Cali"/>
        <s v="carrera 59 #1e -43, Pampalinda, Cali"/>
        <s v="Calle 5b1 con carrera 36b, San Fernando, Cali"/>
        <s v="calle 5b1 # 36b-06, San Fernando, Cali"/>
        <s v="Calle 48 #4D-11, Salomia, Cali"/>
        <s v="Calle 3d con carrera 67, Buenos Aires, Cali"/>
        <s v="Calle 56 # 3 -88, Barranquilla, Cali"/>
        <s v="Calle 1f carrera 59, Cuarto de Legua, Cali"/>
        <s v="Cra. 7 # 10-19, San Pedro, Cali"/>
        <s v="Calle 4 con carrera 44, El lido, Cali"/>
        <s v="Carrera 7 con calle 12, San Pedro, Cali"/>
        <s v="Carrera 39/38A # 5d - 09, San Fernando, Cali"/>
        <s v="calle 36 # 5 - 145, San Fernando, Cali"/>
        <s v="Calle 3 # 58-135, El Refugio, Cali"/>
        <s v="Carrera 63 # 3c - 76, El Refugio, Cali"/>
        <s v="Calle 36 Norte # 3GN-93, Prados del Norte, Cali"/>
        <s v="Calle 8 #39-120, Los Cámbulos, Cali"/>
        <s v="Calle 22 Bis Norte # 9-11, Santa Mónica Residencial, Cali"/>
        <s v="Carrera 54 # 33B - 07, Ciudad 2000, Cali"/>
        <s v="Calle 40 # 41 H - 15, Unión de Vivienda Popular, Cali"/>
        <s v="Carrera 49a # 43-19, Mariano ramos, Cali"/>
        <s v="Carrera 36B # 5B3-46, San Fernando Nuevo, Cali"/>
        <s v="Carrera 64a # 13c -65, Bosques del Limonar, Cali"/>
        <s v="Carrera 30a # 6 -07, El Cedro, Cali"/>
        <s v="Calle 4C # 35A-16, San Fernando, Cali"/>
        <s v="Carrera 94d # calle 2 a bis - entre carreras 94c1 y 94b1, Alto Jordan, Cali"/>
        <s v="Carrera 67 con Calle 13D, El Gran Limonar, Cali"/>
        <s v="Calle 4 # 66B - 52, Refugio, Cali"/>
        <s v="Carrera 83 # 6-50, Mayapan, Cali"/>
        <s v="Calle 1F #56-206, Cuarto de Legua, Cali"/>
        <s v="Calle 2 BIS # 66B 88, Refugio, Cali"/>
        <s v="Carrera 41 # 5B-82, Tequendama, Cali"/>
        <s v="Calle 3 #66-87, Refugio, Cali"/>
        <s v="Calle 24A Norte # 6N-27, San Vicente, Cali"/>
        <s v="Cra. 30 # 5A-57, San Fernando, Cali"/>
        <s v="Carrera 22 #11a - 44, Junin, Cali"/>
        <s v="Carrera 46 # 8 -20, Tequendama, Cali"/>
        <s v="Calle 19 Norte #4N-15, San Vicente, Cali"/>
        <s v="Calle 13A #64-50, La Hacienda, Cali"/>
        <s v="Calle 23N # 6A - 65, Santa Mónica Residencial, Cali"/>
        <s v="Calle 5B # 29 - 17, San Fernando, Cali"/>
        <s v="Carrera 66–70, El Limonar, Cali"/>
        <s v="Carrera 61a # 2a-197, Cuarto de Legua, Cali"/>
        <s v="Calle 1F #59-199, Cuarto de Legua, Cali"/>
        <s v="Carrera 13A # 66B 16, El Limonar, Cali"/>
        <s v="Calle 6 con Carrera 42, Tequendama, Cali"/>
        <s v="Carrera 36 #5B3-40, San Fernando, Cali"/>
        <s v="Calle 5 # 80-00, Las Vegas, Cali"/>
        <s v="Carrera 36B #5B3-29, San Fernando, Cali"/>
        <s v="Calle 4 con Carrera 58, Cuarto de Legua – Guadalupe, Cali"/>
        <s v="Calle 5 #39-173, Tequendama, Cali"/>
        <s v="Avenida 15 Oeste #5-43, Bajo Aguacatal, Cali"/>
        <s v="Calle 11 #12-57, Sucre, Cali"/>
        <s v="Carrera 98 f # 58 - 66 Local 06, Valle del Lili, Cali"/>
        <s v="Calle 16 # 25 - 65, Santa Elena, Cali"/>
        <s v="Carrera 75 # 13 -196, El ingenio, Cali"/>
        <s v="Carrera 67 con calle c, El ingenio, Cali"/>
        <s v="Calle 6 # 13 - 33, San Bosco, Cali"/>
        <s v="Calle 13a bis # 80 - 45, Ciudadela Pasoancho, Cali"/>
        <s v="Carrera 50 # 5-173, Tequendama, Cali"/>
        <s v="Calle 30 c oeste # 6-26, Villa del mar, Cali"/>
        <s v="Carrera 36 #5b1 - 52, Tequendama, Cali"/>
        <s v="Calle 83b # 22 -19, Valle grande, Cali"/>
        <s v="Carrera 3d con 67, La Riviera/ San Marino, Cali"/>
        <s v="Calle 13 a # 69-74, Bosques del Limonar, Cali"/>
        <s v="Calle 12a # 55 - 20, Guadalupe, Cali"/>
        <s v="Carrera 54 #1a-60, El lido, Cali"/>
        <s v="Carrera 39a 5d -69, Tequendama, Cali"/>
        <s v="Calle 2a # 66 b- 86, El Refugio, Cali"/>
        <s v="Calle 10 carrera 71, El Limonar, Cali"/>
        <s v="Calle 59c # 2 - 65, Los andes, Cali"/>
        <s v="Calle 37an # 2an - 07, Prados del N., Cali"/>
        <s v="Calle 9a # 42-55, Cámbulos, Cali"/>
        <s v="Calle 47 # 49a -94, Ciudad Cordoba etapa II, Cali"/>
        <s v="Calle 12 - 92 - 133, Melendez, Cali"/>
        <s v="Calle 1 oeste #36b -05, El Peñon, Cali"/>
        <s v="Carrera 102 # 25-83, Valle de lili, Cali"/>
        <s v="Calle 4 oeste # 14 -65, El Peñon, Cali"/>
        <s v="Carrera 57 # 4- 46, cuarto de legua, Cali"/>
        <s v="Carrera 61 # 26-54, Ciudad 2000, Cali"/>
        <s v="Calle 14 a # 50a - 22, El Limonar, Cali"/>
        <s v="Carrera 27 #5 b - 29, 46207, Cali"/>
        <s v="Calle 49 n # 3gn - 93, Flora Ind., Cali"/>
        <s v="Carrera 67 # 3c, El refugio, Cali"/>
        <s v="Calle 49n #3gn -77, Flora Ind., Cali"/>
        <s v="Carrera 30 8a-35, Barrio el Cedro, Cali"/>
        <s v="Carrera 53 # 13 65, Primero de mayo, Cali"/>
        <s v="Carrera 94b # 2 -46, Melendez, Cali"/>
        <s v="Calle 62 # 1c1 - 18, Urbanizacion Barranquilla, Cali"/>
        <s v="calle 4 con carrera 60 a, Pampalinda, Cali"/>
        <s v="Calle 2A 78B 30, Apto 401B, Buenos Aires, Cali"/>
        <s v="Calle 14 49A 29, Las Camelias, Cali"/>
        <s v="Carrera 26 # 5c -06, Tres de julio, Cali"/>
        <s v="Calle 9 con 24, Alameda, Cali"/>
        <s v="Carrera 67 con calle 3c -15, El Refugio, Cali"/>
        <s v="Carrera 41 con 7 - 45, Los Cambulos, Cali"/>
        <s v="Calle 10 con carera 71, Capri, Cali"/>
        <s v="Calle 21 #2-05, San Nicolas, Cali"/>
        <s v="Calle 3d con 67, El Refugio, Cali"/>
        <s v="Carrera 59a # 7 35, Camino Real, Cali"/>
        <s v="Calle 12 # 12 - 18, San bosco, Cali"/>
        <s v="avenida 6 norte 26N -58, San vicente, Cali"/>
        <s v="cra 26g3 #73-04, Marroquin 2, Cali"/>
        <s v="Calle 3 # 55 b - 72, Cuarto de Legua, Cali"/>
        <s v="Carrera 42 con 5, Tequendama, Cali"/>
        <s v="Carrera 35 #3A-65, San Fernando, Cali"/>
        <s v="calle 74 AN # 2a-03, Brisas de los Alamos, Cali"/>
        <s v="Calle 9 #12-65, san bosco, Cali"/>
        <s v="Carrera 28 d # 72w -14, El poblado II, Cali"/>
        <s v="Av 5 Oeste #26-21, Terron Colorado, Cali"/>
        <s v="Calle 58 Norte #5BN75, Patios de la Fora, Cali"/>
        <s v="Carrera 41 con 7, Los Cambulos, Cali"/>
        <s v="Carrera 39 #5d-09, Tequendama, Cali"/>
        <s v="Carrera 69 # 1-74, Los Chorros, Cali"/>
        <s v="Carrera 62 #2a -97, El Lido, Cali"/>
        <s v="Calle 4 con 61 a, Pampalinda, Cali"/>
        <s v="Carrera 42 #5-25, Tequendama, Cali"/>
        <s v="Calle 1b # 55 - 25, Cuarto de Legua, Cali"/>
        <s v="carrera 1 B2 # 72 -15, san luis, Cali"/>
        <s v="Calle 34an #2an -70, La Flora, Cali"/>
        <s v="Avenida 4B norte # 52N 76, la flora, Cali"/>
        <s v="Calle 19 Oeste 4A-30, Terron Colorado, Cali"/>
        <s v="Carrera 56 # 3 -26, Cuarto de Legua, Cali"/>
        <s v="Carrera 59 #5-39, Joaquin Borrero - Cañaveralejo, Cali"/>
        <s v="Carrera 39 # 9b -06, Cámbulos, Cali"/>
        <s v="Calle 52 # 3-20, Salomia, Cali"/>
        <s v="Calle 21n # 5bn -22, Versalles, Cali"/>
        <s v="Calle 9c #31A-25, Champagnat, Cali"/>
        <s v="Carrera 59 #1E-45, Alameda, Cali"/>
        <s v="Calle 38 #5n-30, Bueno Madrid, Cali"/>
        <s v="Calle 12c #29b-115, Colseguros, Cali"/>
        <s v="Calle 12 C # 31-23, Colseguros andes, Cali"/>
        <s v="Carrera 44 #12a -17, Panamericano, Cali"/>
        <s v="Carrera 3a #6-38, El peñon, Cali"/>
        <s v="Carrera 40 #40-04, Antonio Nariño, Cali"/>
        <s v="Calle 31N #6bis 32, Santa Monica Norte, Cali"/>
        <s v="Avenida 6b norte 28n -56, Santa Monica Norte, Cali"/>
        <s v="Carrera 56 #1b-81, Portal de Santillana, Cali"/>
        <s v="Calle 12B#23-24, Colseguros, Cali"/>
        <s v="Carrera 56 # 3-88, Cuarto de Legua, Cali"/>
        <s v="Calle 5B1 #29-75, Barrio 3 de Julio por el estadio oriental, Cali"/>
        <s v="Carrea 5 b con 39, San Fernando Nuevo, Cali"/>
        <s v="Avenida 6N # 44-31 La Campiña, La Campiña, Cali"/>
        <s v="Calle 5 b 2 # 38-91, San Fernando, Cali"/>
        <s v="Calle 1A #22-06, Libertadores, Cali"/>
        <s v="carrera 46 # 8b -95, Tequendama, Cali"/>
        <s v="Carrera 4 con 9, San Pedro, Cali"/>
        <s v="Carrera 83 #15-76, El Ingenio, Cali"/>
        <s v="Calle 6 carrera 13, San Juan Bosco, Cali"/>
        <s v="Carrera 24 # 07 -11, Alameda, Cali"/>
        <s v="Carrera 58 No. 3-125, Cuarto de Legua, Cali"/>
        <s v="Carrera 36a bis # 6-66, Templete, Cali"/>
        <s v="Carrera 36 # con 5, San Fernando, Cali"/>
        <s v="Carrera 72 #10a - 10, Capri, Cali"/>
        <s v="Avenida 2b2 # 73 bis -99, Brisas de los Alamos, Cali"/>
        <s v="Carrera 98 #48-30, Valle del Lili, Cali"/>
        <s v="Calle 8b #45- 15, Nueva Tequendama, Cali"/>
        <s v="Calle 5 con 56, Tequendama, Cali"/>
        <s v="Carrera 37 #4A Bis - 49, San Fernando, Cali"/>
        <s v="Avenida 6ta Oeste # 13-115, Terrón colorado, sector Casas Nuevas, Cali"/>
        <s v="Carrera 34 #13-51, Colseguros, Cali"/>
        <s v="Carrera 36 #5B3-62, San Fernando, Cali"/>
        <s v="Carrera 94c #2-46, El jordan, Cali"/>
        <s v="Calle 23N # 3N-63, San Vicente, Cali"/>
        <s v="Carrera 36C #5B1-81, San Fernando Nuevo, Cali"/>
        <s v="Carrera 90 # 54C - 50, Valle del Lili, Cali"/>
        <s v="Calle 25Norte # 5bn - 45, San Vicente, Cali"/>
        <s v="Carrera 30a # 6 -17, Cedro, Cali"/>
        <s v="Calle 10 Oe 36B 151, Club residencial los cristales, Cali"/>
        <s v="Calle 62B 1A9-80 Sector 6, Agrupacion 4, Torre i, Chiminangos II, Cali"/>
        <s v="carrera 40 # 4 - 30, nueva granada, Cali"/>
        <s v="Carrera 30 # 5a - 52, 3 de Julio, Cali"/>
        <s v="calle 1 e # 56-205, El Seminario, Cali"/>
        <s v="Carrera 96 # 59 42, Ciudad Melendez, Cali"/>
        <s v="calle 9 con carrera 39, Los cambulos, Cali"/>
        <s v="Cra 64A # 13A-74, Limonar, Cali"/>
        <s v="Carrera 41 #7-05, Los cambulos, Cali"/>
        <s v="Calle 5C #39-41, Tequendama, Cali"/>
        <s v="carrera 28 e6 calle 123 a 1-03, Pizamos II, Cali"/>
        <s v="Avenida 3 CN #61N-40, La Flora, Cali"/>
        <s v="Carrera 39 # 4b - 29, Santa Isabel, Cali"/>
        <s v="Carrera 39 # 4b-13, Santa Isabel, Cali"/>
        <s v="Calle 2 # 66b -89, Refugio, Cali"/>
        <s v="Calle 7 Oeste # 35 - 09, El Sindical, Cali"/>
        <s v="Avenida 3F Nte #55N-120, La Flora, Cali"/>
        <s v="Carrera 76 #13a -05, Quintas de Don Simón, Cali"/>
        <s v="calle 55c # 47-96, Ciudad Cordoba, Cali"/>
        <s v="Calle 6 #5-14, La Merced, Cali"/>
        <s v="Calle 2a #60a-60, Pampa Linda, Cali"/>
        <s v="Calle 14# 54-15, Vientos de Guadalupe, Cali"/>
        <s v="Cra 57 # 2a-95, Cuarto de Llegua, Cali"/>
        <s v="AV 11 NORTE 7 - 178, Juanambu, Cali"/>
        <s v="Cra 64 # 6a 57, Cañaveralejo, Cali"/>
        <s v="Carrera 14 #55-15, villacolombia, Cali"/>
        <s v="calle 13d 57-81, primero de mayo, Cali"/>
        <s v="Calle 25 # 24 - 98, Las Acacias, Cali"/>
        <s v="Carrera 24e Oeste # 6 - 41, Tejares de San Fernando, Cali"/>
        <s v="Calle 34 A Norte # 2 A 70, Prados del norte, Cali"/>
        <s v="Av. 7 Norte # 24N - 09, Santa Monica Residencial, Cali"/>
        <s v="Calle 45 Nte #7n-27, versalles, Cali"/>
        <s v="carrera 15 # 12 - 60, Bretaña, Cali"/>
        <s v="calle 76 # 28 - 20, Alfonso Bonilla, Cali"/>
        <s v="Carrera 36A 5B1-37, San Fernando, Cali"/>
        <s v="calle 4 # 73 91, Alférez real, Cali"/>
        <s v="Carrera 6ta # 26 G 22, Buenos aires, Cali"/>
        <s v="calle 26C # 41a -19, La Independencia, Cali"/>
        <s v="calle 2c # 65 56, Refugio, Cali"/>
        <s v="calle 1A oeste KR 100 bis 61, melendez, Cali"/>
        <s v="Carrera 94b1- calle 2abis, melendez, Cali"/>
        <s v="Calle 55 norte 2 an 107, pacara, Cali"/>
        <s v="calle 3D 75 a 30, palma real, Cali"/>
        <s v="Cra 24 3 # 7 - 86, Alameda, Cali"/>
        <s v="cra 25 # 2 oeste - 41, San Fernando Viejo, Cali"/>
        <s v="calle 64 Norte # 4 - 90, La Flora, Cali"/>
        <s v="Cra 36c # 5b5 - 84, san fernando, Cali"/>
        <s v="Calle 72 n # 26h3 -27, Pondaje, Cali"/>
        <s v="Carrera 62 #9-280, pampalinda, Cali"/>
        <s v="Calle 10 # 10 - 13, San bosco, Cali"/>
        <s v="Carrera 7 # 14 - 154, San nicolas, Cali"/>
        <s v="calle 11b #58 37, Santa Anita Reserva, Cali"/>
        <s v="Avenida 5ta norte con 37an, Prados del Norte, Cali"/>
        <s v="Av 6 oeste # 5 oeste - 93, Normandia, Cali"/>
        <s v="Av 4b Nte # 58N - 60, La Flora, Cali"/>
        <s v="Calle 28 # 86-80, Valle de lili, Cali"/>
        <s v="calle 4b# 35-31, San fernando, Cali"/>
        <s v="Calle 63 Norte # 3EN-60, El rincon, Cali"/>
        <s v="sede educativa san pedro, Montebello-- Avenida Los Estudiantes, sector La Escuela, Sector La Escuela, Cali"/>
        <s v="Institucion educativa Andres Lenis- Montebello- vereda Campo Alegre, Vereda Campo Alegre, Cali"/>
        <s v="Avenida 43 Oeste # 5A-49, Montebello, Cali"/>
        <s v="Avenida 7 N #66-04, Menga, Cali"/>
        <s v="Carrera 59 #1d-48, Cuerto de Legua, Cali"/>
        <s v="Calle 15 #7-79, San Nicolas, Cali"/>
        <s v="Carrera 2 #19-51, San Nicolas, Cali"/>
        <s v="Calle 13 #9-20, San pedro, Cali"/>
        <s v="calle 7 #37-04, Eucarístico, Cali"/>
        <s v="calle 17 # 17n-44, Versalles, Cali"/>
        <s v="calle 44n #6dn-42, La Campiña, Cali"/>
        <s v="Avenida 5n #43-51, La Flora, Cali"/>
        <s v="calle 5b2 #36c-40, San Fernando, Cali"/>
        <s v="Avenida 4n #8n-24, centenario, Cali"/>
        <s v="Calle 12a #56-60, santa anita, Cali"/>
        <s v="Carrera 47 #3a-25, el lido, Cali"/>
        <s v="Carrera 45 #1a-31, el lido, Cali"/>
        <s v="Avenida 7norte #44-44, La Campiña, Cali"/>
        <s v="Carrera 125 #19-58, Pance, Cali"/>
        <s v="Calle 2b bis #94b1-15, Melendez, Cali"/>
        <s v="Calle 4 #85-39, melendez, Cali"/>
        <s v="Carrera 42 #5c-48, tequendama, Cali"/>
        <s v="Calle 6 #74a-50, Ciudad Capri, Cali"/>
        <s v="Calle 10 #8-27, san pedro, Cali"/>
        <s v="Carrera 56 # 2-157, cuarto de legua, Cali"/>
        <s v="Calle 8 #32-07, Eucarístico, Cali"/>
        <s v="Calle 4a oeste #94-34, polvorines, Cali"/>
        <s v="Avenida 2ds norte #7n-66, centenario, Cali"/>
        <s v="Carrera 59a #5-41, pampalinda, Cali"/>
        <s v="Calle 2a #93-68, melendez, Cali"/>
        <s v="Avenida 6n #30n-54, santa monica, Cali"/>
        <s v="Avenida 2d norte #24n-17, san vicente, Cali"/>
        <s v="Calle 7 #30-25, el cedro, Cali"/>
        <s v="Calle 10 #65a-66, limonar, Cali"/>
        <s v="Avenida 6bn #35-34, santa monica, Cali"/>
        <s v="Cra. 1D2 # 52-109, Los andes, Cali"/>
        <s v="Avenida 6n #28-83, santa monica, Cali"/>
        <s v="Carrera 2 oeste #21-94, Vereda Atenas, Cali"/>
        <s v="Calle 48 #92-107, valle del lili, Cali"/>
        <s v="Calle 1c #66b-100, el refugio, Cali"/>
        <s v="Calle 12a #29b-78, Colseguros, Cali"/>
        <s v="Avenida 10n #21-06, santa monica, Cali"/>
        <s v="Calle 23n #6an-17, santa monica, Cali"/>
        <s v="Avenida 3n #23bn-43, san vicente, Cali"/>
        <s v="Calle 25 #127-100, La viga-pance, Cali"/>
        <s v="Carrera 24b #33c-150, santa monica popular, Cali"/>
        <s v="Carrera 46a #12-36, panamericano, Cali"/>
        <s v="Calle 9 #38-06, Eucarístico, Cali"/>
        <s v="Calle 10A # 49A - 11, Departamental, Cali"/>
        <s v="Carrera 33 #10-39, colseguros, Cali"/>
        <s v="Calle 8 oeste #4-32, Bellavista, Cali"/>
        <s v="Avenida 8 n #46n-27, santa monica, Cali"/>
        <s v="Calle 48n #con avenida 4, la flora, Cali"/>
        <s v="Calle 3 #63-34, pampalinda, Cali"/>
        <s v="Carrera 33b #27-43, El Jardin, Cali"/>
        <s v="Calle 6 #5-50, la merced, Cali"/>
        <s v="Calle 5 #35-38, san fernando, Cali"/>
        <s v="Calle 7 #10-82, santa rosa, Cali"/>
        <s v="Calle 8 #32-32, champagnat, Cali"/>
        <s v="Carrera 37a #6-43, templete, Cali"/>
        <s v="Carrera 44 #14-71, El Guabal, Cali"/>
        <s v="Calle 2a #66-56, el refugio, Cali"/>
        <s v="Carrera 42 #5a-39, tequendama, Cali"/>
        <s v="Carrera 86a #5-10, las vegas, Cali"/>
        <s v="Calle 1A Oeste # 100A-12, Altos de Santa Elena / Polvorines, Cali"/>
        <s v="Carrera 41a oeste #1b-57, isabel perez, Cali"/>
        <s v="Calle 9b #50-15, panamericano, Cali"/>
        <s v="Carrera 17 #39-87, Bretaña, Cali"/>
        <s v="Calle 2a #92-10, melendez, Cali"/>
        <s v="Calle 11 #3-25, san pedro, Cali"/>
        <s v="Avenida 5n #4n-116, juanambu, Cali"/>
        <s v="Calle 2a #18-60, libertadores, Cali"/>
        <s v="Calle 1a oeste #73d-19, prados del sur, Cali"/>
        <s v="Carrera 66 #2b-4, Cascada, Cali"/>
        <s v="Avenida 6n #37bn-50, san vicente, Cali"/>
        <s v="Carrera 56 #5-152, Camino real, Cali"/>
        <s v="CALLE 17 # 85 C- 44, El ingenio, Cali"/>
        <s v="Carrera 2 #59B, Los amendros, Cali"/>
        <s v="Carrera 42a #5C-67, Tequendama, Cali"/>
        <s v="carrera 69 # 2 c 02 y calle 2 c # 69-01, Caldas, Cali"/>
        <s v="calle 70 bis # 4 cn 103, Los Guaduales, Cali"/>
        <s v="calle 17 85 c 44, El Ingenio, Cali"/>
        <s v="Carrera 7Pbis # 62-124, las ceibas, Cali"/>
        <s v="Carrera 30 # 9 50, champagnat, Cali"/>
        <s v="Calle 1d oeste # 100bis -76, Altos de Santa Elena / Polvorines, Cali"/>
        <s v="carrera 47 c 7 sur # 28, El Cristal, Cali"/>
        <s v="Calle 45 norte # 6DN - 39, La Paz, Cali"/>
        <s v="Calle 30 Norte # 2BN-42, Prados del Norte, Cali"/>
        <s v="Calle 40 Norte # 6A-45, Chipichape, Cali"/>
        <s v="calle 30 a # 29 a 109, laureano gomez, Cali"/>
        <s v="calle 57N #2BN-30, los alamos, Cali"/>
        <s v="Carrera 36B con 9, Alameda, Cali"/>
        <s v="calle 3 # 23 b -93, mira flores, Cali"/>
        <s v="Calle 12#15-51, Guayaquil, Cali"/>
        <s v="Calle 1B #60 - 44, pampalinda, Cali"/>
        <s v="Calle 9 # 44-56, Urbanizacion militar, Cali"/>
        <s v="Avenida 4B Norte # 52N-70, La flora, Cali"/>
        <s v="transversal 29 # 23-09, Santa Mónica Popular, Cali"/>
        <s v="Calle 63 Norte # 3e-60, El rincon, Cali"/>
        <s v="Calle 5 #27-09, San fernando, Cali"/>
        <s v="Calle 10 Oeste #27-48, Cristales, Cali"/>
        <s v="Calle 58nte # 5b N - 62, la flora, Cali"/>
        <s v="Calle 22 A # 118-100, Parcelaciones Pance, Cali"/>
        <s v="Calle 62 Norte No. 3GN – 80, La flora, Cali"/>
        <s v="Carrera 115 # 18-43, Ciudad Jardín, Cali"/>
        <s v="Calle 34AN # 2BN-120, Prados del Norte, Cali"/>
        <s v="Calle 50 # 92-56, Valle de Lili, Cali"/>
        <s v="Avenida 5 ta Oeste # 16-13, terron colorado, Cali"/>
        <s v="Calle 10 No. 39-19, Departamental, Cali"/>
        <s v="Calle 55 # 98-58, Valle de Lili, Cali"/>
        <s v="Carrera 14 13A 2 (6,8,10), Guayaquil, Cali"/>
        <s v="Calle 13 A 13 A 110 (122), Guayaquil, Cali"/>
        <s v="Carrera 14 13-90, Guayaquil, Cali"/>
        <s v="Calle 35 AN # 2BN-109, Prados del N., Cali"/>
        <s v="Carrera 3 # 57b -72, Cuarto de legua, Cali"/>
        <s v="Calle 13 13-84, Guayaquil, Cali"/>
        <s v="carrera 13 # 10 - 128, san juan bosco, Cali"/>
        <s v="Carrera 56 con calle 3ra, Pampalinda, Cali"/>
        <s v="carrera 94 # 1a oeste - 03, alto jordan, Cali"/>
        <s v="Cra 93 A Oeste #3a-23, La Arboleda Altos de Melendez, Cali"/>
        <s v="Carrera 1g # 51-40, Salomia, Cali"/>
        <s v="carrera 85E 28-06, Valle del Lili, Cali"/>
        <s v="Calle 33 No. 94-210, Valle del Lili, Cali"/>
        <s v="Calle 4 66-49, El Refugio, Cali"/>
        <s v="avenida 6an # 6 -104, Granada, Cali"/>
        <s v="Calle 14 # 18a - 24, Barrio Giauaquil, Cali"/>
        <s v="Cra 48 3a 53, El Lido, Cali"/>
        <s v="Avenida 4b norte # 58 N 62, Barrio la flora, Cali"/>
        <s v="Carrera 94c #2-82, Altos de Melendez, Cali"/>
        <s v="Carrera 27#10a-57, Colseguros, Cali"/>
        <s v="Avenda 2a # 75en -47, Brisas de los Alamos, Cali"/>
        <s v="carrera 39 4b 63, san fernando viejo, Cali"/>
        <s v="Carrera 76 # 2A-31, Alférez Real, Cali"/>
        <s v="Calle 3A # 22-58, Libertadores, Cali"/>
        <s v="Carrera 83 # 6a - 32 alqueria c -403 c, Las Vegas, Cali"/>
        <s v="Calle 5# 14-37, san bosco, Cali"/>
        <s v="Calle 53 # 36 25, Laureano Gomez, Cali"/>
        <s v="calle 2 # 93, El Jordan, Cali"/>
        <s v="carrera 65 # 3 a- 34, el refugio, Cali"/>
        <s v="Calle 45 98a 28, Valle del Lili, Cali"/>
        <s v="Calle 45 98a 32, Valle del Lili, Cali"/>
        <s v="calle 2c # 94bis 1b - 23, Jordan, Cali"/>
        <s v="Calle 10 # 65A-51, Refugio, Cali"/>
        <s v="Cra 24b #39-18, Barrio Asturias, Cali"/>
        <s v="Carrera 18 oeste 4 -68, Terrón Colorado, Cali"/>
        <s v="Carrera 25 U 72 U 26, Charco azul, Cali"/>
        <s v="Carrera 1D #53 -140, Los Almendros, Cali"/>
        <s v="Carrera 36A 5-145, San fernando, Cali"/>
        <s v="carrera 72 13A1 -40, Quintas de Don Simon, Cali"/>
        <s v="Cra 72 # 13A-56, quintas de don simon, Cali"/>
        <s v="Calle 62 b1 # a9 -365, Chiminangos II, Cali"/>
        <s v="Calle 2 # 66 B 129, El Refugio, Cali"/>
        <s v="PH AV 9 norte # 25-32, Santa Monica Residencial, Cali"/>
        <s v="Calle 7 # 14 a-67, San Bosco, Cali"/>
        <s v="calle 52 # 1E -53, los andes, Cali"/>
        <s v="Av. de las Americas #22 Norte-45, San Vicente, Cali"/>
        <s v="Calle 30 Norte # 5N - 35, El Dorado, Cali"/>
        <s v="Calle 2b # 66 - 52 Arboleda 1, El refugio, Cali"/>
        <s v="carrera 77 #1c - 140, danubio, Cali"/>
        <s v="Cra. 56 #5-80, Pampa Linda, Cali"/>
        <s v="Carrera 31A # 14C - 47, Cristóbal Colón, Cali"/>
        <s v="calle 44 norte # 7 -60, la campiña, Cali"/>
        <s v="Calle 47n #2i -24, La merced, Cali"/>
        <s v="Carrera 36 b# 5b2-21, San Fernando, Cali"/>
        <s v="Calle 5 No. 37A 65, San fernando, Cali"/>
        <s v="Carrera 13 # 6-32., San Bosco, Cali"/>
        <s v="Calle 56norte # 2hn-33, Vipasa / Flora, Cali"/>
        <s v="Carrera 84 No. 13B 11, El ingenio, Cali"/>
        <s v="carrera 36a 5B 1-37, san fernando, Cali"/>
        <s v="calle 2 A bis 94B1 -43, Altos de Melendez, Cali"/>
        <s v="calle 56#84~33, las vegas de comfandi, Cali"/>
        <s v="Cra77a #3D-56, napoles, Cali"/>
        <s v="Calle 16 # 29A-105, Santa Elena, Cali"/>
        <s v="Calle 6 No. 43-66, Valle del Lili, Cali"/>
        <s v="Calle 28 # 98-75, Valle de lili, Cali"/>
        <s v="Calle 4 c # 35 A 07, San Fernando Viejo, Cali"/>
        <s v="Carrera 86 17-35, Ingenio, Cali"/>
        <s v="Cl. 13 #80 - 187, Ciudadela Comfandi, Cali"/>
        <s v="Calle 13 #75 - 85, Pasoancho, Cali"/>
        <s v="Ara carrera 70, , Cali"/>
        <s v="Carrera 38 # 5b1 - 39, San Fernando N., Cali"/>
        <s v="Carrera 94B 2 -190, Jordan, Cali"/>
        <s v="Calle 5b2 #37a - 50, Tequendama, Cali"/>
        <s v="Carrera 85 D # 55-100, Vegas de confandi, Cali"/>
        <s v="Calle 83c #22-08, Valle Grande, Cali"/>
        <s v="Diagonal 23 # 10b - 54, Colseguros, Cali"/>
        <s v="Calle 9 #40-24, los cambulos, Cali"/>
        <s v="Calle 5b2 # 37 A-75, Tequendama, Cali"/>
        <s v="Carrera108 # 44-75, Bochalema, Cali"/>
        <s v="Calle 63 norte # 3e - 70, La Flora, Cali"/>
        <s v="Carrea 16 # 8A 18, Bretaña, Cali"/>
        <s v="Carrera 34 # 13-51, Colseguros, Cali"/>
        <s v="Calle 2b 66A 46, El Refugio, Cali"/>
        <s v="Corregimiento de Golondrinas sector la María, casa Ariel Montero, Rural, Cali"/>
        <s v="carrera 23 # 8 - 07, la alameda, Cali"/>
        <s v="Carrera 7B #82-18, Alfonso López, Cali"/>
        <s v="Calle 9 # 42-78, Cámbulos, Cali"/>
        <s v="calle 70 # 7j - 04, los pinos, Cali"/>
        <s v="Carrera 39d# 56-101, el vallado, Cali"/>
        <s v="Carrera 47 #4-157, Antonio Nariño, Cali"/>
        <s v="Carrera 48 # 4-71, El lido, Cali"/>
        <s v="Av 6AN # 23N-90, Santa Monica R, Cali"/>
        <s v="Calle 5B2 # 38-91, San Fernando Nuevo, Cali"/>
        <s v="Calle 26 Norte # 2BN 15, San Vicente, Cali"/>
        <s v="Carrera 94 C # 3-46, Melendez, Cali"/>
        <s v="Carrera 92 # 25-81, Ciudad Jardín, Cali"/>
        <s v="Carrera 1D1 # 53-140, Los Andes, Cali"/>
        <s v="Carrera 41a # 31- 28, Cudad Modelo, Cali"/>
        <s v="Carrera 36B # 5B2 - 04, San Fernando, Cali"/>
        <s v="carrera 15 # 43 - 28, Chapinero, Cali"/>
        <s v="Calle 5B 2 #36c-03, San fernando, Cali"/>
        <s v="Carrera 35 # 14-42, Cristobal colon, Cali"/>
        <s v="Calle 9 # 24 20, Alameda, Cali"/>
        <s v="Calle 1B 55-25, Cuarto de Legua, Cali"/>
        <s v="Calle 4 con 61A, Meléndez, Cali"/>
        <s v="carrera 94b oeste #1b-65, Alto jordan, Cali"/>
        <s v="Calle 5b3 # 37 - 85, San Fernando, Cali"/>
        <s v="Calle 6# 13-49, San Bosco, Cali"/>
        <s v="calle 2A Bis # 82-10, Alto Nápoles, Cali"/>
        <s v="cra 28 #5b -117, san fernando, Cali"/>
        <s v="Calle 70 C1 #1a 4C-33, San Luis, Cali"/>
        <s v="Carrera 22 # 11A-34, Sucre, Cali"/>
        <s v="Carrera 32 #12c-25, Colseguros, Cali"/>
        <s v="Calle 33 #67B 62, ciudad 2000, Cali"/>
        <s v="Cra 1C3 #65-24, chiminangos etapa 1, Cali"/>
        <s v="Calle 10 #12-39, san nicolas, Cali"/>
        <s v="Carrera 24c Oeste # 6 - 11, Miraflores, Cali"/>
        <s v="Carrera 5L con Calle 39, El troncal, Cali"/>
        <s v="Calle 3 # 66 - 38, El Refugio, Cali"/>
        <s v="Calle 3 D # 66B-42, el refugio, Cali"/>
        <s v="Calle 2B # 94-10, el Jordan, Cali"/>
        <s v="Carrera 86A#5-10, Mayapan - Las Vegas, Cali"/>
        <s v="Cr 1c bis 67-42, chiminangos, Cali"/>
        <s v="Carrera 35 #29 - 74, San Carlos, Cali"/>
        <s v="Calle 38A Norte – Av. 2B Norte, Prados del Norte, Cali"/>
        <s v="Calle 5 # 45A-125, tequendama, Cali"/>
        <s v="Av. 2 B2 Norte 73-151, Brisas de los Alamos, Cali"/>
        <s v="Calle 38 Norte con Avenida 2E Norte, La flora, Cali"/>
        <s v="Carrera 34 # 25 -42, La Esperanza, Cali"/>
        <s v="Kilómetro 4 via la buitrera, Rural, Cali"/>
        <s v="Calle 5B2 con Carrera 36A Edificio el Estadio, San fernando, Cali"/>
        <s v="Avenida 3 # 37 -26, La Flora, Cali"/>
        <s v="Avenida 3 # 35N - 76, Prados del Norte, Cali"/>
        <s v="Av. 6 con Calle 44, esquina – Edificio A Caner Llanera, La Flora, Cali"/>
        <s v="CRA 39 # 5B-22, tequendama, Cali"/>
        <s v="Corregimiento La Paz, Via Golondrinas,https://maps.app.goo.gl/tdiqNxax5rBKegBK7, Rural, Cali"/>
        <s v="Calle 7 OE Avenida 43B 33, Sector hora cero, Cali"/>
        <s v="Calle 14 # 54-15, primero de mayo, Cali"/>
        <s v="Carrera 35 4-40, San Fernando, Cali"/>
        <s v="Avenida 43 # 10A-54, Los Estudiantes, Cali"/>
        <s v="Calle 64N 4 - 35, La flora, Cali"/>
        <s v="Avenida 5 Oeste # 23-12, Terron Colorado, Cali"/>
        <s v="Calle 13B # 66B-56 – Unidad Bosques de la Fontana, Bosques del Limonar, Cali"/>
        <s v="Calle 62B cra1A 9-365 sector 1 Agrupación 5 Torre A, Chiminangos II, Cali"/>
        <s v="Calle 126 # 23-24, Oriente, Cali"/>
        <s v="Avenida 3N # 35n - 76, Prados del Norte, Cali"/>
        <s v="Sector 6 agrupación torre B apto 11, Chiminangos II, Cali"/>
        <s v="Calle 38 Norte #2bn - 173, Prados del Norte, Cali"/>
        <s v="Calle 14c No.48-55 Apto 204c unidad residencial Rincón del Parque, barrio la Selva, la selva, Cali"/>
        <s v="carrera 13 # 5 - 31, San Bosco, Cali"/>
        <s v="Avenida 43 oeste #10a-54, Rural, Cali"/>
        <s v="Carrera 71A 10bis-19, Capri, Cali"/>
        <s v="CAlle 51 Norte # 3 an 175, La flora, Cali"/>
        <s v="Carrera 9c # 30 - 37, El troncal, Cali"/>
        <s v="Avenida 4 Norte # 7N-53 – Edificio/Torre de Consultorios, Centenario, Cali"/>
        <s v="Cra 83 oeste # 1B - 04, Alto Nápoles, Cali"/>
        <s v="av 6 a norte # 38-60 Alameda de chipichape 3, chipichape, Cali"/>
        <s v="Calle 13 # 53-45 – Unidad Villa Marcela Revisar Aptos: 202 -201-102 B; 101- 102 A, Primero de mayo, Cali"/>
        <s v="Calle 51 # 8-58, La base, Cali"/>
        <s v="Calle 5B3 Bis # 38-25, San Fernando, Cali"/>
        <s v="Calle 5b3 bis # 31 21, San Fernando, Cali"/>
        <s v="Carrera 1F # 58-50, Conjunto Punta del Este, Bochalema, Cali"/>
        <s v="Calle 5b 3bis # 38 - 32, San Fernando, Cali"/>
        <s v="Calle 55A Norte # 2AN-99 y # 2AN-107, Alamos, Cali"/>
        <s v="Calle 2A Bis # 82A-23, Alto Nápoles, Cali"/>
        <s v="Carrera 26P # 103D-17, Marroquín I, Cali"/>
        <s v="Calle 82 # 7b bis-12 - unidad atalaya, Alfonso López, Cali"/>
        <s v="Calle 64N #4-35. Apto 1001C Paseo real 3, la flora, Cali"/>
        <s v="los andes calle 56 con carrea 1d2 Edificio portal del encinar, los andes, Cali"/>
        <s v="carrera 41 con roosvelt, los cambulos, Cali"/>
        <s v="Calle 41 con Carrera 7, los cambulos, Cali"/>
        <s v="carrera 38a # 7 - 5 , hotel flamingo, Eucarístico, Cali"/>
        <s v="calle 5# 13-58, san cayetano, Cali"/>
        <s v="Edificio afectado Calle 8c #47-35 barrio nueva tequendama, edificio cerca a Palmetto, nueva tequendama, Cali"/>
        <s v="calle 5 #23-33 2do piso---- colapso de teccho en tres hacbitaciones , 5 familias en la edificacion----, san fernando, Cali"/>
        <s v="Reporta persona atrapada en el apartamento, la puerta se dañó y no ha podido evacuar, Calle 58 Nte #5b N - 62, @sebas.avila.cabal, la flora, Cali"/>
        <s v="Daños en Carrera 96 #2a-11, reenvía Catherine de CITEL, melendez, Cali"/>
        <s v="Carrera 1 G # 59 - 04, en el barrio Paseo de los Almendros, frente al Polideportivo Dakota., paseo los almendros, Cali"/>
        <s v="Para reportar que se cayó 2 edificios en el conjunto residencial bariloche carrera 53 # 13-65 bloque 7 - 102 hay personas de la tercera edad en silla de ruedas, barrio Primero de Mayo., 1 de mayo, Cali"/>
        <s v="edificio frente a la DIAN antiguo colpátria, san pedro, Cali"/>
        <s v="Afectaciones en unidad residencial, Calle 69 # 5-85, Johana Tovar, @kennyjohanatovar, el guabito, Cali"/>
        <s v="teatro municipal Carrera 5 # 6-64, san pedro, Cali"/>
        <s v="Carrera 61A # 3-114 Edificio San Antonio, Pampalinda, Cali"/>
        <s v="Hotel la luna, calle 13 con autopista suroriental, junin, Cali"/>
        <s v="Carrera 4 con calle 10- Casinno aladdin, san pedro, Cali"/>
        <s v="DOLLAR CITYD Carrera 3 # 69-59, jorge eliecer gaitan, Cali"/>
        <s v="carrera 9 #19-20 barrio sucre, sucre, Cali"/>
        <s v="Carrera 3N #24-58, El piloto, Cali"/>
        <s v="Carrera 12 #9-55, san bosco, Cali"/>
        <s v="calle 5 con 57, Cuarto De Legua - Guadalupe, Cali"/>
        <s v="edificio contiguoa a la iglesia de la Ermita, san pedro, Cali"/>
        <s v="Calle 18a #55-105 Samanes de Guadalupe, Cañaverales, Cali"/>
        <s v="carrera 66 con 13, bosques del limonar, Cali"/>
        <s v="calle 9 con 45, urbanizacion militar, Cali"/>
        <s v="calle 9 con 44, urbanizacion militar, Cali"/>
        <s v="Carrera 25 # 3- 51 Oeste San Fernando, san fernando, Cali"/>
        <s v="Calle 13A#85C -27, el ingenio, Cali"/>
        <s v="edificio capitolio 5 con 66, gran limonar, Cali"/>
        <s v="palacio de justicia en plaza de caycedo, san pedro, Cali"/>
        <s v="Calle 14 con Carrera 66 – Edificio Parques de la Fontana, bosques del limonar, Cali"/>
        <s v="Unidad residencial Villa Marcela calle 13#53-45, primero de mayo, Cali"/>
        <s v="calle 5 #40-90 edi., nueva granada, Cali"/>
        <s v="Avenida 10 Norte # 7N-130, Edificio Colinas de Juanambu, Juanambú, Cali"/>
        <s v="carrera 72 con 7bis capri, capri, Cali"/>
        <s v="calle 5B con carrera 42a parroquia la asencion-, tequendama, Cali"/>
        <s v="Calle 7 #19 -74, Alameda, Alameda, Cali"/>
        <s v="Carrera 12 #4-10 edificio esquina, San Cayetano, san cayetano, Cali"/>
        <s v="Avenida guadalupe con 3a-, Cuarto De Legua - Guadalupe, Cali"/>
        <s v="Carrera 2bn 72d04 floralia, ciudadela floralia, Cali"/>
        <s v="calle 59 y 62 #8-100 barrio la base unidad marco fidel suarez, la base, Cali"/>
        <s v="Carrera 72 #10bis-21 torre b comuna 17, los portales - nuevo rey, Cali"/>
        <s v="calle 2bis #76-09 barrio colinas del sur, colinas del sur, Cali"/>
        <s v="Avenida 7b oeste 19a56, Terrón Colorado, terron colorado, Cali"/>
        <s v="calle 18 #85c-47 edificio la zafra, el ingenio, Cali"/>
        <s v="calle 77 #28f-95, comuneros 1, Cali"/>
        <s v="Calle 2 B # 66 A 46, Colegio San José Refugio, el refugio, Cali"/>
        <s v="Carrera 34 #5b-77 san fernando, san fernando, Cali"/>
        <s v="universidad UNAD- roosvelt, Eucarístico, Cali"/>
        <s v="Av. 5 Nte. #22 Norte-2 a 22 Norte-100, Versalles, Cali"/>
        <s v="Calle 79e casa 2010, valle grande, Cali"/>
        <s v="Calle 59 #1C-73 Torres de comfandi conjunto B, Barranquilla, Cali"/>
        <s v="antigua clinica saludcop Calle 9 # 29 (Calle 9 con Carrera 30, barrio Champagnat / La Alameda)., Champagnat, Cali"/>
        <s v="Calle 8 c #47-35, Nueva Tequendama, Cali"/>
        <s v="Calle 3D 69-33, Palmas, Cali"/>
        <s v="Carrera 17f #3012 Droguería Superior, La Independencia, Cali"/>
        <s v="Carrera 66 con Calle 12, El limonar, Cali"/>
        <s v="avenida roosvelt con 26, 3 de julio, Cali"/>
        <s v="Calle 21N#4-09, San Vicente, Cali"/>
        <s v="calle 5b con 36 edificio los profesiol}nales, San Fernando, Cali"/>
        <s v="carrera 17 con calle 15, Manuel Buenaventura, Cali"/>
        <s v="Carrera 39 #5E-46, Tequendama, Cali"/>
        <s v="Carrera 36 con 5b3 detras del estadio pascual guerrero, San Fernando, Cali"/>
        <s v="Avenida 9 norte con 21- edificio de ancianos, Santa Monica Residencial, Cali"/>
        <s v="Avenida Roosevelt #39A-20, Tequendama, Cali"/>
        <s v="Calle 42 Nte. # 7 - 71 conjunto Terrazas de Chipichape, La Campiña, Cali"/>
        <s v="calle 1 bis 70-34 edificio las palmas, Bajo Jordan, Cali"/>
        <s v="Carrera 70 #1c-70 barrio caldas. torres de san mitchel, Buenos aires, Cali"/>
        <s v="Carrera 39 # 5E-46, edificio Bachue, Tequendama, Cali"/>
        <s v="Calle 2#2-33, San Antonio, Cali"/>
        <s v="calle 6 con 13, toda la cuadra, San Bosco, Cali"/>
        <s v="calle 7 #35-10 - 35-12el templete, El Templete, Cali"/>
        <s v="Avenida 3 norte 21-22 edificio calima, barrio Versalles, San Vicente, Cali"/>
        <s v="salud total, avenida de las amenricas Avenida 3 Norte # 19N-03, Barrio San Vicente., San Vicente, Cali"/>
        <s v="calle 38 norte 3#gn-09 ed. torre ddel prado, Prados del Norte, Cali"/>
        <s v="carrera 66 #9-81, Gran Limonar, Cali"/>
        <s v="Edifico Comfenalco Cambulos, Los Cámbulos, Cali"/>
        <s v="Carrera 15 #20-08, Belalcázar, Cali"/>
        <s v="Carrera 98f #58.66 unidad indigo, Ciudad Melendez, Cali"/>
        <s v="calle 5 con 13, San Cayetano, Cali"/>
        <s v="calle 12 oeste #54-130, Las Canas, Cali"/>
        <s v="Avenida 10 norte #7n.130 colinas de, Juanambú, Cali"/>
        <s v="call 8 entre 32 y 32a, El Cedro, Cali"/>
        <s v="calle 36 con 5, Las Delicias, Cali"/>
        <s v="corregimiento de golondrinas- sector la maria, Golondrinas, Cali"/>
        <s v="Carrera 37a #3bis-19 lomas de san fernando torre 1, Santa Isabel, Cali"/>
        <s v="Carrera 43 #6a -115 nueva tequendama 6, Nueva tequendama, Cali"/>
        <s v="calle 13e #55-02, Primero de mayo, Cali"/>
        <s v="kilometro 10.5 altos del rosario corregimiento de la buitrera, Altos del rosario, Cali"/>
        <s v="edificio altavista 2000, San fernando, Cali"/>
        <s v="Calle 2c #65-22, La Cascada, Cali, Valle del Cauca, La cascada, Cali"/>
        <s v="calle 9 con 54, Pampalinda, Cali"/>
        <s v="calle 2c #93-42 melendez, Melendez, Cali"/>
        <s v="Avenida 4bnorte #58-n60 paseo real- la flora, La flora, Cali"/>
        <s v="Calle 14c #49a-29 las camelias, Las camelias, Cali"/>
        <s v="Carrera 44a con 10, Limonar, Cali"/>
        <s v="Carrera 78 #1a-176 prados del sur, Prados del sur, Cali"/>
        <s v="Calle 5 con 36, San fernando, Cali"/>
        <s v="El colegio José Holguín garses y las escuelas del sector ulpiano lloreda y anamaría lloreda sector terrón colorado, Versalles, Cali"/>
        <s v="CALLE 43N 8N30 LA CAMPIÑA CASA DE JAIRO, La campiña, Cali"/>
        <s v="Carrera 53 con calle 12, Santa Anita, Cali"/>
        <s v="calle 22 norte 9-87, Versalles, Cali"/>
        <s v="Carrera 43 # 5C-34&#10; Barrio Tequendama- Fundación Lazzos de Amor, tequendama, Cali"/>
        <s v="Carrera 23D # 13-31, Junin, Cali"/>
        <s v="Avenida Los Estudiantes, sector La Escuela – Sede Educativa San Pedro, Montebello, Cali"/>
        <s v="Vereda Campo Alegre – Institución Educativa Andrés Lenis, Montebello, Cali"/>
        <s v="Felidia- sin direccion, Felidia, Cali"/>
        <s v="Carrera 72a #13a-80, quintas de don simon, Cali"/>
        <s v="Calle 5b1 #29-17, san fernando, Cali"/>
        <s v="parroquia nuestra señora de los andes- Validar, Los Andes, Cali"/>
        <s v="Calle 23n #6an-17 antigu ed- dinners, santa monica, Cali"/>
        <s v="Avenida 3n #23bn-43 Ed. España, san vicente, Cali"/>
        <s v="Carrera 94 #2-20, jordan, Cali"/>
        <s v="Calle 48n #4bn-42 Ed. petriza, la flora, Cali"/>
        <s v="Carrera 2 #59B, esquina, Los amendros, Cali"/>
        <s v="Calle 1d oeste # 100bis -76 Torre 87, Altos de Santa Elena / Polvorines, Cali"/>
        <s v="calle 57N #2BN-30 Piso 02 B/Ciudad los Álamos, Cali, los alamos, Cali"/>
        <s v="CALLE 55 A NORTE NROS. 2-AN-99 Y 2-AN-107, Pacara y Alamos, Cali"/>
        <s v="Av 1 oeste # 6-28 piso 1, Santa rita, Cali"/>
        <s v="calle 5c #29-54, san fernando, Cali"/>
        <s v="Ave 2 bn 32 an 33 - rincón de la flora dos etapa d, Prados del Norte, Cali"/>
        <s v="Calle 47 norte # 2i-24 edificio 3 pisos, La merced, Cali"/>
        <s v="Calle 12-A. No 50-25, Santa Anita, Cali"/>
        <s v="Carrea 36 c # 5 B 1-60, San fernando nuevo, Cali"/>
        <s v="Calle 55A # 30B-50, Comuneros I, Cali"/>
        <s v="calle 3 # 71-03, buenos aires, Cali"/>
        <s v="Cra 7Lbis # 76-96, Alfonso López, Cali"/>
        <s v="Carrera 32 # 12C-25, Colseguros, Cali"/>
        <s v="Carrera 15 # 8 - 50 hasta el 56, San Bosco, Cali"/>
        <s v="Calle 99 # 55 - 250, Puertas del sol, Cali"/>
        <s v="Carrer 100 # 34 96, Valle del Lili, Cali"/>
        <s v="Carrera 14 # 5-19, San Juan Bosco, Cali"/>
        <s v="Carrera 8 # 10 - 47, San pedro, Cali"/>
        <s v="Carrera 38 # 9a Oste -50, Cristales, Cali"/>
        <s v="Carrera 14 # 74-55, Andres Sanin, Cali"/>
        <s v="Avenida 10n # 7n -10 apart 502, Juananbu, Cali"/>
        <s v="Calle 2 #66B-19, apto 203, Refugio, Cali"/>
        <s v="Calle 79 # 9A-32, puerto mallarino, Cali"/>
        <s v="carrera 41a #16_40, San Judas, Cali"/>
        <s v="Calle 5 B 3 # 38 16, San fernando nuevo, Cali"/>
        <s v="Cra 1 No. 4 A 70D 08 bloque 95 apto 101, Los Alcazares, Cali"/>
        <s v="Calle 10 # 21 47, Bretaña, Cali"/>
        <s v="Carrera 36d #12 oeste - 143, Los Cristales, Cali"/>
        <s v="Carrera 59# 1-10, Cuarto de Legua, Cali"/>
        <s v="Calle 14 #42-12, El Guabal, Cali"/>
        <s v="Avenida 4 con 37 A, La flora, Cali"/>
        <s v="Avenida 3H con Calle 37 (prados del Norte), prados del norte, Cali"/>
        <s v="CAlle 10 #12-63, San Bosco, Cali"/>
        <s v="Calle 10 #12-69, San Bosco, Cali"/>
        <s v="Calle 39 N avenida 36 Esquina entre 3H y 36 (la juana), Union de Vivienda Popular, Cali"/>
        <s v="Calle 12 A Norte 6N 50 (bloque 3 apto 902), Granada, Cali"/>
        <s v="Calle 42 # 7 - 49, Antonio nariño, Cali"/>
        <s v="Calle 8 A No. 42-56, Los Cámbulos, Cali"/>
        <s v="Carrera 27 No. 4 Oeste-74, San Fernando, Cali"/>
        <s v="Cl. 13c #49-15, La Selva, Cali"/>
        <s v="Calle 26 norte #6-13, , Cali"/>
        <s v="Calle 2c # 66b -47, Refugio, Cali"/>
        <s v="Carrea 38 # 55 a 29, El Vallado, Cali"/>
        <s v="Calle 12A-No.57-21CR Palmar de Coomeva II, Primero de Mayo, Cali"/>
        <s v="Calle 7 oeste avenida 43B-33, Rural, Cali"/>
        <s v="Calle 3 oeste # 94A-35, Alto Polvorines, Cali"/>
        <s v="avenida Guadalupe # 2-157, Cuarto de Legua, Cali"/>
        <s v="Calle 2 # 66B-87, El Refugio, Cali"/>
        <s v="Calle 72W # 28B1-06, Poblado 2, Cali"/>
        <s v="calle 2A 93A - 176, melendez, Cali"/>
        <s v="calle 13 A # 69-74, La hacienda, Cali"/>
        <s v="Calle 9 # 27 - 60 Alameda, Alameda, Cali"/>
        <s v="Cl 12A #56-25, santa anita, Cali"/>
        <s v="Calle 3 oeste No 94A35 Barrio alto Polvorines, polvorines, Cali"/>
        <s v="Calle 12A-No.57-21, santa anita, Cali"/>
        <s v="Calle 8 # 42 - 55, Cámbulos, Cali"/>
        <s v="Calle 51 # 8H - 10, la base, Cali"/>
        <s v="Carrera 42A1 #42-88, la union, Cali"/>
        <s v="Cra. 23 #8-07, Bretaña, Cali"/>
        <s v="Calle 13 oeste # 55 - 72 Edificio Gualanday, Bella Suiza, Cali"/>
        <s v="Calle 13c # 49 -15 conjunto multifamiliar triveca, Zaguasqui, Cali"/>
        <s v="Calle 7 # 30-21, El cedro, Cali"/>
        <s v="Avenida 6N #26N -36, Santa Monica norte, Cali"/>
        <s v="Carrera 2b # 78 -03, Petecuy etapa 1, Cali"/>
        <s v="Carrera 97 #2a -50, Melendez, Cali"/>
        <s v="Calle 14 # 54-15, Limonar, Cali"/>
        <s v="Carrera 100 oeste #1B-26, Melendez, Cali"/>
        <s v=", San fernando viejo, Cali"/>
        <s v="Calle 72 P # 26 H 3 - 58, Los lagos distrito de agua blanca, Cali"/>
        <s v=", , Cali"/>
        <s v="Calle 4b # 35 - 19 Edificio amarillo, San fernando viejo, Cali"/>
        <s v="Carrera 38 # 6-58, El templete, Cali"/>
        <s v="Carrera 28 # 7 -47, El cedro, Cali"/>
        <s v="Carrera 27 #5B-29, 4 de Julio, Cali"/>
        <s v="Carrera 23d # 10a - 02, Bretaña, Cali"/>
        <s v="Carrera 42 # 6-29, Cámbulos, Cali"/>
        <s v="Avenida las americas # 22n _45 fondo nacional del ahorro, San Vicente, Cali"/>
        <s v=", San Fernando, Cali"/>
        <s v="Carrera 56 # 5 -80, Guadalupe, Cali"/>
        <s v="Calle 71 a # 2 C 68, Jorge eliecer gaitan, Cali"/>
        <s v="Carrera 24 #7-71, Alameda, Cali"/>
        <s v=", La base, Cali"/>
        <s v="Cra 16 #9-30, Bretaña, Cali"/>
        <s v="Carrera 50B con Avenida 12 Oeste, lleras camargo, Cali"/>
        <s v="Calle 4b #39-47, Nueva Granada, Cali"/>
        <s v="Calle 12 # 39-40, Departamental, Cali"/>
        <s v="Avenida 5B Norte # 64-80 Apartamento 402 Torre A, La Flora, Cali"/>
        <s v="Calle 5B #52A - 5, tequendama, Cali"/>
        <s v="Cra 36b #5-127, San Fernando, Cali"/>
        <s v="Carrera 48 # 4-163, el lido, Cali"/>
        <s v="Calle 13 # 13 -86, San Pascual, Cali"/>
        <s v="Carrera 12 D 30 08, Saavedra galindo, Cali"/>
        <s v="Carrera 62 #2A-96, Cuarto de Legua, Cali"/>
        <s v="Calle 13A # 39-51, El Guabal, Cali"/>
        <s v="Carrera 51 # 8h-10, Panamericano, Cali"/>
        <s v=", Santa Isabel, Cali"/>
        <s v="Carrera 42A1 #42-88  B// union de vivienda popular , union de viviendas popular , Cali"/>
        <s v="Calle 8 22 87, La alameda, Cali"/>
        <s v="Call 42 a cr 47 b 41 marianos ramos"/>
        <s v="calle 63 #23-36 Nueva floresta"/>
        <s v="CRA 43A # 13-77 barrio Guabal"/>
        <m/>
        <s v="Carrera 26T #73-136 Alfonso Bonilla Aragón. "/>
        <s v="Avenida 2AN # 39- 213 barrio Vipasa&#10;Multifamiliar Ochoa"/>
      </sharedItems>
    </cacheField>
    <cacheField name="Descripción" numFmtId="0">
      <sharedItems containsBlank="1">
        <s v="Colapso de 3 edificaciones y 4 en riesgo de colapso"/>
        <s v="Colapso Estructural"/>
        <s v="-"/>
        <s v="Daño estructural"/>
        <s v="Colapso estructural - Edificación de 8 pisos colapsada, aproximadamente 28 personas atrapadas. Fuga de gas, Edificio de 7 pisos"/>
        <s v="Colapso estructural - Niña atrapada"/>
        <s v="Daño estructural, evacuación controlada"/>
        <s v="Edificio en alto riesgo de colapso"/>
        <s v="Fallecido Masculino - Vía Pública"/>
        <s v="Colapso techo, reportan fallecido Guillermo Atehortua CC 14948983"/>
        <s v="Daño estructural - reportan 2 ancianos atrapados"/>
        <s v="Daño estructural , se reportan atrapamiento femenina y canino"/>
        <s v="Daño estructural, Se escucha"/>
        <s v="Daño estructural, con posibles fugas de gas"/>
        <s v="Daño estructural, casa antigua a punto de colapsar"/>
        <s v="Arboles caidos"/>
        <s v="daño estructural casa de tres pisos, hay grietas en todos los pisos,CEL. 3136175363 Olga Lucía Camacho"/>
        <s v="Daño estructural, evacuacion controlada"/>
        <s v="Daño estructural , Fisuras en 3 piso"/>
        <s v="daños en fachada y estructura del edificio, Vicenta Striem resido en la Avenida 4B norte # 52N 76 apto 110 conjunto Aragon La Flora.&#10;Cel: 3148079618"/>
        <s v="Taller afectado, iglesia al lado destruida"/>
        <s v="Daño estructural en vivienda paredes agrietadas"/>
        <s v="muro posterior agrietado Nombre: miguel González &#10;Telefono: 318 389 43 60"/>
        <s v="Daño estructural en mamposteria y paredes agrietadas"/>
        <s v="afectacion estructural en edificio de 5 pisos por desprendimiento de muros yina riascos cc 66.749.927"/>
        <s v="edificio con grietas, Stephany Castañeda celular 3176822210"/>
        <s v="daño estructural ana villota 3122953851"/>
        <s v="daño estructural jesus alvarez gallego 3117402973"/>
        <s v="daño estructural María deissy Silva sanchez cc 52704070. Celular 3137960993"/>
        <s v="daño estructural, paredes y techo M"/>
        <s v="Edificio que se agrietó por replica"/>
        <s v="edificio está muy agrietado, aperturas por donde cabe una mano y hasta una persona Paredes en el piso y demás, se está ladeando hacia adelante. Sandra Velez, soy la administradora del edificio Palma de La Voragene celular 316 7531109"/>
        <s v="Daño estructural en vivienda"/>
        <s v="daño estructural, colapso de techo"/>
        <s v="caida de techo en empresa- ttabajadores evacuados"/>
        <s v="daño estructural-colapso de pared"/>
        <s v="daño estructural cida parcial de muros"/>
        <s v="daño estructural, colapso en techo"/>
        <s v="daño estructural en fachada"/>
        <s v="daño estructural y colapso en techo de local comercial"/>
        <s v="colapso estructural de pared sobre techo"/>
        <s v="daño estructural, caida de paredes"/>
        <s v="colapso de vivienda- persona lesionada"/>
        <s v="daño estructural, caida parcial de techo"/>
        <s v="daño estructural, caida parcial pared de fachada"/>
        <s v="daño estructural-edif contiguo tambien con daño estructural"/>
        <s v="daño estructural. colapso parcial de techo"/>
        <s v="daño estructural, cida de techo parcial en ultimo piso"/>
        <s v="colapso parcial de pared hacia via publica"/>
        <s v="colapso parcial en paredes"/>
        <s v="colapso en pared trasera"/>
        <s v="daño estructural, colapso parcial en paredes"/>
        <s v="daño estructural. parcial de muro"/>
        <s v="daño estrucutural colap de muros"/>
        <s v="daño estrucutural"/>
        <s v="daño en vivienda por colapso de estructura"/>
        <s v="daño estructural, daño en paredes exteriores del edificio"/>
        <s v="vivienda con afectacion en estructura, grietas cel 3206422698 Aymer Darío Pérez Ramírez Anexo otro número de contacto 3148578390"/>
        <s v="afectacion por daños en cubierta y estructura, Carlos Duvan Rendón 310 3732331"/>
        <s v="Grietas en todas las paredes ,necesitamos evaluación por estructurales ."/>
        <s v="afectacion en paredes y riesgo de caida de cubierta"/>
        <s v="apartamento con afectacion en estructura y perdida parcial de cielo falso."/>
        <s v="daño estructural,"/>
        <s v="Grietas en todos los pisos pero no sabemos qué tan graves puedan llegar a ser. Es una casa de 3 pisos con terraza y vemos que cada piso hay grietas en los techos y paredes."/>
        <s v="edificio con afectaciones en fachada y grietas"/>
        <s v="Afectacion a vivienda por grietas, 301 2160701"/>
        <s v="Fondo Nacional del Ahorro Sede Las Americas - requiere revision de las instalaciones para poder ingresar los empleados y resumir operaciones."/>
        <s v="Daño estructural en vivienda Paola Vargas 3187207404"/>
        <s v="daño estructural caida de techo 3105392101"/>
        <s v="Pisos y escaleras que cedieron y una pared que está por caer y pone en riesgo las casas de al lado."/>
        <s v="afectacion por grietas, requiere verificacion Gloria Isabel Rincón &#10;3148383882"/>
        <s v="las casas están agrietadas y paredes caídas y otras en riesgo inminente de colapso,"/>
        <s v="vivienda con afectacion por grietas, requiere verificacion"/>
        <s v="daño estructural Yoselin santana 3159254781"/>
        <s v="Edificio vecino inclinado con alto riesgo de caer sobre este registrado, e igualmente este presenta daños estructurales, defensa civil recomendo evacuar (ya lo hicieron)"/>
        <s v="pared de tercer piso con grietas, desprendida de columna, tienda elige llantas, Daniel Muelas administrador 3122586869&#10;3182081805"/>
        <s v="Pared descolgada que amenaza caer en casa vecina"/>
        <s v="presenta unas fisuras entre el primero y sexto piso séptimo y octavo otras fisuras menos evidentes más delgadas. El Ascensor no está en funcionamiento y el contrapeso averió la cabina de Ascensor."/>
        <s v="daño estructural, local vehimarcas del valle Ivon Katherine Sánchez tel 3128332023-3147921804, email delvallevehimarcas@gmail.com"/>
        <s v="afectacion en fachada por grietas, requiere verificacion"/>
        <s v="colapso total de cubierta, requiere verificacion Jesús Arnoby López 322 4991384"/>
        <s v="Techos y muros colapsados, daño severo"/>
        <s v="afectacion estructural requiere verificacion en todo el edificio"/>
        <s v="casa de 3 pisos con afectacion estructural, María Elizabeth Medina Leal&#10;&#10;Contactos 3182970023&#10;3136612178&#10;3171387883"/>
        <s v="afectacion estructurar se requiere verificacion del edificio"/>
        <s v="afectacion en pared por desplome de edificio vecino, requiere verificacion"/>
        <s v="afectacion en pared exterior con riesgo de caida"/>
        <s v="Fachada agrietada alrededor de ventanas"/>
        <s v="afectacion estructural, ÁLVARO FERNANDO CÁRDENAS YARCE&#10;cc. 94.511.374 de Cali&#10;Cel.: 300 603 32 41"/>
        <s v="Grietas en la torre i"/>
        <s v="afectacion en cielo falso y paredes agrietadas, requiere verificacion"/>
        <s v="afectacion estructural, requiere verificacion,Teléfono Comtacto en sitio &#10;Geisler &#10;+57 (300) 283-2681 Teléfono contacto &#10;Ximena Delgado M&#10;3045216867"/>
        <s v="Daños estructurales en 14 casas, una casa es perdida total, 33 personas afectadas, muchos niños."/>
        <s v="Agrietamiento en estructura fachada del edificio"/>
        <s v="afectaciones importantes tanto internas como externas. Se cayeron algunas paredes y se evidencian grietas en varias paredes y elementos de la estructura"/>
        <s v="afectacion estructural, requiere verificacion"/>
        <s v="Las escaleras del 4 y 5 piso se encuentran agrietadas y en el el segundo piso las escaleras tienen una abertura en la unión de las gradas que ya se desprendió el cemento y no aguantan otro sismo, y los apartamentos tienen grietas"/>
        <s v="Grietas leves. escaleras con grietas"/>
        <s v="afectacion estructural requiere verificacion"/>
        <s v="Evidenciamos una grieta en la casa, el segundo piso, cerca a la columna hacia al abismo"/>
        <s v="edificio evacuado por afectacion estructural"/>
        <s v="Daño estructural en las escaleras"/>
        <s v="daño estructural en edificio"/>
        <s v="persona atrapada- daño estructural"/>
        <s v="daños estructurales"/>
        <s v="daños estructurales en multiples casas del sector"/>
        <s v="colapso estructural piso superior"/>
        <s v="colapso en pared perimetral, techo averiado"/>
        <s v="agrietamiento de paredes en edificio, afectacion es estructura"/>
        <s v="Daño estructural, techo colapsado"/>
        <s v="Vivienda con graves afectaciones"/>
        <s v="daño estructural, reportan personas atrapadas"/>
        <s v="daño estructural en pisos intermedios"/>
        <s v="Se presentan muchas grietas dentro de los apartamentos y en las escaleras de la torre, nos da miedo volver a subir sin revisión de la estructura"/>
        <s v="edificios colapsados, en la zona"/>
        <s v="daño estructural estructura comerciar"/>
        <s v="daño estructural en edificio de viviendas- apartamentos"/>
        <s v="Afectaciones en la vivienda, grietas, solicita verificación de la vivienda, edificio de 3 pisos"/>
        <s v="Afectaciones en fachada del edificio"/>
        <s v="afectaciones en parte posterior de fachada"/>
        <s v="daño estructural en fachada- sin revisar"/>
        <s v="daño estructural en fachadas y escaleras"/>
        <s v="Agrietamiento en el edificio"/>
        <s v="daño estructural, con inclinacion de estructura"/>
        <s v="Afectaciones en el edificio"/>
        <s v="colapso estructural total en edificio"/>
        <s v="colapso parcial de estructura"/>
        <s v="reporta afectaciones en vivienda"/>
        <s v="agrietamiento en vivienda, afectaciones en estructura"/>
        <s v="caida de edificio"/>
        <s v="Afectaciones en vivienda"/>
        <s v="agrietamientos en estructura"/>
        <s v="colapso de estructura"/>
        <s v="colapso de estructura-viviendas"/>
        <s v="Colaspo de estructura"/>
        <s v="agrietamiento de estructura y eescaleras"/>
        <s v="colapso del techo y pared medianera"/>
        <s v="Agrietamiento en fachada"/>
        <s v="caida de techo y muro"/>
        <s v="colapso parcial de fachada y paredes. con afectacion e techo"/>
        <s v="colapso de techo y pared en estructura de uno mixto"/>
        <s v="grieta en fachada de vivienda"/>
        <s v="agrietamiento en vivienda"/>
        <s v="colapso de paredes de fachada, agrietamiento de estructura"/>
        <s v="agrietamiento en edificio"/>
        <s v="techo colapsado"/>
        <s v="afectaciones en la fachada"/>
        <s v="Daños materiales sin víctimas"/>
        <s v="daño en estructura en varias edificaciones de uso mixto seguidas de 3 pisos"/>
        <s v="afectacion en fachada de edificio"/>
        <s v="daño en estructura de edificio, caida de materia de fachada"/>
        <s v="colapso de edificaciones varias."/>
        <s v="afectacion estructural en edifico con caida de material"/>
        <s v="daño estructural con caida de material"/>
        <s v="edificio colapsado"/>
        <s v="daño en estructura, vigas y columnas afectadas"/>
        <s v="se desplomó techo y fachada"/>
        <s v="colpaso en paredes internas del edificio"/>
        <s v="grietas en pared"/>
        <s v="colapso de paredes, daños estructurales"/>
        <s v="edificio de 4 pisos, fisuras en columnas y desplazamiento de la edificacion"/>
        <s v="edificio de 16 pisos afectaciones internas en muros evacuados el 50% hay personas de movilidad reducida ciegos"/>
        <s v="daño estructural, con caida de material en via publica"/>
        <s v="agrietamiento en estructura, edificio de 5 pisos, sobre todo el pirmer piso"/>
        <s v="colapso de estructura, aplastando carros en parqueadero"/>
        <s v="argietamiento en estructura en tercer piso y terraza, con riesgo de colapso"/>
        <s v="arietamiento en edificio de 10 oisos"/>
        <s v="caida materia en via publica, daños en fachadas en estructuras de uso mixto"/>
        <s v="dañoe en estructura de edificio de viviendas, tanque dañado con riesgo de caer"/>
        <s v="dañoe estructural en edificio de apartamentos"/>
        <s v="5 viviendas colapsadas del grupo satic"/>
        <s v="agrietamiento en estructura de edificio de apartamentos"/>
        <s v="agrietamientos profundos en vivienda, con riesgo de colapso"/>
        <s v="persona atrapada en edificacion"/>
        <s v="edificio de apartamentos con colapso interno"/>
        <s v="agrietamiento estructurral caida parcial de techo en edificacion de 10 pisos de uno mixto"/>
        <s v="afectacion forntal de vivienda por colapso de muros en manposteria, riesgo de colapso"/>
        <s v="afectaciones internas y en escaleras de edificio de aoartamend¿tos de 9 pisos 7 torres afectadas"/>
        <s v="daño estructural en edificacion de apartamentos"/>
        <s v="colapso parcial de techo, daño en estructura en vivienda de 4 pisos"/>
        <s v="daño estructural en columnas y fachada"/>
        <s v="edificacion de uso mixto de 4 pisos con agrietamiento de pardes y fachada"/>
        <s v="edificacion de uso de colegio, agrietamiento en paredes y caida de tejas en techo."/>
        <s v="agrietamiento en vivienda de dos pisos"/>
        <s v="agrietamiento en edifivio de apartamentos"/>
        <s v="agrietamiento en vivienda, con dalo en pared medianera"/>
        <s v="colapso de paredes, con dañoe estructural. reportan femenina muerta en la escena"/>
        <s v="colapso parcial de edificio residencial"/>
        <s v="daño estructural en pisos altos"/>
        <s v="Daño estructural, Cida parcial de techo"/>
        <s v="Daño estructural, colapso de muros"/>
        <s v="Daño estructural, grietas"/>
        <s v="Grietas graves y derrumbe alrededor"/>
        <s v="Daño estructural edificio de 6 pisos con riesgo de colapso"/>
        <s v="evacuacion controlada, requiere verificacion Rector: Patricia Escobar Cel. 3113446002 Paulo Cesar Sabogal Administrador 3103900816"/>
        <s v="3 paredes averiadas con riesgo de colapso"/>
        <s v="Daños grandes en la estructura, torres 3 &amp; 4 ya evacuadas"/>
        <s v="afectacion en cubierta y estructura"/>
        <s v="afectación como caídas de las láminas del cielo raso de la cocina"/>
        <s v="Colapso completo de habitaciones, y posible derrumbe de estructura"/>
        <s v="Daño estructural, en el bloque varios aptos tienes grietas queremos saber si son de riesgo"/>
        <s v="Grieta leve"/>
        <s v="Daño estructural 5 torres de 5 apartamentos"/>
        <s v="Cada apartamento presenta grietas fuertes internas y de fachada, 3 familias viven alli"/>
        <s v="Techo parcialmente caido, muros/paredes agrietados"/>
        <s v="Estado grave, residentes actualmente durmiendo en la calle, son casi 20"/>
        <s v="Grietas considerables en todo el edificio"/>
        <s v="Grieta grande en la parte externa"/>
        <s v="Grietas balcon inclinado hacia delante"/>
        <s v="Grietas en la vivienda"/>
        <s v="Se rompió ubo de agua, paredes agrietadas a punto de caerse y baños dañados"/>
        <s v="grietas en toda la estructura, riesgo de colapso, evacuado, esperando concepto tecnico de riesgo"/>
        <s v="Grietas en el 100% de la estructura"/>
        <s v="Caida de techo y paredes, al borde del colapso total"/>
        <s v="Grave agrietamiento en estructura, riesgo de colapso, evacuado"/>
        <s v="Daño severo de la estructura, alto riesgo de colapso"/>
        <s v="Edificio inclinado con alto riesgo de colapsar sobre Guarderia"/>
        <s v="Daño estructural, colapso parcial paredes de fachada"/>
        <s v="daño estructural grave, vivienda inhabitable"/>
        <s v="Daño estructural, 67 de 72 familias evacuadas"/>
        <s v="Daño estructural grave, edificio evacuado con riesgo de colapso"/>
        <s v="daño estructural en columna de construccion de dos pisos"/>
        <s v="Daño en paredes y la base del edificio"/>
        <s v="4 torres de 20 pisos son 540 apartamentos"/>
        <s v="Cuenta con 3 psos nueve apartamentos con grietas"/>
        <s v="El segundo piso se agrieto"/>
        <s v="Todos los pisos estan afectados con grietas son 2 apartamentos por psios"/>
        <s v="Son varias casas con grietas y afectaciones estructurales"/>
        <s v="Fachada y gradas agrietadas"/>
        <m/>
        <s v="DAÑOS EN PAREDES DE LA SALA EL PATIO COCINA NOS PIDIERON EVACUAR"/>
        <s v="El edificio es 5 pisos con 4 apartamentos - preesenta grietas y problemas en la base del edificio"/>
        <s v="Presenta grietas. rejas movidas y sin poder cerrar."/>
        <s v="El edificio es 5 pisos con 5 apartamentos y 5 oficinas - presenta grietas y problemas en la base del edificio"/>
        <s v="Colapso el techo y un muro&#10;Paredes agrietadas"/>
        <s v="Se le callo el techo y los pisos estan donde unos vecinos"/>
        <s v="edificio de 10 apartamentos. 4 de ellos bien afectados. El primer piso agrietados pero los 3 y 4 están las paredes acabadas se cayó la pared de baños. Azulejos. El sótano está intacto."/>
        <s v="Casa de dos pisos, tiene grietas"/>
        <s v="Daño estructural en vigas y muros"/>
        <s v="Grietas en las peredes y se callo un techo en la parte de atras"/>
        <s v="El edificio tiene grietas, paredes rajadas"/>
        <s v="Grietas en las peredes, daños visibles en estructura"/>
        <s v="Pared de tercer piso colapsada y escaleras dañadas."/>
        <s v="problemas en la estructura del inmueble tenemos paredes con grietas"/>
        <s v="Terraza se cayó muro, 2 centímetros, agrietado terraza, grietas Estructurales en toda la vivienda, vivienda de 2 pisos y terraza"/>
        <s v="daño estructural en torre que tiene unas campanas con más de 100 kilos, con casas al rededor"/>
        <s v="una pared de la casa vecina cayo sobre el techo y este ocaciono el colapso del mismo, aun no se ha caido del todo pero esta apunto de hacerlo"/>
        <s v="las escaleras se ven con mucho daño y mucha grieta"/>
        <s v="Grietas en paredes y muros"/>
        <s v="daño estructural -grietas"/>
        <s v="Vivienda de dos pisos, Se cayó la culata del vecino en el techo del ciudadano, un herido golpe en la cabeza con heridas leves pero atendidos medicamente, un segundo afectado con golpes en el cuerpo pero son lesiones graves"/>
        <s v="daño estructural, con caida de paredes en interiores y zona de parqueaderos"/>
        <s v="Del 3 al 1 hay dilatacion de las columnas a las paredes con grietas, el 4 piso se callo la fachada quedo colgando con peligro inminente "/>
        <s v="Viga doblada, grieta leve, viga en segundo piso fracturada, marcos de puerta en cuarto piso dañados.&#10;Actualmente estna viviendo ahí, hay menores de edad."/>
        <s v="Daños graves en fachada"/>
        <s v="presenta unas grietas muy fuertes y columnas averiadas"/>
        <s v="están destruidos y afectados 6 de 8 aptos"/>
        <s v="Grietas leves "/>
        <s v="daño estructural, con caida parcial de techo y de pared"/>
        <s v="dañoe estructural, caida de pared en techo de vivienda"/>
        <s v="afectaciones en vigas y columnas en la parte interna"/>
        <s v="daño estructural por desprendimiento parcial de muros"/>
        <s v="Luz Elena Quintana Duque&#10;Celular 3216914175&#10;Vereda las pilas del cabuyal casa 15 b&#10;Urgente Visita"/>
        <s v="colapso del techo"/>
        <s v="Grietas en paredes"/>
        <s v="Calle 4ta # 58-70 cuarto de legua edificio Mariana lloreda de 7 pisos requiere valoración contacto: 3113330588- 3155202535 Jairo Otero"/>
        <s v="daño estructural en paredes, vigas y techo"/>
        <s v="Grietas, escaleras deterioradas, grietas en fachas, internanmente puertas y ventanas colapsadas."/>
      </sharedItems>
    </cacheField>
    <cacheField name="Normalizacion" numFmtId="0">
      <sharedItems containsBlank="1">
        <s v="Colapso Estructural"/>
        <s v="-"/>
        <s v="Afectación estructural"/>
        <s v="Alto Riesgo de Colapso"/>
        <s v="Levantamiento de cuerpo"/>
        <s v="Arboles caidos"/>
        <s v="Colapso Parcial"/>
        <m/>
        <s v="Afectacion estructural."/>
        <s v="afectacion estructural"/>
        <s v="afetacion estructural"/>
        <s v="afectacion estructural en riesgo"/>
        <s v="Afectación estructural "/>
        <s v="afectacion estructural "/>
      </sharedItems>
    </cacheField>
    <cacheField name="Personas Evacuadas">
      <sharedItems containsBlank="1" containsMixedTypes="1" containsNumber="1" containsInteger="1">
        <m/>
        <s v="-"/>
        <s v="SI"/>
        <n v="0.0"/>
        <s v="NO"/>
      </sharedItems>
    </cacheField>
    <cacheField name="Seres sintientes">
      <sharedItems containsBlank="1" containsMixedTypes="1" containsNumber="1" containsInteger="1">
        <m/>
        <s v="-"/>
        <n v="0.0"/>
      </sharedItems>
    </cacheField>
    <cacheField name="Atencion de la respuesta" numFmtId="0">
      <sharedItems containsBlank="1">
        <s v="BROS - DCC"/>
        <s v="PROFESIONAL VOLUNTARIO"/>
        <s v="-"/>
        <s v="BROS"/>
        <s v="DCC - BROS"/>
        <s v="RIESGOS - BROS"/>
        <s v="RIESGOS"/>
        <s v="CRC"/>
        <m/>
        <s v="BROS - RIESGOS"/>
        <s v="Bomberos - Cruz Ruja"/>
        <s v="DCC - BROS - MOVIIDAD - POLICIA"/>
        <s v="GAS - &#10;DCC - BROS &#10;PROFESIONAL VOLUNTARIO"/>
        <s v="BROS -&#10; CRC"/>
        <s v="RIESGOS / PROFESIONAL VOLUNTARIO"/>
        <s v="BROS PALMIRA"/>
        <s v="BRS &#10;- CRC"/>
        <s v="DCC"/>
        <s v="SCOUT"/>
        <s v="PAZ Y CULTURA"/>
        <s v="EDRU"/>
        <s v="BROS - CR - DCC"/>
        <s v="DAGMA"/>
        <s v="BROS POPAYAN / PROFESIONAL VOLUNTARIO"/>
        <s v="RIESGOS , PROFESIONAL VOLUNTARIO"/>
        <s v="DCC - BROS / PROFESIONAL VOLUNTARIO"/>
        <s v="BROS / PROFESIONAL VOLUNTARIO"/>
        <s v="BROS, RIESGOS, PROFESIONAL VOLUNTARIO"/>
        <s v="ICBF /PROFESIONAL VOLUNTARIO"/>
        <s v="DCC / PROFESIONAL VOLUNTARIO"/>
      </sharedItems>
    </cacheField>
    <cacheField name="Colapso Total">
      <sharedItems containsBlank="1" containsMixedTypes="1" containsNumber="1" containsInteger="1">
        <n v="1.0"/>
        <s v="-"/>
        <m/>
      </sharedItems>
    </cacheField>
    <cacheField name="Colapso Parcial">
      <sharedItems containsBlank="1" containsMixedTypes="1" containsNumber="1" containsInteger="1">
        <m/>
        <s v="-"/>
        <n v="1.0"/>
      </sharedItems>
    </cacheField>
    <cacheField name="Daños">
      <sharedItems containsBlank="1" containsMixedTypes="1" containsNumber="1" containsInteger="1">
        <m/>
        <s v="-"/>
        <n v="1.0"/>
      </sharedItems>
    </cacheField>
    <cacheField name="Atrapamientos">
      <sharedItems containsBlank="1" containsMixedTypes="1" containsNumber="1" containsInteger="1">
        <s v="SI"/>
        <s v="NO"/>
        <s v="-"/>
        <n v="2.0"/>
        <n v="5.0"/>
        <n v="20.0"/>
        <n v="12.0"/>
        <s v="Validar"/>
        <m/>
        <s v="29 (niños)"/>
        <n v="11.0"/>
        <n v="0.0"/>
        <n v="3.0"/>
        <n v="1.0"/>
        <s v="SI (60)"/>
        <n v="50.0"/>
        <n v="18.0"/>
        <n v="4.0"/>
        <n v="13.0"/>
      </sharedItems>
    </cacheField>
    <cacheField name="Rescatados">
      <sharedItems containsBlank="1" containsMixedTypes="1" containsNumber="1" containsInteger="1">
        <n v="7.0"/>
        <m/>
        <s v="-"/>
        <n v="10.0"/>
        <n v="5.0"/>
        <n v="6.0"/>
        <n v="3.0"/>
        <n v="4.0"/>
        <n v="8.0"/>
        <n v="0.0"/>
        <n v="2.0"/>
      </sharedItems>
    </cacheField>
    <cacheField name="Fallecidos">
      <sharedItems containsBlank="1" containsMixedTypes="1" containsNumber="1" containsInteger="1">
        <n v="3.0"/>
        <m/>
        <s v="-"/>
        <n v="7.0"/>
        <n v="1.0"/>
        <n v="2.0"/>
        <n v="0.0"/>
        <n v="6.0"/>
        <n v="4.0"/>
        <s v="SI"/>
        <s v="No"/>
      </sharedItems>
    </cacheField>
    <cacheField name="Hospital/Clinica">
      <sharedItems containsBlank="1" containsMixedTypes="1" containsNumber="1" containsInteger="1">
        <m/>
        <s v="-"/>
        <n v="1.0"/>
        <n v="0.0"/>
      </sharedItems>
    </cacheField>
    <cacheField name="NOMBRE DELEGADO">
      <sharedItems containsBlank="1" containsMixedTypes="1" containsNumber="1" containsInteger="1">
        <s v="DANIELA GONZALEZ/MAFE"/>
        <m/>
        <s v="-"/>
        <s v="Juan Manuel Montaño y Jose Luis Cobo"/>
        <s v="Gebel Taba"/>
        <s v="Giovanny Ordoñez y Felipe Galves"/>
        <s v="Miguel Medina"/>
        <s v="YESICA JORDAN"/>
        <s v="Alejandro Barrera&#10;Daiha Navarro"/>
        <s v="NATHALIE GARCIA - EVELIN COLLAZOS - ERON CISNEROS - MARIA ISABEL"/>
        <s v="DANIELA CARDONA"/>
        <s v="CAMILA LOZANO&#10;MIGUEL LOPEZ"/>
        <s v="Juan David Lopez"/>
        <s v="Nicolás Alarcón Brochero"/>
        <s v="JOSE APOLINAR"/>
        <s v="Sebastian Penagos y David Arboleda"/>
        <s v="Sergio Arias"/>
        <s v="JUAN HERNANDEZ"/>
        <n v="1.0"/>
        <s v="Carlos Rua"/>
        <s v="Juan Jose Mendez Scout - natalia Diaz"/>
        <s v="Felipe Ortiz Rubiano"/>
        <s v="Wilmar Valencia - Nicolas Quintero"/>
        <s v="Francisco Qesada y patricia de la pava"/>
        <s v="Diana Gomez y Angel Rodriguez"/>
        <s v="Nicolas Mejia"/>
        <s v="Luis Ramírez"/>
        <s v="Juan Hernández y Héctor Rivas"/>
        <s v="Sebastian Vleasco y Jefry lemos"/>
        <s v="Carolina Soto - Juan Cralos"/>
        <s v="Andres Prado - Unidad de busqueda"/>
        <s v="Carlos Rua / Felipe Ortiz Rubiano"/>
        <s v="Rodrigo Valencia - voluntario"/>
        <s v="Maribel Cortes"/>
        <s v="NATALIA"/>
        <s v="Atiende Juan Hernández y Héctor Rivas"/>
        <s v="Nathalie García"/>
        <s v="Arquitecto Daniel Andrés Ruiz Ferro"/>
        <s v="Natalia Diaz, Juan Ballesteros y Juan Mendez"/>
        <s v="Margarita Ocho y Nicolas Guzman"/>
        <s v="Edwin Henao"/>
        <s v="Doris y Orlando"/>
        <s v="JHON MOLANO"/>
        <s v="Juan Carlos Florez / Mauricio lopez - Atiende virtual"/>
        <s v="Franco -300 6408781"/>
        <s v="JUAN CARLOS FLOREZ"/>
        <s v="ESTEAFIA / ANGELICA CAICEDO"/>
        <s v="Alejandro Barrera -Dahian Navarro"/>
        <s v="Juan David Hernandez"/>
        <s v="TEO"/>
        <s v="Francisco Quesada"/>
        <s v="Natalia Torres - Riesgos"/>
        <s v="Alejandra Rodriguez-3182817107"/>
        <s v="Carmen Dominguez y Juan David"/>
        <s v="Cesar Ibañez"/>
        <s v=""/>
        <s v="Vivienda"/>
        <s v="Jolio Cesar Upegui-3146170049"/>
        <s v="Javier Molina 3104580674"/>
        <s v="Natalia Sarasty Calderón - Móvil : 3137502880"/>
        <s v="Lus Marina Santa 3117454538"/>
        <s v="Erum Rescate Colombia"/>
        <s v="Maribel Cortés Carvajal"/>
      </sharedItems>
    </cacheField>
    <cacheField name="Observación Gestión del Riesgo">
      <sharedItems containsBlank="1" containsMixedTypes="1" containsNumber="1" containsInteger="1">
        <s v="En atención se requiere busqueda tecnica. (Bros).. Se asistio con 5 Recursos (máquinas y vehículo de comando), en horas de la noche nos retiramos. El área queda LIMPIA"/>
        <s v="(Bros)...ver punto Nro 20"/>
        <s v="-"/>
        <s v="Reporte enseguida del D1, no hay personal de bomberos, no hay energía, se necesitan linternas y guantes. (Bros)... Nos encontramos trabajando con varios recursos (aproximadamente 10 vehículos, Bomberos Yumbo) siendo las 23: 20 horas se continua las labore"/>
        <s v="En atención, salimos la estación alameda en la máquina B2 a la Carrera 61 # 3-167 cuarto de Legua"/>
        <s v="Edificio averiado, se rescata una feminina del sexto piso, lugar acordonado y se da indicacaciones de no habilitar el lugar. (Bros)... = igual información"/>
        <s v="Se requiere personal personas atrapadas. (Bros)... Se asitio con dos recursos. ZONA LIMPIA"/>
        <s v="Riesgos - Vivienda de dos niveles afectada en fachada. Fractura en paredes de habitación de la parte frontal. Maria Eugenia Ospina.,"/>
        <s v="Familia de 5 personas atrapada - no hay equipos de rescate. (Bros)... Ver punto Nro 6"/>
        <s v="Se cayo el hotel la luna, no hay personas atrapadas. (Bros)... No hubo intervención por parte de Bomberos"/>
        <s v="Se requiere validar, no hubo atención de bomberos. Fuga de gas y maquinaria para buscar 3 víctimas con movilidad reducida&#10;Calle 5ta 42 esquina 3235906044 Oscar Aristizábal"/>
        <s v="En atención - Priorizado USAR Nacional, Se recomendó evacuación"/>
        <s v="Se encuentan en labores de rescate, se requiere apoyo de Seguridad y Justicia; policia con el fin de controlar la aglomeración de personas."/>
        <s v="1. descripcion de la afectación: Edifico de 5 pisos más azotea colapso,&#10;2. se tienen sobrevivientes ya se sacó 1, se necesita urgente personal para ayudar a sacar parece que hay más sobrevivientes,&#10;3. Tienen 2 máquinas de bomberos,&#10;4. Nos indica que ya cr"/>
        <s v="Atendido - Sin atrapamientos"/>
        <s v="Colapso de paredes dos personas sanas, paredes fracturados."/>
        <s v="10 edificios afectados. (Bros)... Se asistio con dos recursos. ZONA LIMPIA"/>
        <s v="En atención. (Bros)...Se asitio con dos recursos. ZONA LIMPIA"/>
        <s v="Atendido, sin personas atrapadas"/>
        <s v="Se requiere validar"/>
        <s v="PUNTO CRITICO En atención - asistio ICBF Equipo psicosicial y unidades moviles. (Bros)...siendo las 01:00 horas del día 11 de agosto continuamos con las labores"/>
        <s v="PUNTO CRITICO En atención - COL 19, se encuentra BOMBEROS BOGOTÁ. (Bros)...ver punto Nro 20"/>
        <s v="En validación"/>
        <m/>
        <s v="En atención"/>
        <s v="Pendiente reporte fallecido"/>
        <s v="Evacuación completa, en alto riesgo de colapso&#10;Se recmendó evacuación"/>
        <s v="Se requiere evacuacion 910 verde"/>
        <s v="Colapsado completo, en revisión si hay personas atrapadas."/>
        <s v="(Bros)... Se asitio al sitio. ZONA LIMPIA"/>
        <s v="se puede operar sin problema (helena)"/>
        <s v="Riesgos - Se evidencian daños en fachadas de mampostería y elementos estructurales comprometidos, grietas que superan 5 mm horizontales verticales y diagonales."/>
        <s v="Toda la Torre 85 presenta grietas externas e internas, los 20 Apartamento NO están APTOS PARA HABITAR, PUEDE PRESENTARSE UN COLAPSO, los pisos 1 y últimos se encuentran totalmente o 100% destrozados. Por instrucciones de la Señora Andrea de la Alcaldia, s"/>
        <s v="Estructura está sin afectación, elementos de mampostería divisorios y de fachada totalmente afectados, muros de fachada caídos, se declara inhabitable por riesgo de colapso de muros de mampostería y elementos de fachada"/>
        <s v="En atención - Reporte de personas atratapadas, 1 canino fallecido - Bomberos Cali"/>
        <s v="Riesgos - Se requiere EDAN, grietas en paredes estructurales, No hay personas afectadas."/>
        <s v="60 apartamentos afectados"/>
        <s v="Juan Pablo Dominguez 3053365053 / Fachada muy agrietada y ladrillos cayendose"/>
        <s v="Pendiente validar Riesgos"/>
        <s v="Edificio de 5 pisos en alto riesgo de colapso, pésimo estado. (Bros)...Se despacha recurso a verificar. solo daños de fachadas. ZONA LIMPIA"/>
        <s v="Caidas de fachadas sin victimas"/>
        <s v="En atención - dos edificios se cayeron de la unidad que es de 4"/>
        <s v="Reporte: &#10;11 de agosto - 9:11pm&#10;&#10;- Héctor Asdrúbal: se reporta q a las 6pm de hoy envió un msj a un familiar de q está bajo los escombros.&#10;&#10;- se estiman q hay 8 personas aún bajo los escombros. No se sabe si vivas.&#10;&#10;Se necesita URGENTE : &#10;&#10;Al menos 2 sier"/>
        <s v="Reporte de personas atratapadas, pendiente validar"/>
        <s v="Carros evacuados en la calle"/>
        <s v="Edificio de 4 pisos con colapso total 10 apartamentos"/>
        <s v="Edificio con columnas afectadas en el interior - desplazamineto de paredes de 5 cm . techo del 4 piso colaspso por caida de pared del edificio elder calle 1f #56-206 viven 6 familias solo se queda 1 alli"/>
        <s v="Edificio evacuado, se encuentra en alto riesgo de colapso."/>
        <s v="Se reporta a fiscalia"/>
        <s v="Secretaria de salud para certificado de defuncion"/>
        <s v="Evacuado por residentes"/>
        <s v="Verificar si hay personas atrapadas"/>
        <s v="Colapso de infraestructura"/>
        <s v="Persona fallecida por caída de escombros, Pendiente del retiro del cuerpo"/>
        <s v="Al lado de menga Fitenes Club"/>
        <s v="Riesgos - Grietas en paredes. 3 personas habitan la casa, no hay heridos, no se hace necesario evacuación."/>
        <s v="Voluntario cruz roja validar escaleras"/>
        <s v="En el hogar geriátrico San Fernando, Carrera 36b #5b-3-46, falleció el adulto mayor Germán Sarria Arboleda a causa de caída de escombros. Al momento afectaciones generales graves. Contacto 3174696803 Julian Ramírez"/>
        <s v="Riesgos - Grietas verticales y horizontales en muros, columnas y no presentan grietas ni fisuras. Muros de fachada afectada. El edifico presenta ríostras de reforzamiento estructural. 3. ⁠91 apartamentos evacuados totalmente 4. Sin heridos 5. ⁠coordenadas"/>
        <s v="Reporte Ciudadano - se desconoce el número de personas atrapadas, se requiere apoyo de bomberos. (Bros)... Se acudio al sitio y se brindaron recomendaciones de evacuación. ZONA LIMPIA"/>
        <s v="Riesgo - Colapso de estructuras sobre los sótanos, grietas en el interior de los apartamentos, NO SE OBSERVAN HABITANTES."/>
        <s v="Para validar riesgos"/>
        <s v="Ciudadano reporta fallecimiento, no requiere visita"/>
        <s v="Se envia a ingeniero mecanico esperto en estructuras manifiesta que las paredes de las casa se cayeron"/>
        <s v="Hay equipos de bomberos, cruz roja y defensa civil . Se recibe informacion de dron con camara termica que presenta dos personas vivass se coordina con bomberos pasto para acudir al punto 3:05am"/>
        <s v="Visitado - Edificio con grietas leves en su exterior, no se evidencia daño estructural grave en su interior. Sin lesionados. Técnico: Isabella Rodríguez"/>
        <s v="Reporte ciudadano, requiere visita por afectación estructural"/>
        <s v="Se requiere maquina de alturas. (Bros)... Bomberos acudio a las siguientes direcciones de este sector: Calle 5B1 27-17, Calle 5B2 # 31-98 y Carrera 29 # 5A-90. ZONA LIMPIA"/>
        <s v="Ciudadana pide ayuda por redes, se encuenta atrapada en edificio."/>
        <s v="Riesgos - Se evidencia desprendimiento de elementos no estructurales, mampostería, no se evidencia desde la parte externa elementos con fisuras o agrietamiento, edificio con apartaestudios y locales comerciales inferiores totalmente evacuado, no hay fluid"/>
        <s v="Riesgos - Tiene daños estructurales. Paredes caídas, rajaduras, sedimentos. Ya cerraron la llave de paso pero hay goteos de agua dentro de la estructura. Ya está evacuado."/>
        <s v="Riesgos: grietas diagonales en muros de fachada, escaleras e internos con caída de muros internos. 40 apartamentos evacuados los cuales se les recomendó no habitar hasta que se realice un estudio de vulnerabilidad. no heridos. Coordenadas:3.3966,-76.5371"/>
        <s v="Bomberos, reporta que estuvo en el lugar, no se evidencia atrapamientos."/>
        <s v="Riesgos - Se requiere EDAN, Edificio de 4 niveles. Afectación en 4 nivel con fracturas en varios espacios. Evacuado todo el 4 nivel. Residen familias en el segundo nivel. Consuelo Ospina"/>
        <s v="Reportan fuerte olor a gasolina posible daño en estructura de almacenamiento"/>
        <s v="Riesgos -Afectación estructural en muros de fachada. 4 niveles. Personas aun habitando los apartamentos."/>
        <s v="Pendiente reporte, colapso total de vivienda"/>
        <s v="Riesgos - Clínica Tequendama con daño en estructura. Evacuaron, sin heridos."/>
        <s v="Reporte ciudadano - Luz jenny grijalba"/>
        <s v="Reporte ciudadano- andres cardenas 3187236597, Casa antigua punto de colapso"/>
        <s v="Reporte ciudadano - Michel Guzmán Gallego"/>
        <s v="Reporte ciudadano - Licenia Pinilla 3157276874"/>
        <s v="Dos torres afectadas y las escaleras"/>
        <s v="Enviar ingeniero"/>
        <s v="Tienen dos menores de edad y un adulto en cama"/>
        <s v="Señora 3104097194 - Ana Ilia Burbana"/>
        <s v="Alejandra Dorado ciudadana - 3015099395"/>
        <s v="Angelica tenorio 3023750456"/>
        <s v="Edificio de 5 pisos con 27 apartamentos problemas estructurales anoche evacuaron llamo William Tolosa"/>
        <s v="William Terán Gómez - 3166942215"/>
        <s v="Dos torres afectadas catalina cardona 3152744787"/>
        <s v="Casa de ds pisos jesenia mosquera 3147219724"/>
        <s v="Edficio en farol afectado caludia capote .- 3045761399"/>
        <s v="318 4524992"/>
        <s v="Yenni caicedo 3215362845 -"/>
        <s v="Luis Alfonso Fajardo 3113839448"/>
        <s v="Soledad cartagena perez - 3155282579"/>
        <s v="Auranely Robledo - 3175516489"/>
        <s v="Afectacion de vivienda adulta mayor sola - Dario alexander Ojeda segundo piso"/>
        <s v="Riesgos - Unidad totalmente evacuada, presencia de agrietamiento en elementos estructurales, concepto no habitable."/>
        <s v="Se validó, no hay personas afectadas, reporte recibido por movilidad."/>
        <s v="Evacuaron por temor de colapso 50 aparta - felipe corrales 3185245437"/>
        <s v="Hay varios apartamentos dagnificados - Patricia Cardona - 3128345988 llamar antes de ir"/>
        <s v="Las casas estan separadas habitan niños, adolescentes y papas"/>
        <s v="Willian Alonso Noriega - 3168337750"/>
        <s v="Claudia Fajardo - 3186594757"/>
        <s v="Son 7 torres de 2 aptos x piso 5 pisos.- Lina herrera cel 3154618360"/>
        <s v="Reporte de alto Meléndez:&#10;Conjunto Reserva de Meléndez 1 Cra 94 B No 2 - 46&#10;Conjunto de 10 Torres, cada una de 5 pisos, 4 aptos por piso&#10;Viven al rededor de 1000 personas El edificio presenta graves afectaciones en la estructura y total destrucción en la "/>
        <s v="Vivienda de 5 pisos Harrison 3166048038"/>
        <s v="Julián Arias - 313 7355627"/>
        <s v="Marivel cortes"/>
        <s v="Son 12 apartamentos afectados revision para ingreso - Alba Lida Mena 3113088430"/>
        <s v="Se verifica no hay personas atrapadas, verifica SUB MOVILIDAD. (Bros)... Se asistio con máquina al sitio. ZONA LIMPIA"/>
        <s v="En atención. (Bros)...Varios recursos en escena, siendo las 00:30 horas del día 11 agosto continuamos con las labores"/>
        <s v="Sonia Gomez 316 5348368, afectacion en paredes y columnas de la edificacion"/>
        <s v="Reportan que esta bomberos 3 niños y 2 adultos atrapados (Amparo Jaramillo, Violeta Guerrero)"/>
        <s v="Lina Duran 3207044151"/>
        <s v="Atendido - Se requiere apoyo - colaspso total de la estructura - se requiere maquinaria amarrilla. (Bros)...acudimos en horas AM/ PM pero no nos reportaron lesionados ni fallecidos. ZONA LIMPIA"/>
        <s v="Henry Macias 3113280146 / Francy Mendoza 3183947758"/>
        <s v="Henry Macias 3113280146"/>
        <s v="Se requiere apoyo&#10;Edificio de 7 niveles, solo daños estructurales en apilamiento, según información externa todo el personal salio del edificio..(Bros)... Se asistio con máquina. ZONA LIMPIA"/>
        <s v="En atencion"/>
        <s v="Edilma Buritica 3163270340 Tiene un hogar sustituto bajo, 1 niño con discapacidad"/>
        <s v="Reporte de personas atratapadas, pendiente validar.(Bros)... Se asistio con máquina. ZONA LIMPIA"/>
        <s v="Adrian Gutierrez 3057413445"/>
        <s v="Claudia Marcela restrepo 3104306685"/>
        <s v="Martha Cala 3103169218"/>
        <s v="Reporta Rodrigo Lozano 3122599810 - favor llamar"/>
        <s v="Hernando Rodriguez 3113118129"/>
        <s v="Presenta daño estructural"/>
        <s v="Jose David Santander 3104146841"/>
        <s v="Se comunican de gobierno"/>
        <s v="Isabel Cristina Barandico 3155255570 / Se cayo pared y hay panel abierto / bienestar, bienes"/>
        <s v="Leandro Chavez 3148402005 / y el de al lado"/>
        <s v="isabela perez 3158927892 agrietamiento de paredes y escaleras."/>
        <s v="Se cayo una parte de la plancha Arelis Jimena 317344778"/>
        <s v="Jose Sandoval 3160503159 / 2 paredes que se van a caer"/>
        <s v="Mauricio Gutierrez 3174381462"/>
        <s v="Ana 315 7529356"/>
        <s v="En atención. (Bros)... Ver punto Nro 6 Informan para rescatar - Alli hay una pajarita - un bocat - una plata electrica - iluminaria - falta EPP - Esta bomberos y ambulancia. (Bros)... Ver punto Nro 6"/>
        <s v="Carolina Regino 3157649924"/>
        <s v="Alejandra Rodríguez 3182817107"/>
        <s v="Blanca Martinez 3178048953 / ya evacuo, panaderia abajo esta funcionando"/>
        <s v="Pendiente en validar. (Bros)... Siendo las 01:15 del día 11 agosto continuamos con labores. Persona fallecida y un herido por caída de escombros.&#10;&#10;Atendio un niño remitido a sura"/>
        <s v="Juan Pablo Garcia 3182721096"/>
        <s v="Ramiro jaramillo - 30078086996"/>
        <s v="Las torres con mayor afectacion son la torres e y h - Lina Ibargue evacuado"/>
        <s v="Jorge Moreno 3016131430 / 10 torres todas afectadas, mas en torre 3"/>
        <s v="Una persona desaparecida"/>
        <s v="Claudia Salgado 3137321945 / 6o piso, muchas grietas"/>
        <s v="Adriana Arreaza/ Anna Pulido - Números de contacto: 3173104351/3107489162"/>
        <s v="Maria Claudia Ossa 3163019780 / Cayo pared de alcoba principal, bloques desocupados, los dos afectados"/>
        <s v="solicitamos que puedan ir a verificar y si es posible cerrar la zona y revomenardarle a los vecinos - Yasmin Muñoz 3104061886"/>
        <s v="Marcela Salamanca 3156974181 / estructura muy afectada"/>
        <s v="Mi nombre Patricia Tovar, 3105180364"/>
        <s v="Karen Lara 3165337543 / Solicita visita de equipo tecnico para revisar, paredes derribadas, daño total del techo"/>
        <s v="Alejandra Sandobal 3176533329 solicita inspeccion ya que hay afectacin importante en el edificio"/>
        <s v="Lucy Patricia Garcia - 3012217836 vivienda colapsada - ENTREGAR AYUDA HUMANITARIA"/>
        <s v="No dio # telefonico, daños estructurales y escaleras"/>
        <s v="SE REQUIERE ATENCIÓN DE INGENIERO Se validó con el portero del edificio e informa que no hay personas atrapadas. Apoyo Piscosocial."/>
        <s v="edgar gomez tel: 3177726302"/>
        <s v="Nathalia Vasquez 3182267843 / Daños estructurales graves, partes al borde del colapso, no hay heridos pero residentes siguen ingresando a la propiedad}"/>
        <s v="Andres 3508472641 / techo parcialmente colapsado"/>
        <s v="Nelson Valencia Carmona 3154019510 / muchos daños, pide un tecnico para presentar dictamen"/>
        <s v="Paredes agrietadas y pisos reventados - Humberto Orozco Labrada - 3104125003"/>
        <s v="Nathalia Henao 3176738223 / Se notan grietas en las fotos enviadas"/>
        <s v="Beatriz Lopez"/>
        <s v="3173710294 / templo esta muy afectado"/>
        <s v="Gloria Eugenia Vergara 312 225 1228"/>
        <s v="Daños en techo no habitable segun lo visto Felipe Pinzón 3128310232"/>
        <s v="Patricia Agredo 314 885 7669"/>
        <s v="Eliana Hoyos Madrina 3183062748 / Muro colapsado"/>
        <s v="Cleiser Delgado Vargas - 300 8293094"/>
        <s v="Juan Lombana 316 091 3796"/>
        <s v="Se debe llamar al número pertinente para guiar a las personas que van a asistir a la verificación - 3148939502"/>
        <s v="Apartamentos q presenta grietas"/>
        <s v="Jairo angel"/>
        <s v="310 2220926"/>
        <s v="Santes Administrativa 318 7120850 /Fisuras en fachadas, fracturas y desprendimientos en muros, fracturas diagonales. Apertura de muros, especialmente en zonas de baños y cocinas."/>
        <s v="Reporte ciudadano - Yised Betancourth-3168378339, Colapso estructural"/>
        <s v="Reporte ciudadano - 3122486627, daño estructural, colapso de techo"/>
        <s v="Reporte ciudadano - Carlos nieto 3154331875, caida de techo en empresa- ttabajadores evacuados"/>
        <s v="Reporte ciudadano - sergio-+34646932495, Daño estructural"/>
        <s v="Reporte ciudadano - javier plaza- 3108945471, Colapso estructural"/>
        <s v="Reporte ciudadano - Daño estructural"/>
        <s v="Reporte ciudadano - Alejandra roa-3113659740, Colapso estructural"/>
        <s v="Reporte ciudadano - carlos zuluaga-3104933501, Daño estructural"/>
        <s v="Reporte ciudadano - Alexandra Holguin-3007652114, daño estructural"/>
        <s v="Reporte ciudadano - diana riascos-3007566653, colapso estructural"/>
        <s v="Reporte ciudadano - uthey vargas-3160960202, colapso estructural"/>
        <s v="Reporte ciudadano - 3104562059, daño estructural"/>
        <s v="Reporte ciudadano - Valerin- 3024909295, colapso estructural"/>
        <s v="Reporte ciudadano - Samuel Serrano-3187177410, daño estructural"/>
        <s v="Reporte ciudadano - daño estructural-colapso de pared"/>
        <s v="Reporte ciudadano - Erika Reyes-3042640144, daño estructural"/>
        <s v="Reporte ciudadano - 3104008932, daño estructural"/>
        <s v="Reporte ciudadano - 3002652818, daño estructural"/>
        <s v="Reporte ciudadano - malcom-3173682705, daño estructural"/>
        <s v="Reporte ciudadano - adriana marin- 3126446068, daño estructural cida parcial de muros"/>
        <s v="Reporte ciudadano - jenny marquez-3183239935, daño estructural"/>
        <s v="Reporte ciudadano - jose betancourt 3115635804, daño estructural"/>
        <s v="Reporte ciudadano - 3133279790, daño estructural"/>
        <s v="Reporte ciudadano - 3177882393, daño estructural, colapso en techo"/>
        <s v="Reporte ciudadano - Jorge manosalva-3194126981, daño estructural"/>
        <s v="Reporte ciudadano - 3148589147, daño estructural"/>
        <s v="Reporte ciudadano - pedro-3168215630, daño estructural"/>
        <s v="Reporte ciudadano - daniela cabrera-3176462949, daño estructural en fachada"/>
        <s v="Reporte ciudadano - padre edgar-3184935031, daño estructural"/>
        <s v="Reporte ciudadano - julian uribe-3114862810, daño estructural y colapso en techo de local comercial"/>
        <s v="Reporte ciudadano - Jakeline- 3116700448, daño estructural"/>
        <s v="Reporte ciudadano - 3128286550, colapso estructural de pared sobre techo"/>
        <s v="Reporte ciudadano - abelardo castillo-3183496898, daño estructural"/>
        <s v="Reporte ciudadano - juan naranjo-3150539019, daño estructural"/>
        <s v="Reporte ciudadano - 3174378987, daño estructural"/>
        <s v="Reporte ciudadano - gerardo moreno 3174378987, daño estructural"/>
        <s v="Reporte ciudadano - daño estructural, caida de paredes"/>
        <s v="Reporte ciudadano - yned rengifo-3115714441, daño estructural"/>
        <s v="Reporte ciudadano - diana 3166178349, daño estructural"/>
        <s v="Reporte ciudadano - julian angulo-3117601563, daño estructural"/>
        <s v="Reporte ciudadano - 3117529629, colapso de vivienda- persona lesionada"/>
        <s v="Reporte ciudadano - 3138095974, daño estructural"/>
        <s v="Reporte ciudadano - leidy duarte 3166287709, daño estructural, caida parcial de techo"/>
        <s v="Reporte ciudadano - diana-3165393064, daño estructural, caida parcial pared de fachada"/>
        <s v="Reporte ciudadano - camilo sanchez, daño estructural"/>
        <s v="Reporte ciudadano - carlos castro-3128336580, daño estructural"/>
        <s v="Reporte ciudadano - 3237536719, daño estructural"/>
        <s v="Reporte ciudadano - lida gutierrez-3186290982, daño estructural"/>
        <s v="Reporte ciudadano - sergio zapata-3163326023, daño estructural, caida parcial de techo"/>
        <s v="Reporte ciudadano - luisa torres-3505119402, daño estructural"/>
        <s v="Reporte ciudadano - nestor nieva-3225543597, daño estructural"/>
        <s v="Reporte ciudadano - 34643668474, daño estructural-edif contiguo tambien con daño estructural"/>
        <s v="Reporte ciudadano - lizeth carrillo-3132733537, daño estructural"/>
        <s v="Reporte ciudadano - mara gonzalez-3153507602, daño estructural"/>
        <s v="Reporte ciudadano - maria puccini-3127771269, daño estructural. colapso parcial de techo"/>
        <s v="Reporte ciudadano - luis Cardona-3116342521, daño estructural"/>
        <s v="Reporte ciudadano - constanza montoya-3041057452, daño estructural, cida de techo parcial en ultimo piso"/>
        <s v="Reporte ciudadano - pastor duque-3045572044, colapso parcial de pared hacia via publica"/>
        <s v="Reporte ciudadano - diana ramos-3213505584, daño estructural"/>
        <s v="Reporte ciudadano - juliana cruz-3182589866, colapso estructural"/>
        <s v="Reporte ciudadano - colapso parcial en paredes"/>
        <s v="Reporte ciudadano - andrea osorio, colapso en pared trasera"/>
        <s v="Reporte ciudadano - yesenia gomez-3239471332, daño estructural"/>
        <s v="Reporte ciudadano - geraldin ruiz-3156742447, daño estructural"/>
        <s v="Reporte ciudadano - claudia rivas-3148474505, daño estructural, colapso parcial en paredes"/>
        <s v="Reporte ciudadano - adriana libreros-3013327670, daño estructural"/>
        <s v="Reporte ciudadano - patricia-3208347507, daño estructural. parcial de muro"/>
        <s v="Reporte ciudadano - Marcela Cifuentes 317 3801146, daño estructural"/>
        <s v="Reporte ciudadano - Brittany Valencia Medina&#10; Tel 3225187275, daño estructural"/>
        <s v="Reporte ciudadano - Yesenia Maquilon 310 350 1227, daño estructural"/>
        <s v="Reporte ciudadano - Luz nidia Lopez 3172526598, daño estructural"/>
        <s v="Reporte ciudadano - fabian, daño estructural"/>
        <s v="Reporte ciudadano - Alba Gloria Jordan 3177287044, daño estructural"/>
        <s v="Reporte ciudadano - 3145392021, daño estructural"/>
        <s v="Reporte ciudadano - Edwar lozada 316 6493175, daño estrucutural colap de muros"/>
        <s v="Reporte ciudadano - jhonny cardenas 3153157706, colapso estructural de pared sobre techo"/>
        <s v="Reporte ciudadano - 316 2827975, daño estrucutural"/>
        <s v="Reporte ciudadano - Walid Bultaif Yamal 3137439266, daño estrucutural"/>
        <s v="Reporte ciudadano - Martha oliveros Ospina cc 29287534 Celular 3007898398, daño estructural"/>
        <s v="Reporte ciudadano - dora milena lozano 3152347410, daño estructural"/>
        <s v="Reporte ciudadano - Oscar López L. CC 16693340 - 3208697515, daño estructural"/>
        <s v="Reporte ciudadano - Paola Diaz 3186047423, daño estructural"/>
        <s v="Reporte ciudadano - michael lynch 310 3749315, daño estructural"/>
        <s v="Reporte ciudadano - Diego Andrade 3146158809, daño en vivienda por colapso de estructura"/>
        <s v="Germán Ñustes - Cel. 3187120850 - 3176738230 / Fisuras en fachadas y en losas de pisos, especialmente fracturas y desprendimientos en esquinas de muros, fracturas diagonales. Fractura y caida de vidrios."/>
        <s v="Germán Ñustes - Cel. 3187120850 - 3176738225 / Caída de muros en pisos 1 y 2 de las torres 1, 3, 4 y 5, presenta fisuras en pisos 3 y 4. Fisuras en fachadas"/>
        <s v="Germán Ñustes - Cel. 3187120850 - 3176738226 / Fisuras en fachadas, fracturas y desprendimientos en muros, fracturas diagonales. Apertura de muros, especialmente en zonas de baños y cocinas."/>
        <s v="Martín Cuéllar Romero - 3195700460"/>
        <s v="Germán Ñustes - Cel. 3187120850 – 3176738223 / Fisuras en fachadas y en losas de pisos, especialmente fracturas y desprendimientos en esquinas de muros, fracturas diagonales."/>
        <s v="Germán Ñustes - Cel. 3187120850 - 3176738224, Desprendimiento de Fachadas"/>
        <s v="Germán Ñustes - Cel. 3187120850 - 3176738227 / Fisuras en la fachada &#10;&#10;Nathalia Henao 3176738223 / Se notan grietas en las fotos enviadas"/>
        <s v="Germán Ñustes - Cel. 3187120850 - 3176738229 / Fisuras en fachadas, fisuras en pasillos, desprendimiento de muro."/>
        <s v="Germán Ñustes - Cel. 3187120850 - 3176738231 / Fisuras en fachadas, fisuras en pasillos, desprendimiento de muro."/>
        <s v="Germán Ñustes - Cel. 3187120850 - 3176738232 / Fisuras leves en bases de las casas y en algunas fachadas."/>
        <s v="Germán Ñustes - Cel. 3187120850 - 3176738233 / Fisuras leves en torres 2,3 y 4 en los terceros pisos (últimos)."/>
        <s v="Jaime Herrera 318 5219101 / Edificio colapsado que aun no ha sido atendido"/>
        <s v="Adriana Fandiños, 3117190631 / Mi casa quedo fracturada en la. Pared se la cocina bastante agrietada"/>
        <s v="Encargada Ana Arcos funcionaria 3147559642"/>
        <s v="Vanesa Alzate 3152347062 / Hay daño estructural en la mayoria de torres, evacuaron a todos los propietarios, necesitamos ayuda para evaluar los dalos"/>
        <s v="Carolina Snachez 3012231461"/>
        <s v="Carolina Ortiz Ruiz 3174052528 / La pared de la casa de al lado que es de 2 pisos se desplomó y cayó sobre el techo de la casa de mis tías ocasionando que colapsaran las tejas y cielo falso"/>
        <s v="reporta daños, dfisuras, rompimiento de paredes y daños de la fachada 3137590589 Alexandr Diaz"/>
        <s v="Edificio de 5 pisos que esta totalmente destruido y esta a punto colapsar sobre vivienda de 2 ancianos y niños discapacitado no tienen a donde evacuar. Por favor ayuda. Dejo imagen del edificio Solana."/>
        <s v="se le cayó el techo a las habitaciones y viven 2 adultos mayores de la tercera edad&#10;Angela Viveros 311 715 8940"/>
        <s v="Angelica Maria Sepulveda Hoyos 3108260426"/>
        <s v="Jhon Fredy Tenorio 314 297 9205"/>
        <s v="Ana Milena Lopez 317 424 0648"/>
        <s v="Mario Daniel Dorado 3043383312 / edificio afectado"/>
        <s v="Sonia Gallego 311 3836781"/>
        <s v="Maria Fernanda Perlaza Sanchez 301 376 4539"/>
        <s v="Silvia Surez 316 624 6262"/>
        <s v="Encargado Zayde Inga Paz 3132439398"/>
        <s v="Daniela Guerrero 310 500 7142"/>
        <s v="Se cayó el techo del patio de piso 1 Tres paredes con perdida total Una pared presenta fisura El edificio contiguo propiedad de Emcali se corrió en el piso 1, un centímetro y en el último piso se orrió cerca de 5 a 7 centímetros y la presión nos dañó el b"/>
        <s v="Andres Ortega 318 2242055"/>
        <s v="Daños en 5 de las 7 torres, hubo desprendimiento de techo de 3 torres, los escombros cayeron a la calle y sobre la swingla, no hay heridos, no trapados, 4 torres están inclinadas Múltiples grietas en todas las torres, dilatación ente los pasillo"/>
        <s v="Edificio de 3 pisos con grietas encargado juan camilo 3117525803"/>
        <s v="Angela Córdoba 321 2473109"/>
        <s v="Tengo una pared interna apunto de desplomarse - Lorena Charria Laverde &#10;3177850654"/>
        <s v="Administrador 3154560292"/>
        <s v="Lo atiende virtual ingeniero andres noreña"/>
        <s v="Isaac Piso 321 682 2353&#10;Diana ximena Piso 312 842 6835"/>
        <s v="El edificio presenta grietas externas que atraviesan hasta dentro del apartamento.&#10;El apartamento tiene grietas entre el techo y la pared en casi todas las esquinas."/>
        <s v="Alejandro Bolaños 320 715 5167"/>
        <s v="Sorangi Velasquez 311 671 7245"/>
        <s v="Luis Diaz 315 2995659"/>
        <s v="Janeth Castro 300 439 9881"/>
        <s v="3104114069 y 3173984279"/>
        <s v="Maria Cristina Botero 318-8225745"/>
        <s v="Ana Luisa Revelo 3164782459"/>
        <s v="Maria jose Nuñez 315 751 6597&#10;Marcela Salmanca 315 697 4781"/>
        <s v="Xiomara Certuche 317 668 4378"/>
        <s v="Sacerdote Arnoldo"/>
        <s v="Felipe Ramirez 3157455889"/>
        <s v="Stella Potes 3206860075"/>
        <s v="Carolina Muñoz 3138193246"/>
        <n v="3.206410252E9"/>
        <s v="3159746934 Omar Ricardo Montoya"/>
        <s v="Luis Eduardo Cardona Aguilar 3116342521"/>
        <s v="Luis Zambrano 315 201 88 53"/>
        <s v="Fabian Rojas 3164485087 - Colapso úlitmo piso- Riesgo estructural por grietas en escaleras y grietas en las paredes y techos de todos los apartamentos. Pisos desnivelados. - Adulta mayor se niega a evacuar en el 4 piso, con alto riesgo."/>
        <s v="Rafael López Jaramillo gestor comunitario de equipos básicos de salud ladera, 321 7881028 - Reporte ciudadano - sol angela cantor-3137299304, colapso estructural"/>
        <s v="James Idrobo, Cel.3155504747 - Edificio de 5 pisos. Sufrió daños considerables en fachada, zona social, apartamentos, zonas comunes. No hubo heridos."/>
        <s v="Gustavo Atehortua 3128452134"/>
        <s v="Apto 303-A contacto 3117477824 Elmy Escobar"/>
        <s v="Luisa Fernanda Santos 300 5763778"/>
        <s v="Marisol Chavez 310 408 9742"/>
        <s v="Margarita Henao &#10;310 827 6619 Urgente, viven personas mayores y con discapacidad."/>
        <s v="Ana Maria Hincapié&#10;302 331 3616"/>
        <s v="Natalia Torres 3108105514"/>
        <s v="Marta Cecilia Morales - 300 3399288 tengo daños internos en el techo de mi casa"/>
        <s v="juan manuel silva sanchez 313 7960993"/>
        <s v="El terreno de la casa tiene, entre ambas columnas, coon grietas horizontales y verticales; habitan 5 personas la vivienda, se recomienda evacuar."/>
        <s v="tel. 3105147126 Mariano Rodriguez Diaz"/>
        <s v="Reporte ciudadano - Leidy Ramos del apto 707 - 305 2369837"/>
        <s v="Reporte ciudadano - Robert correa Plazas 3235315158, daño en estructura---daño en estructuras"/>
        <s v="Reporte ciudadano - colapso total de vivienda"/>
        <s v="Reporte ciudadano - jose david gil--- 3216191682, colapso de edificio"/>
        <s v="Reporte ciudadano - daño estructural en edificio"/>
        <s v="Reporte ciudadano - , +34 603 80 75 43, daño estructural"/>
        <s v="Reporte ciudadano - gustavo vargas 3167275348---3235833173, colapso de techo, daño estructural"/>
        <s v="Reporte ciudadano - persona atrapada- daño estructural"/>
        <s v="Reporte ciudadano - daños estructurales"/>
        <s v="Reporte ciudadano - 310 5949294, daños estructurales"/>
        <s v="Reporte ciudadano - 313 4602795, daño estructural"/>
        <s v="Reporte ciudadano - no suminnoistrado, daños estructurales"/>
        <s v="Reporte ciudadano"/>
        <s v="Reporte ciudadano - no suministrado, daños estructurales en exteriores"/>
        <s v="Reporte ciudadano - daños estructurales en multiples casas del sector"/>
        <s v="Reporte ciudadano - no suministrado, daños estructurales y colapso parcial del techo"/>
        <s v="Reporte ciudadano - no suministradp, colapso estructural piso superior"/>
        <s v="Reporte ciudadano - no suministrado, colapso en pared perimetral, techo averiado"/>
        <s v="Reporte ciudadano - 3019332856 daniel chacon, agrietamiento de paredes en edificio, afectacion es estructura"/>
        <s v="Reporte ciudadano - 3148050013, María aurora rayo, Techo colapsado"/>
        <s v="Reporte ciudadano - María Olivia Ospina, 3155837205, Vivienda con graves afectaciones"/>
        <s v="Reporte ciudadano - no suministrado, daño estructural, reportan personas atrapadas"/>
        <s v="Reporte ciudadano - no suministrado, daño estructural en pisos intermedios"/>
        <s v="Reporte ciudadano - Stephania Urbano a Rodríguez , 3232881929, Se presentan muchas grietas dentro de los apartamentos y en las escaleras de la torre, nos da miedo volver a subir sin revisión de la estructura"/>
        <s v="Reporte ciudadano - edificios colapsados, en la zona"/>
        <s v="Reporte ciudadano - no suministrado, daño estructural estructura comerciar"/>
        <s v="Reporte ciudadano - daño estructural en edificio de viviendas- apartamentos"/>
        <s v="Reporte ciudadano - Johana Sandoval, 3187761862, Afectaciones en la vivienda, grietas, solicita verificación de la vivienda, edificio de 3 pisos"/>
        <s v="Reporte ciudadano - 3165230326, Afectaciones en fachada del edificio"/>
        <s v="Reporte ciudadano - no suministrado, afectaciones en parte posterior de fachada"/>
        <s v="Reporte ciudadano - no suministrado, daño estructural en fachada- sin revisar"/>
        <s v="Reporte ciudadano - daño estructural en fachadas y escaleras - catalina gomez-3174365785, daño estructural"/>
        <s v="Reporte ciudadano - Agrietamiento en el edificio"/>
        <s v="Reporte ciudadano - diana alvares- 3165345643, daño estructural, con inclinacion de estructura"/>
        <s v="Reporte ciudadano - 3183401630, Afectaciones en el edificio"/>
        <s v="Reporte ciudadano - no suministrado, colapso estructural total en edificio"/>
        <s v="Reporte ciudadano - no suministrado, colapso parcial de estructura"/>
        <s v="Reporte ciudadano - Alicia Escobar 3233898026, reporta afectaciones en vivienda"/>
        <s v="Reporte ciudadano - Isabel Jarrín, 3173231063, agrietamiento en vivienda, afectaciones en estructura"/>
        <s v="Reporte ciudadano - no suministrado, caida de edificio"/>
        <s v="Reporte ciudadano - Inés Elvira Hernández trejos, 3136804159, Afectaciones en vivienda"/>
        <s v="Reporte ciudadano - adriana quiroga 3216429835, agrietamientos en estructura"/>
        <s v="Reporte ciudadano - no suministrado, colapso de estructura"/>
        <s v="Reporte ciudadano - johana Arenas- 31368116-98, colapso de estructura-viviendas"/>
        <s v="Reporte ciudadano - Eduardo Cuellar, 3104540170, Colaspo de estructura"/>
        <s v="Reporte ciudadano - agrietamiento de estructura y eescaleras"/>
        <s v="Reporte ciudadano - nelsy calderon- 3025244664, colapso del techo y pared medianera"/>
        <s v="Reporte ciudadano - Martha Cecilia González, 3113159859, Agrietamiento en fachada"/>
        <s v="Reporte ciudadano - carolina filigrana-3182618833, caida de techo y muro"/>
        <s v="Reporte ciudadano - no suministrado, colapso parcial de fachada y paredes. con afectacion e techo"/>
        <s v="Riesgo estructural con posibilidad de colapso de edificio que contaba con 8 pisos. La via se encuebtra con paso restrigido por riesgo de desprendimiento de la fachada. La estructura se encuentra comprometida en vigas y elementos no estructurales con falla"/>
        <s v="Reporte ciudadano - Diana rincon, 313 5346822, grieta en fachada de vivienda"/>
        <s v="Reporte ciudadano - Valentina Oviedo Ramírez, 3115708332, agrietamiento en vivienda"/>
        <s v="Reporte ciudadano - no suministrado, colapso de paredes de fachada, agrietamiento de estructura"/>
        <s v="Reporte ciudadano - no suministrado, agrietamiento en edificio"/>
        <s v="Reporte ciudadano - no suministrado, techo colapsado"/>
        <s v="Reporte ciudadano - 322 6045307, afectaciones en la fachada"/>
        <s v="Reporte ciudadano - no suministrado, Daños materiales sin víctimas"/>
        <s v="Reporte ciudadano - no suministrado, daño en estructura en varias edificaciones de uso mixto seguidas de 3 pisos"/>
        <s v="Reporte ciudadano - afectacion en fachada de edificio"/>
        <s v="Reporte ciudadano - no suministrado, daño en estructura de edificio, caida de materia de fachada"/>
        <s v="Reporte ciudadano - no suministrado, colapso de edificaciones varias."/>
        <s v="Reporte ciudadano - Karla Fernanda González, 3108457836, afectaciones en vivienda"/>
        <s v="Reporte ciudadano - no sumistrado, afectacion estructural en edifico con caida de material"/>
        <s v="Reporte ciudadano - no suministrado, daño estructural con caida de material"/>
        <s v="Reporte ciudadano - edificio colapsado"/>
        <s v="Reporte ciudadano - no suministrado, agrietamiento en fachada"/>
        <s v="Reporte ciudadano - patricia ordoñez-3150722121, daño en estructura, vigas y columnas afectadas"/>
        <s v="Reporte ciudadano - melisa obando- 3117756292, se desplomó techo y fachada"/>
        <s v="Reporte ciudadano - no suministrado, colpaso en paredes internas del edificio"/>
        <s v="Reporte ciudadano - Catalina Mesa, 3183023500, grietas en pared"/>
        <s v="Reporte ciudadano - no suministrado, colapso de paredes, daños estructurales"/>
        <s v="Reporte ciudadano - beatriz marin-3116155454, edificio de 4 pisos, fisuras en columnas y desplazamiento de la edificacion"/>
        <s v="Reporte ciudadano - 3243079575 Alejandro Hidalgo, edificio de 16 pisos afectaciones internas en muros evacuados el 50% hay personas de movilidad reducida ciegos"/>
        <s v="Reporte ciudadano - no suministrado, daño estructural, con caida de material en via publica"/>
        <s v="Reporte ciudadano - sofia llanos- 3128497403, agrietamiento en estructura, edificio de 5 pisos, sobre todo el pirmer piso"/>
        <s v="Reporte ciudadano - no suministrado, colapso de estructura, aplastando carros en parqueadero"/>
        <s v="Reporte ciudadano - 3186013312"/>
        <s v="Reporte ciudadano - paola figueroa-3164553266, argietamiento en estructura en tercer piso y terraza, con riesgo de colapso"/>
        <s v="Reporte ciudadano - graciela rojas-3206181565, arietamiento en edificio de 10 oisos"/>
        <s v="Reporte ciudadano - no suministrado, caida materia en via publica, daños en fachadas en estructuras de uso mixto"/>
        <s v="Reporte ciudadano - yorme escobar-3008581086, dañoe en estructura de edificio de viviendas, tanque dañado con riesgo de caer"/>
        <s v="Reporte ciudadano - no cuministrado, daño estructural en edificio"/>
        <s v="Reporte ciudadano - dañoe estructural en edificio de apartamentos"/>
        <s v="Reporte ciudadano - satic golondrinas, jose orlando valencia, 5 viviendas colapsadas del grupo satic"/>
        <s v="Reporte ciudadano - carolina devia-3181355739, agrietamiento en estructura de edificio de apartamentos"/>
        <s v="Reporte ciudadano - no suministrado, agrietamiento en estructura de edificio de apartamentos"/>
        <s v="Reporte ciudadano - no suministrado, agrietamientos profundos en vivienda, con riesgo de colapso"/>
        <s v="Reporte ciudadano - no suministrado, persona atrapada en edificacion"/>
        <s v="Reporte ciudadano - no suministrado, edificio de apartamentos con colapso interno"/>
        <s v="Reporte ciudadano - no suministrado, agrietamiento estructurral caida parcial de techo en edificacion de 10 pisos de uno mixto"/>
        <s v="Reporte ciudadano - no suministrado, afectacion forntal de vivienda por colapso de muros en manposteria, riesgo de colapso"/>
        <s v="Reporte ciudadano - maria delgado-3146526159, afectaciones internas y en escaleras de edificio de aoartamend¿tos de 9 pisos 7 torres afectadas"/>
        <s v="Reporte ciudadano - no suministrado, daño estructural en edificacion de apartamentos"/>
        <s v="Reporte ciudadano - no suministrado, colapso parcial de techo, daño en estructura en vivienda de 4 pisos"/>
        <s v="Reporte ciudadano - johan monsillo-3174820816, daño estructural en columnas y fachada"/>
        <s v="Reporte ciudadano - no suministrado, edificacion de uso mixto de 4 pisos con agrietamiento de pardes y fachada"/>
        <s v="Reporte ciudadano - samir hoyos- 312 8232728, edificacion de uso de colegio, agrietamiento en paredes y caida de tejas en techo."/>
        <s v="Reporte ciudadano - 317 5078935 jairhoyos, agrietamiento en vivienda de dos pisos"/>
        <s v="Reporte ciudadano - 315 4627123 ana collazos, agrietamiento en edifivio de apartamentos"/>
        <s v="Reporte ciudadano - Andrés Pedraza-310 2511010, agrietamiento en vivienda, con dalo en pared medianera"/>
        <s v="Reporte ciudadano - 3185425898, colapso de paredes, con dañoe estructural. reportan femenina muerta en la escena"/>
        <s v="Reporte ciudadano - Dayana Duran 3202175947, colapso parcial de edificio residencial"/>
        <s v="Reporte ciudadano - Ana Araujo 3177444194, Daño estructural"/>
        <s v="Reporte ciudadano - daño estructural en pisos altos"/>
        <s v="Reporte ciudadano - 3156627583, daño estructural 3214038455 Carlos Morcillo"/>
        <s v="Reporte ciudadano - erika montes-3158886554, daño estructural, acida parccial de techo"/>
        <s v="Reporte ciudadano - juan manuel silva sanchez - 313 7960993"/>
        <s v="Ana Maria Hincapié &#10;302 331 3616"/>
        <s v="Reporte ciudadano - Fredy Rosas 3186763430"/>
        <s v="Adriana Cortes&#10;311 632 8410"/>
        <s v="Consuelo Lopez 300 6551768"/>
        <s v="M. Fernanda 300 317 7607&#10;Hilda Mera 300 304 9458&#10;ANTENDER URGENTE PRIORITARIO 3 ADULTOS MAYORES DE 75 AÑOS"/>
        <s v="Viviana Valencia Ocampo,3116113872 - 3163866479"/>
        <s v="Rocio Rosales 3156279529"/>
        <s v="ANGÉLICA MARIA DELGADO, 316 4782943"/>
        <s v="wilber Sinisterra 301 4598017"/>
        <s v="Claudia Fabiola Díaz &#10;310 505 8707"/>
        <s v="Claudia Patricia Arenas 313 595 9920"/>
        <s v="Beatriz Campo &#10;316 319 6037"/>
        <s v="Requiere una visita para saber si se habita el edificio - Katerine Cardona 3165229005"/>
        <s v="Vanessa Tamayo 300 8780103"/>
        <s v="Alexander Jiménez 3154661329"/>
        <s v="Pomeo Uribe 3146670978"/>
        <s v="Carolina Arroyabe 310 6713113"/>
        <s v="Bryan Taborda 310 3782035, es arrendatario en apto 1008 torre 1, y esta haciendo el reporte para todo el edificio de forma independiente"/>
        <s v="Ana Lucia Holande&#10;311 3897225"/>
        <s v="Diego Miranda &#10;315 462 0342 / 315 543 2557"/>
        <s v="Maria Clemencia Sandoval- Adulto Mayor - 315 4454854"/>
        <s v="Oscar Dario Sepulvedad-3147467273"/>
        <s v="willian Gonzales hijo del afectado (hda Mpl), sin mas datos"/>
        <s v="Katerine Marmolejo 3028405609"/>
        <s v="Sin datos disponibles"/>
        <s v="Reporte ciudadano -Yenny Ordóñez 311 3379067"/>
        <s v="Reporte ciudadano - Diana Monroy 3004070945"/>
        <s v="Reporte ciudadano - Martha Navia 3332635877"/>
        <s v="Reporte ciudadano - Gustavo Lozano - 3006001020"/>
        <s v="Reporte ciudadano - Viven dos personas revisar - Luis Felipe Ballecilla 3188990666"/>
        <s v="Reporte ciudadano - Wilmer Valencia 3106171719"/>
        <s v="Reporte ciudadano - Gloria Giraldo 3207093529"/>
        <s v="Reporte ciudadano - Sara Duque Naranjo 3058988977"/>
        <s v="Pedro pablo Ateortua &#10;316 869 6546&#10;Ruben Dario Lozano &#10;310 894 2874"/>
        <s v="MARTHA LUCÍA CASTILLO 3137367169"/>
        <s v="Reporte ciudadano - Alaba Cecilia Lenis 3208556225"/>
        <s v="Milena Palacio 321 508 5974"/>
        <s v="Lady Hinojosa Grajales- habitante 320 381 4667&#10;321 898 6050"/>
        <s v="Reporte ciudadano - Angela Liliana Campo 3215871870 - 3104539750"/>
        <s v="Patricia Cardona 3128345988, estan alojados en otra parte"/>
        <s v="Reporte ciudadano - Luis Fernanda Gonzalez 3043919767"/>
        <s v="Administradora Sandra Milena Zuluaga - Cel: 300 863 3441"/>
        <s v="Reporte ciudadano Diana Maria Omen - 3005117287"/>
        <s v="Nicolas Romero 3124680618"/>
        <s v="Amanda valencia&#10;316 087 2204"/>
        <s v="Monica Hurtado 3218787178"/>
        <s v="320 623 6981 Gloria esperanza giraldo"/>
        <s v="Horson Quintero Quintero 3154906370"/>
        <s v="ARacely Otero Leyton 3122696942"/>
        <s v="Alfredo Nicolás Olivar Cardozo 3148139989"/>
        <s v="321 242 1905 Walter López"/>
        <s v="323 5806544 Yuliana Florez"/>
        <s v="Reporte ciudadano - Tania Correa 3505798080"/>
        <s v="Karen Egidi &#10;310 867 05 89&#10;Nazareth cabezas (secretaria)&#10;314 730 6885"/>
        <s v="Informacion compartida internamente"/>
        <s v="María Consuelo Quintero 315 5485776"/>
        <s v="Erika Andrea Azcarate 3174024161"/>
        <s v="Luz Esperanza Bravo &#10;320 681 2598"/>
        <s v="313 6202232"/>
        <s v="3207860761&#10;Paola Andrea Parra Sánchez "/>
        <s v="daño en estructura, con caida parcial de pared y techo en parte trasera"/>
        <s v="Horacio Parra 315 5511934"/>
        <s v="Fernando Yusti Montero 3206110776"/>
        <s v="Reporte ciudadano Cel 316 3498900"/>
        <s v="Sandra Mónica Cabezas Soto Teléfono 316 5851857"/>
        <s v="Gloria Cerquerea &#10;312 887 3817"/>
      </sharedItems>
    </cacheField>
    <cacheField name="SOLICITUDES PENDIENTES" numFmtId="0">
      <sharedItems containsBlank="1">
        <s v="Actualización BROS"/>
        <s v="-"/>
        <m/>
        <s v="11/08 11:28PM RESCATE - 2 Sierra sable"/>
        <s v="S"/>
      </sharedItems>
    </cacheField>
    <cacheField name="REFERENCIADO EN EL MAPA" numFmtId="0">
      <sharedItems containsBlank="1">
        <m/>
        <s v="-"/>
        <s v="DIGITALIZADO"/>
        <s v="Por favor actualizar BOMBEROS - OK &#10;DIGITALIZADO"/>
        <s v="Por favor actualizar BOMBEROS - OK&#10;DIGITALIZADO"/>
        <s v="SI"/>
        <s v="NO"/>
        <s v="Por favor actualizar BOMBEROS - OK"/>
        <s v="Por favor actualizar BOMEROS"/>
        <s v="Reporte ciudadano - Daño estructural"/>
        <s v="Reporte ciudadano - Claudia pardo 3108368503, Daño estructural en vivienda"/>
        <s v="Reporte ciudadano - Cielo Valero 3181503278, daño estructur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 10" cacheId="0" dataCaption="" rowGrandTotals="0" compact="0" compactData="0">
  <location ref="A1:F320" firstHeaderRow="0" firstDataRow="3" firstDataCol="0"/>
  <pivotFields>
    <pivotField name="Consecu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Prioridad" compact="0" outline="0" multipleItemSelectionAllowed="1" showAll="0">
      <items>
        <item x="0"/>
        <item x="1"/>
        <item x="2"/>
        <item x="3"/>
        <item x="4"/>
        <item x="5"/>
        <item x="6"/>
        <item x="7"/>
        <item x="8"/>
        <item t="default"/>
      </items>
    </pivotField>
    <pivotField name="Estado" compact="0" outline="0" multipleItemSelectionAllowed="1" showAll="0">
      <items>
        <item x="0"/>
        <item x="1"/>
        <item x="2"/>
        <item x="3"/>
        <item x="4"/>
        <item x="5"/>
        <item x="6"/>
        <item x="7"/>
        <item x="8"/>
        <item x="9"/>
        <item t="default"/>
      </items>
    </pivotField>
    <pivotField name="Color semaforo" compact="0" outline="0" multipleItemSelectionAllowed="1" showAll="0">
      <items>
        <item x="0"/>
        <item x="1"/>
        <item x="2"/>
        <item x="3"/>
        <item x="4"/>
        <item x="5"/>
        <item x="6"/>
        <item x="7"/>
        <item t="default"/>
      </items>
    </pivotField>
    <pivotField name="Urgente" compact="0" outline="0" multipleItemSelectionAllowed="1" showAll="0">
      <items>
        <item x="0"/>
        <item x="1"/>
        <item x="2"/>
        <item x="3"/>
        <item t="default"/>
      </items>
    </pivotField>
    <pivotField name="Comuna - Corregimiento" axis="axisRow" compact="0" outline="0" multipleItemSelectionAllowed="1" showAll="0" sortType="ascending">
      <items>
        <item x="27"/>
        <item x="2"/>
        <item x="28"/>
        <item x="12"/>
        <item x="6"/>
        <item x="19"/>
        <item x="17"/>
        <item x="16"/>
        <item x="14"/>
        <item x="11"/>
        <item x="1"/>
        <item x="9"/>
        <item x="0"/>
        <item x="7"/>
        <item x="22"/>
        <item x="13"/>
        <item x="10"/>
        <item x="5"/>
        <item x="8"/>
        <item x="4"/>
        <item x="29"/>
        <item x="15"/>
        <item x="23"/>
        <item x="18"/>
        <item x="3"/>
        <item x="26"/>
        <item x="24"/>
        <item x="25"/>
        <item x="21"/>
        <item x="20"/>
        <item t="default"/>
      </items>
    </pivotField>
    <pivotField name="Sec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arrio" axis="axisRow" compact="0" outline="0" multipleItemSelectionAllowed="1" showAll="0" sortType="ascending" defaultSubtotal="0">
      <items>
        <item x="190"/>
        <item x="68"/>
        <item x="3"/>
        <item x="221"/>
        <item x="104"/>
        <item x="262"/>
        <item x="20"/>
        <item x="217"/>
        <item x="124"/>
        <item x="123"/>
        <item x="270"/>
        <item x="196"/>
        <item x="48"/>
        <item x="204"/>
        <item x="255"/>
        <item x="175"/>
        <item x="31"/>
        <item x="241"/>
        <item x="248"/>
        <item x="90"/>
        <item x="28"/>
        <item x="53"/>
        <item x="235"/>
        <item x="23"/>
        <item x="93"/>
        <item x="177"/>
        <item x="70"/>
        <item x="173"/>
        <item x="174"/>
        <item x="237"/>
        <item x="258"/>
        <item x="148"/>
        <item x="193"/>
        <item x="34"/>
        <item x="122"/>
        <item x="80"/>
        <item x="27"/>
        <item x="41"/>
        <item x="156"/>
        <item x="214"/>
        <item x="272"/>
        <item x="35"/>
        <item x="78"/>
        <item x="117"/>
        <item x="226"/>
        <item x="76"/>
        <item x="154"/>
        <item x="101"/>
        <item x="138"/>
        <item x="17"/>
        <item x="87"/>
        <item x="201"/>
        <item x="179"/>
        <item x="209"/>
        <item x="205"/>
        <item x="11"/>
        <item x="161"/>
        <item x="44"/>
        <item x="141"/>
        <item x="111"/>
        <item x="64"/>
        <item x="170"/>
        <item x="106"/>
        <item x="188"/>
        <item x="229"/>
        <item x="57"/>
        <item x="102"/>
        <item x="231"/>
        <item x="22"/>
        <item x="88"/>
        <item x="232"/>
        <item x="246"/>
        <item x="168"/>
        <item x="202"/>
        <item x="37"/>
        <item x="4"/>
        <item x="225"/>
        <item x="52"/>
        <item x="115"/>
        <item x="200"/>
        <item x="137"/>
        <item x="183"/>
        <item x="147"/>
        <item x="47"/>
        <item x="159"/>
        <item x="182"/>
        <item x="49"/>
        <item x="151"/>
        <item x="222"/>
        <item x="56"/>
        <item x="149"/>
        <item x="100"/>
        <item x="0"/>
        <item x="18"/>
        <item x="66"/>
        <item x="224"/>
        <item x="81"/>
        <item x="13"/>
        <item x="132"/>
        <item x="105"/>
        <item x="109"/>
        <item x="26"/>
        <item x="207"/>
        <item x="198"/>
        <item x="38"/>
        <item x="16"/>
        <item x="243"/>
        <item x="69"/>
        <item x="240"/>
        <item x="227"/>
        <item x="172"/>
        <item x="268"/>
        <item x="61"/>
        <item x="165"/>
        <item x="187"/>
        <item x="152"/>
        <item x="86"/>
        <item x="176"/>
        <item x="223"/>
        <item x="116"/>
        <item x="228"/>
        <item x="249"/>
        <item x="9"/>
        <item x="195"/>
        <item x="171"/>
        <item x="216"/>
        <item x="94"/>
        <item x="242"/>
        <item x="211"/>
        <item x="32"/>
        <item x="1"/>
        <item x="125"/>
        <item x="112"/>
        <item x="160"/>
        <item x="273"/>
        <item x="60"/>
        <item x="215"/>
        <item x="257"/>
        <item x="145"/>
        <item x="119"/>
        <item x="73"/>
        <item x="238"/>
        <item x="158"/>
        <item x="239"/>
        <item x="39"/>
        <item x="185"/>
        <item x="162"/>
        <item x="95"/>
        <item x="2"/>
        <item x="263"/>
        <item x="163"/>
        <item x="252"/>
        <item x="180"/>
        <item x="155"/>
        <item x="62"/>
        <item x="75"/>
        <item x="6"/>
        <item x="84"/>
        <item x="253"/>
        <item x="213"/>
        <item x="157"/>
        <item x="261"/>
        <item x="197"/>
        <item x="230"/>
        <item x="234"/>
        <item x="46"/>
        <item x="79"/>
        <item x="218"/>
        <item x="51"/>
        <item x="208"/>
        <item x="65"/>
        <item x="203"/>
        <item x="136"/>
        <item x="164"/>
        <item x="206"/>
        <item x="135"/>
        <item x="186"/>
        <item x="131"/>
        <item x="267"/>
        <item x="103"/>
        <item x="98"/>
        <item x="24"/>
        <item x="7"/>
        <item x="126"/>
        <item x="244"/>
        <item x="127"/>
        <item x="233"/>
        <item x="113"/>
        <item x="5"/>
        <item x="89"/>
        <item x="140"/>
        <item x="169"/>
        <item x="220"/>
        <item x="189"/>
        <item x="83"/>
        <item x="260"/>
        <item x="107"/>
        <item x="256"/>
        <item x="14"/>
        <item x="142"/>
        <item x="129"/>
        <item x="92"/>
        <item x="63"/>
        <item x="42"/>
        <item x="153"/>
        <item x="71"/>
        <item x="247"/>
        <item x="250"/>
        <item x="181"/>
        <item x="110"/>
        <item x="50"/>
        <item x="194"/>
        <item x="265"/>
        <item x="40"/>
        <item x="236"/>
        <item x="15"/>
        <item x="210"/>
        <item x="219"/>
        <item x="8"/>
        <item x="191"/>
        <item x="33"/>
        <item x="128"/>
        <item x="96"/>
        <item x="251"/>
        <item x="85"/>
        <item x="29"/>
        <item x="77"/>
        <item x="264"/>
        <item x="19"/>
        <item x="25"/>
        <item x="139"/>
        <item x="130"/>
        <item x="55"/>
        <item x="108"/>
        <item x="143"/>
        <item x="91"/>
        <item x="146"/>
        <item x="167"/>
        <item x="199"/>
        <item x="121"/>
        <item x="43"/>
        <item x="245"/>
        <item x="150"/>
        <item x="212"/>
        <item x="133"/>
        <item x="54"/>
        <item x="120"/>
        <item x="97"/>
        <item x="12"/>
        <item x="82"/>
        <item x="178"/>
        <item x="99"/>
        <item x="21"/>
        <item x="74"/>
        <item x="254"/>
        <item x="45"/>
        <item x="266"/>
        <item x="72"/>
        <item x="166"/>
        <item x="10"/>
        <item x="67"/>
        <item x="30"/>
        <item x="59"/>
        <item x="192"/>
        <item x="144"/>
        <item x="134"/>
        <item x="269"/>
        <item x="36"/>
        <item x="114"/>
        <item x="58"/>
        <item x="118"/>
        <item x="271"/>
        <item x="184"/>
        <item x="259"/>
      </items>
    </pivotField>
    <pivotField name="Ti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ame="Refe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Direccion comple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Normalizacion" compact="0" outline="0" multipleItemSelectionAllowed="1" showAll="0">
      <items>
        <item x="0"/>
        <item x="1"/>
        <item x="2"/>
        <item x="3"/>
        <item x="4"/>
        <item x="5"/>
        <item x="6"/>
        <item x="7"/>
        <item x="8"/>
        <item x="9"/>
        <item x="10"/>
        <item x="11"/>
        <item x="12"/>
        <item x="13"/>
        <item t="default"/>
      </items>
    </pivotField>
    <pivotField name="Personas Evacuadas" compact="0" outline="0" multipleItemSelectionAllowed="1" showAll="0">
      <items>
        <item x="0"/>
        <item x="1"/>
        <item x="2"/>
        <item x="3"/>
        <item x="4"/>
        <item t="default"/>
      </items>
    </pivotField>
    <pivotField name="Seres sintientes" compact="0" outline="0" multipleItemSelectionAllowed="1" showAll="0">
      <items>
        <item x="0"/>
        <item x="1"/>
        <item x="2"/>
        <item t="default"/>
      </items>
    </pivotField>
    <pivotField name="Atencion de la 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olapso Total" compact="0" outline="0" multipleItemSelectionAllowed="1" showAll="0">
      <items>
        <item x="0"/>
        <item x="1"/>
        <item x="2"/>
        <item t="default"/>
      </items>
    </pivotField>
    <pivotField name="Colapso Parcial" compact="0" outline="0" multipleItemSelectionAllowed="1" showAll="0">
      <items>
        <item x="0"/>
        <item x="1"/>
        <item x="2"/>
        <item t="default"/>
      </items>
    </pivotField>
    <pivotField name="Daños" dataField="1" compact="0" outline="0" multipleItemSelectionAllowed="1" showAll="0">
      <items>
        <item x="0"/>
        <item x="1"/>
        <item x="2"/>
        <item t="default"/>
      </items>
    </pivotField>
    <pivotField name="Atrapamiento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Rescatados" dataField="1" compact="0" outline="0" multipleItemSelectionAllowed="1" showAll="0">
      <items>
        <item x="0"/>
        <item x="1"/>
        <item x="2"/>
        <item x="3"/>
        <item x="4"/>
        <item x="5"/>
        <item x="6"/>
        <item x="7"/>
        <item x="8"/>
        <item x="9"/>
        <item x="10"/>
        <item t="default"/>
      </items>
    </pivotField>
    <pivotField name="Fallecidos" dataField="1" compact="0" outline="0" multipleItemSelectionAllowed="1" showAll="0">
      <items>
        <item x="0"/>
        <item x="1"/>
        <item x="2"/>
        <item x="3"/>
        <item x="4"/>
        <item x="5"/>
        <item x="6"/>
        <item x="7"/>
        <item x="8"/>
        <item x="9"/>
        <item x="10"/>
        <item t="default"/>
      </items>
    </pivotField>
    <pivotField name="Hospital/Clinica" compact="0" outline="0" multipleItemSelectionAllowed="1" showAll="0">
      <items>
        <item x="0"/>
        <item x="1"/>
        <item x="2"/>
        <item x="3"/>
        <item t="default"/>
      </items>
    </pivotField>
    <pivotField name="NOMBRE DELEG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Observación Gestión del Ries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SOLICITUDES PENDIENTES" compact="0" outline="0" multipleItemSelectionAllowed="1" showAll="0">
      <items>
        <item x="0"/>
        <item x="1"/>
        <item x="2"/>
        <item x="3"/>
        <item x="4"/>
        <item t="default"/>
      </items>
    </pivotField>
    <pivotField name="REFERENCIADO EN EL MAPA" compact="0" outline="0" multipleItemSelectionAllowed="1" showAll="0">
      <items>
        <item x="0"/>
        <item x="1"/>
        <item x="2"/>
        <item x="3"/>
        <item x="4"/>
        <item x="5"/>
        <item x="6"/>
        <item x="7"/>
        <item x="8"/>
        <item x="9"/>
        <item x="10"/>
        <item x="11"/>
        <item t="default"/>
      </items>
    </pivotField>
    <pivotField name="DESAPARECIDOS" compact="0" outline="0" multipleItemSelectionAllowed="1" showAll="0">
      <items>
        <item x="0"/>
        <item t="default"/>
      </items>
    </pivotField>
    <pivotField name="COORDENADAS" compact="0" outline="0" multipleItemSelectionAllowed="1" showAll="0">
      <items>
        <item x="0"/>
        <item x="1"/>
        <item t="default"/>
      </items>
    </pivotField>
    <pivotField name="DESCRIPCION DE LA SITUACION" compact="0" outline="0" multipleItemSelectionAllowed="1" showAll="0">
      <items>
        <item x="0"/>
        <item x="1"/>
        <item t="default"/>
      </items>
    </pivotField>
    <pivotField name="Observaciones generales (FORMULARIO)" compact="0" outline="0" multipleItemSelectionAllowed="1" showAll="0">
      <items>
        <item x="0"/>
        <item x="1"/>
        <item t="default"/>
      </items>
    </pivotField>
  </pivotFields>
  <rowFields>
    <field x="7"/>
    <field x="5"/>
  </rowFields>
  <colFields>
    <field x="-2"/>
  </colFields>
  <dataFields>
    <dataField name="SUM of Daños" fld="19" baseField="0"/>
    <dataField name="SUM of Atrapamientos" fld="20" baseField="0"/>
    <dataField name="SUM of Rescatados" fld="21" baseField="0"/>
    <dataField name="SUM of Fallecidos" fld="22" baseField="0"/>
  </dataFields>
</pivotTableDefinition>
</file>

<file path=xl/pivotTables/pivotTable2.xml><?xml version="1.0" encoding="utf-8"?>
<pivotTableDefinition xmlns="http://schemas.openxmlformats.org/spreadsheetml/2006/main" name="Tabla dinámica 9" cacheId="1" dataCaption="" compact="0" compactData="0">
  <location ref="A1:E10" firstHeaderRow="0" firstDataRow="0" firstDataCol="0"/>
  <pivotFields>
    <pivotField name="Consecu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Prioridad" compact="0" outline="0" multipleItemSelectionAllowed="1" showAll="0">
      <items>
        <item x="0"/>
        <item x="1"/>
        <item x="2"/>
        <item x="3"/>
        <item x="4"/>
        <item x="5"/>
        <item x="6"/>
        <item x="7"/>
        <item x="8"/>
        <item t="default"/>
      </items>
    </pivotField>
    <pivotField name="Estado" compact="0" outline="0" multipleItemSelectionAllowed="1" showAll="0">
      <items>
        <item x="0"/>
        <item x="1"/>
        <item x="2"/>
        <item x="3"/>
        <item x="4"/>
        <item x="5"/>
        <item x="6"/>
        <item x="7"/>
        <item x="8"/>
        <item x="9"/>
        <item t="default"/>
      </items>
    </pivotField>
    <pivotField name="Color semaforo" compact="0" outline="0" multipleItemSelectionAllowed="1" showAll="0">
      <items>
        <item x="0"/>
        <item x="1"/>
        <item x="2"/>
        <item x="3"/>
        <item x="4"/>
        <item x="5"/>
        <item x="6"/>
        <item x="7"/>
        <item t="default"/>
      </items>
    </pivotField>
    <pivotField name="Urgente" compact="0" outline="0" multipleItemSelectionAllowed="1" showAll="0">
      <items>
        <item x="0"/>
        <item x="1"/>
        <item x="2"/>
        <item x="3"/>
        <item t="default"/>
      </items>
    </pivotField>
    <pivotField name="Comuna - Correg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ec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ar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Ti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ame="Refe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Direccion comple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Normalizacion" compact="0" outline="0" multipleItemSelectionAllowed="1" showAll="0">
      <items>
        <item x="0"/>
        <item x="1"/>
        <item x="2"/>
        <item x="3"/>
        <item x="4"/>
        <item x="5"/>
        <item x="6"/>
        <item x="7"/>
        <item x="8"/>
        <item x="9"/>
        <item x="10"/>
        <item x="11"/>
        <item x="12"/>
        <item x="13"/>
        <item t="default"/>
      </items>
    </pivotField>
    <pivotField name="Personas Evacuadas" compact="0" outline="0" multipleItemSelectionAllowed="1" showAll="0">
      <items>
        <item x="0"/>
        <item x="1"/>
        <item x="2"/>
        <item x="3"/>
        <item x="4"/>
        <item t="default"/>
      </items>
    </pivotField>
    <pivotField name="Seres sintientes" compact="0" outline="0" multipleItemSelectionAllowed="1" showAll="0">
      <items>
        <item x="0"/>
        <item x="1"/>
        <item x="2"/>
        <item t="default"/>
      </items>
    </pivotField>
    <pivotField name="Atencion de la 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olapso Total" compact="0" outline="0" multipleItemSelectionAllowed="1" showAll="0">
      <items>
        <item x="0"/>
        <item x="1"/>
        <item x="2"/>
        <item t="default"/>
      </items>
    </pivotField>
    <pivotField name="Colapso Parcial" compact="0" outline="0" multipleItemSelectionAllowed="1" showAll="0">
      <items>
        <item x="0"/>
        <item x="1"/>
        <item x="2"/>
        <item t="default"/>
      </items>
    </pivotField>
    <pivotField name="Daños" compact="0" outline="0" multipleItemSelectionAllowed="1" showAll="0">
      <items>
        <item x="0"/>
        <item x="1"/>
        <item x="2"/>
        <item t="default"/>
      </items>
    </pivotField>
    <pivotField name="Atrapamientos" compact="0" outline="0" multipleItemSelectionAllowed="1" showAll="0">
      <items>
        <item x="0"/>
        <item x="1"/>
        <item x="2"/>
        <item x="3"/>
        <item x="4"/>
        <item x="5"/>
        <item x="6"/>
        <item x="7"/>
        <item x="8"/>
        <item x="9"/>
        <item x="10"/>
        <item x="11"/>
        <item x="12"/>
        <item x="13"/>
        <item x="14"/>
        <item x="15"/>
        <item x="16"/>
        <item x="17"/>
        <item x="18"/>
        <item t="default"/>
      </items>
    </pivotField>
    <pivotField name="Rescatados" compact="0" outline="0" multipleItemSelectionAllowed="1" showAll="0">
      <items>
        <item x="0"/>
        <item x="1"/>
        <item x="2"/>
        <item x="3"/>
        <item x="4"/>
        <item x="5"/>
        <item x="6"/>
        <item x="7"/>
        <item x="8"/>
        <item x="9"/>
        <item x="10"/>
        <item t="default"/>
      </items>
    </pivotField>
    <pivotField name="Fallecidos" compact="0" outline="0" multipleItemSelectionAllowed="1" showAll="0">
      <items>
        <item x="0"/>
        <item x="1"/>
        <item x="2"/>
        <item x="3"/>
        <item x="4"/>
        <item x="5"/>
        <item x="6"/>
        <item x="7"/>
        <item x="8"/>
        <item x="9"/>
        <item x="10"/>
        <item t="default"/>
      </items>
    </pivotField>
    <pivotField name="Hospital/Clinica" compact="0" outline="0" multipleItemSelectionAllowed="1" showAll="0">
      <items>
        <item x="0"/>
        <item x="1"/>
        <item x="2"/>
        <item x="3"/>
        <item t="default"/>
      </items>
    </pivotField>
    <pivotField name="NOMBRE DELEG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Observación Gestión del Ries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SOLICITUDES PENDIENTES" compact="0" outline="0" multipleItemSelectionAllowed="1" showAll="0">
      <items>
        <item x="0"/>
        <item x="1"/>
        <item x="2"/>
        <item x="3"/>
        <item x="4"/>
        <item t="default"/>
      </items>
    </pivotField>
    <pivotField name="REFERENCIADO EN EL MAPA" compact="0" outline="0" multipleItemSelectionAllowed="1" showAll="0">
      <items>
        <item x="0"/>
        <item x="1"/>
        <item x="2"/>
        <item x="3"/>
        <item x="4"/>
        <item x="5"/>
        <item x="6"/>
        <item x="7"/>
        <item x="8"/>
        <item x="9"/>
        <item x="10"/>
        <item x="11"/>
        <item t="default"/>
      </items>
    </pivotField>
  </pivotFields>
</pivotTableDefinition>
</file>

<file path=xl/tables/table1.xml><?xml version="1.0" encoding="utf-8"?>
<table xmlns="http://schemas.openxmlformats.org/spreadsheetml/2006/main" headerRowCount="0" ref="A1:AP5" displayName="Table_1" name="Table_1" id="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os5-Atendid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P3" displayName="Table_2" name="Table_2" id="2">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os4-En validación -Colapso E-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AP4" displayName="Table_3" name="Table_3" id="3">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os3-Atendido-Colapso Estruc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A0A0A"/>
      </a:dk1>
      <a:lt1>
        <a:srgbClr val="FFFFFF"/>
      </a:lt1>
      <a:dk2>
        <a:srgbClr val="0A0A0A"/>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ps.app.goo.gl/tdiqNxax5rBKegBK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38"/>
    <col customWidth="1" min="2" max="2" width="19.75"/>
    <col customWidth="1" min="3" max="3" width="44.88"/>
    <col customWidth="1" min="4" max="4" width="16.38"/>
    <col customWidth="1" min="5" max="7" width="22.63"/>
    <col customWidth="1" min="8" max="8" width="19.0"/>
    <col customWidth="1" min="9" max="9" width="24.88"/>
  </cols>
  <sheetData>
    <row r="1">
      <c r="H1" s="14"/>
      <c r="I1" s="15"/>
    </row>
    <row r="2">
      <c r="B2" s="17" t="s">
        <v>47</v>
      </c>
      <c r="H2" s="14"/>
      <c r="I2" s="15"/>
    </row>
    <row r="3">
      <c r="B3" s="19" t="s">
        <v>49</v>
      </c>
      <c r="H3" s="21" t="s">
        <v>51</v>
      </c>
    </row>
    <row r="4">
      <c r="H4" s="23" t="s">
        <v>53</v>
      </c>
      <c r="I4" s="24" t="s">
        <v>57</v>
      </c>
    </row>
    <row r="5">
      <c r="H5" s="25" t="s">
        <v>59</v>
      </c>
      <c r="I5" s="15">
        <f>COUNTIF('EDAN 100826 - Datos Madre'!$F$2:$F$2186,"COMUNA 1")</f>
        <v>9</v>
      </c>
    </row>
    <row r="6">
      <c r="B6" s="24" t="s">
        <v>66</v>
      </c>
      <c r="D6" s="29" t="s">
        <v>68</v>
      </c>
      <c r="E6" s="31"/>
      <c r="H6" s="25" t="s">
        <v>70</v>
      </c>
      <c r="I6" s="15">
        <f>COUNTIF('EDAN 100826 - Datos Madre'!$F$2:$F$2186,"COMUNA 10")</f>
        <v>34</v>
      </c>
    </row>
    <row r="7">
      <c r="B7" s="32">
        <f>COUNTA('EDAN 100826 - Datos Madre'!A2:A2184)</f>
        <v>863</v>
      </c>
      <c r="D7" s="34">
        <f>COUNTIF('EDAN 100826 - Datos Madre'!$B$2:$B$2186,"ALTA")</f>
        <v>48</v>
      </c>
      <c r="E7" s="36"/>
      <c r="H7" s="25" t="s">
        <v>88</v>
      </c>
      <c r="I7" s="15">
        <f>COUNTIF('EDAN 100826 - Datos Madre'!$F$2:$F$2186,"COMUNA 11")</f>
        <v>5</v>
      </c>
    </row>
    <row r="8">
      <c r="H8" s="25" t="s">
        <v>91</v>
      </c>
      <c r="I8" s="15">
        <f>COUNTIF('EDAN 100826 - Datos Madre'!$F$2:$F$2186,"COMUNA 13")</f>
        <v>4</v>
      </c>
    </row>
    <row r="9">
      <c r="H9" s="25" t="s">
        <v>80</v>
      </c>
      <c r="I9" s="15">
        <f>COUNTIF('EDAN 100826 - Datos Madre'!$F$2:$F$2186,"COMUNA 14")</f>
        <v>4</v>
      </c>
    </row>
    <row r="10">
      <c r="H10" s="25" t="s">
        <v>76</v>
      </c>
      <c r="I10" s="15">
        <f>COUNTIF('EDAN 100826 - Datos Madre'!$F$2:$F$2186,"COMUNA 2")</f>
        <v>118</v>
      </c>
    </row>
    <row r="11">
      <c r="H11" s="25" t="s">
        <v>95</v>
      </c>
      <c r="I11" s="15">
        <f>COUNTIF('EDAN 100826 - Datos Madre'!$F$2:$F$2186,"COMUNA 21")</f>
        <v>5</v>
      </c>
    </row>
    <row r="12">
      <c r="B12" s="21" t="s">
        <v>99</v>
      </c>
      <c r="D12" s="15"/>
      <c r="E12" s="15"/>
      <c r="F12" s="14"/>
      <c r="G12" s="14"/>
      <c r="H12" s="25" t="s">
        <v>102</v>
      </c>
      <c r="I12" s="15">
        <f>COUNTIF('EDAN 100826 - Datos Madre'!$F$2:$F$2186,"COMUNA 22")</f>
        <v>9</v>
      </c>
    </row>
    <row r="13">
      <c r="B13" s="24" t="s">
        <v>107</v>
      </c>
      <c r="C13" s="24" t="s">
        <v>108</v>
      </c>
      <c r="D13" s="24" t="s">
        <v>57</v>
      </c>
      <c r="E13" s="15"/>
      <c r="F13" s="14"/>
      <c r="G13" s="14"/>
      <c r="H13" s="25" t="s">
        <v>110</v>
      </c>
      <c r="I13" s="15">
        <f>COUNTIF('EDAN 100826 - Datos Madre'!$F$2:$F$2186,"COMUNA 3")</f>
        <v>57</v>
      </c>
    </row>
    <row r="14">
      <c r="B14" s="37" t="s">
        <v>112</v>
      </c>
      <c r="C14" s="38" t="s">
        <v>114</v>
      </c>
      <c r="D14" s="15">
        <f>COUNTIF('EDAN 100826 - Datos Madre'!$D$2:$D$2186,"NARANJA")</f>
        <v>29</v>
      </c>
      <c r="E14" s="15"/>
      <c r="F14" s="14"/>
      <c r="G14" s="14"/>
      <c r="H14" s="25" t="s">
        <v>119</v>
      </c>
      <c r="I14" s="15">
        <f>COUNTIF('EDAN 100826 - Datos Madre'!$F$2:$F$2186,"COMUNA 4")</f>
        <v>11</v>
      </c>
    </row>
    <row r="15">
      <c r="B15" s="40" t="s">
        <v>125</v>
      </c>
      <c r="C15" s="38" t="s">
        <v>126</v>
      </c>
      <c r="D15" s="15">
        <f>COUNTIF('EDAN 100826 - Datos Madre'!$D$2:$D$2186,"MORADO")</f>
        <v>484</v>
      </c>
      <c r="E15" s="41" t="s">
        <v>130</v>
      </c>
      <c r="F15" s="42" t="s">
        <v>131</v>
      </c>
      <c r="G15" s="42"/>
      <c r="H15" s="25" t="s">
        <v>116</v>
      </c>
      <c r="I15" s="15">
        <f>COUNTIF('EDAN 100826 - Datos Madre'!$F$2:$F$2186,"COMUNA 5")</f>
        <v>22</v>
      </c>
    </row>
    <row r="16">
      <c r="B16" s="45" t="s">
        <v>135</v>
      </c>
      <c r="C16" s="38" t="s">
        <v>33</v>
      </c>
      <c r="D16" s="15">
        <f>COUNTIF('EDAN 100826 - Datos Madre'!$D$2:$D$2186,"VERDE")</f>
        <v>39</v>
      </c>
      <c r="E16" s="15"/>
      <c r="F16" s="14"/>
      <c r="G16" s="14"/>
      <c r="H16" s="25" t="s">
        <v>139</v>
      </c>
      <c r="I16" s="15">
        <f>COUNTIF('EDAN 100826 - Datos Madre'!$F$2:$F$2186,"COMUNA 6")</f>
        <v>9</v>
      </c>
    </row>
    <row r="17">
      <c r="B17" s="46" t="s">
        <v>141</v>
      </c>
      <c r="C17" s="38" t="s">
        <v>143</v>
      </c>
      <c r="D17" s="15">
        <f>COUNTIF('EDAN 100826 - Datos Madre'!$D$2:$D$2186,"AMARILLO")</f>
        <v>14</v>
      </c>
      <c r="E17" s="15"/>
      <c r="F17" s="14"/>
      <c r="G17" s="14"/>
      <c r="H17" s="25" t="s">
        <v>121</v>
      </c>
      <c r="I17" s="15">
        <f>COUNTIF('EDAN 100826 - Datos Madre'!$F$2:$F$2186,"COMUNA 8")</f>
        <v>13</v>
      </c>
    </row>
    <row r="18">
      <c r="B18" s="47" t="s">
        <v>146</v>
      </c>
      <c r="C18" s="38" t="s">
        <v>147</v>
      </c>
      <c r="D18" s="15">
        <f>COUNTIF('EDAN 100826 - Datos Madre'!$D$2:$D$2186,"ROJO")</f>
        <v>6</v>
      </c>
      <c r="E18" s="15"/>
      <c r="F18" s="14"/>
      <c r="G18" s="14"/>
      <c r="H18" s="25" t="s">
        <v>128</v>
      </c>
      <c r="I18" s="15">
        <f>COUNTIF('EDAN 100826 - Datos Madre'!$F$2:$F$2186,"COMUNA 9")</f>
        <v>38</v>
      </c>
    </row>
    <row r="19">
      <c r="B19" s="49" t="s">
        <v>150</v>
      </c>
      <c r="C19" s="38" t="s">
        <v>151</v>
      </c>
      <c r="D19" s="15">
        <f>COUNTIF('EDAN 100826 - Datos Madre'!$D$2:$D$2186,"SIN CLASIFICAR")</f>
        <v>283</v>
      </c>
      <c r="E19" s="15"/>
      <c r="F19" s="14"/>
      <c r="G19" s="14"/>
      <c r="I19" s="50"/>
    </row>
    <row r="20">
      <c r="B20" s="51"/>
      <c r="C20" s="38" t="s">
        <v>154</v>
      </c>
      <c r="D20" s="15">
        <f>COUNTIF('EDAN 100826 - Datos Madre'!$D$2:$D$2186,"NEGRO")</f>
        <v>8</v>
      </c>
      <c r="H20" s="52" t="s">
        <v>156</v>
      </c>
      <c r="I20" s="50">
        <f>SUBTOTAL(9,I5:I18)</f>
        <v>338</v>
      </c>
    </row>
    <row r="21">
      <c r="B21" s="52"/>
      <c r="I21" s="50"/>
    </row>
    <row r="22" hidden="1">
      <c r="I22" s="50"/>
    </row>
    <row r="23" hidden="1">
      <c r="B23" s="54" t="s">
        <v>162</v>
      </c>
      <c r="C23" s="55"/>
      <c r="D23" s="55"/>
      <c r="E23" s="55"/>
      <c r="F23" s="55"/>
      <c r="G23" s="55"/>
      <c r="H23" s="55"/>
      <c r="I23" s="56"/>
    </row>
    <row r="24" hidden="1">
      <c r="B24" s="57"/>
      <c r="C24" s="58" t="s">
        <v>168</v>
      </c>
      <c r="D24" s="56"/>
      <c r="E24" s="59" t="s">
        <v>19</v>
      </c>
      <c r="F24" s="59" t="s">
        <v>20</v>
      </c>
      <c r="G24" s="60" t="s">
        <v>173</v>
      </c>
      <c r="H24" s="60" t="s">
        <v>21</v>
      </c>
      <c r="I24" s="60" t="s">
        <v>175</v>
      </c>
    </row>
    <row r="25" hidden="1">
      <c r="B25" s="61" t="s">
        <v>177</v>
      </c>
      <c r="C25" s="62">
        <v>66.0</v>
      </c>
      <c r="D25" s="56"/>
      <c r="E25" s="64">
        <v>680.0</v>
      </c>
      <c r="F25" s="64">
        <v>174.0</v>
      </c>
      <c r="G25" s="66">
        <v>1008.0</v>
      </c>
      <c r="H25" s="67">
        <v>88.0</v>
      </c>
      <c r="I25" s="67">
        <v>74.0</v>
      </c>
      <c r="J25" s="69"/>
    </row>
    <row r="26" hidden="1">
      <c r="C26" s="72" t="s">
        <v>182</v>
      </c>
      <c r="D26" s="56"/>
      <c r="I26" s="50"/>
    </row>
    <row r="27" hidden="1">
      <c r="G27" s="73" t="s">
        <v>184</v>
      </c>
    </row>
    <row r="28">
      <c r="I28" s="50"/>
    </row>
    <row r="29">
      <c r="B29" s="74"/>
      <c r="I29" s="50"/>
    </row>
    <row r="30">
      <c r="B30" s="75"/>
      <c r="I30" s="50"/>
    </row>
    <row r="31">
      <c r="B31" s="75"/>
      <c r="I31" s="50"/>
    </row>
    <row r="32">
      <c r="B32" s="76" t="s">
        <v>2</v>
      </c>
      <c r="C32" s="76" t="s">
        <v>17</v>
      </c>
      <c r="D32" s="76" t="s">
        <v>18</v>
      </c>
      <c r="E32" s="76" t="s">
        <v>188</v>
      </c>
      <c r="H32" s="14"/>
      <c r="I32" s="15"/>
    </row>
    <row r="33">
      <c r="B33" s="78" t="s">
        <v>33</v>
      </c>
      <c r="C33" s="12">
        <f>SUMPRODUCT(('EDAN 100826 - Datos Madre'!$R$2:$R$2184=1)*(TRIM('EDAN 100826 - Datos Madre'!$C$2:$C$2184)=$B33))</f>
        <v>5</v>
      </c>
      <c r="D33" s="12">
        <f>SUMPRODUCT(('EDAN 100826 - Datos Madre'!$S$2:$S$2184=1)*(TRIM('EDAN 100826 - Datos Madre'!$C$2:$C$2184)=$B33))</f>
        <v>0</v>
      </c>
      <c r="E33" s="12">
        <f t="shared" ref="E33:E38" si="1">SUBTOTAL(9,C33:D33)</f>
        <v>5</v>
      </c>
      <c r="H33" s="14"/>
      <c r="I33" s="15"/>
    </row>
    <row r="34">
      <c r="B34" s="78" t="s">
        <v>63</v>
      </c>
      <c r="C34" s="12">
        <f>SUMPRODUCT(('EDAN 100826 - Datos Madre'!$R$2:$R$2184=1)*(TRIM('EDAN 100826 - Datos Madre'!$C$2:$C$2184)=$B34))</f>
        <v>24</v>
      </c>
      <c r="D34" s="12">
        <f>SUMPRODUCT(('EDAN 100826 - Datos Madre'!$S$2:$S$2184=1)*(TRIM('EDAN 100826 - Datos Madre'!$C$2:$C$2184)=$B34))</f>
        <v>17</v>
      </c>
      <c r="E34" s="12">
        <f t="shared" si="1"/>
        <v>41</v>
      </c>
      <c r="H34" s="14"/>
      <c r="I34" s="15"/>
    </row>
    <row r="35">
      <c r="B35" s="78" t="s">
        <v>270</v>
      </c>
      <c r="C35" s="12">
        <f>SUMPRODUCT(('EDAN 100826 - Datos Madre'!$R$2:$R$2184=1)*(TRIM('EDAN 100826 - Datos Madre'!$C$2:$C$2184)=$B35))</f>
        <v>2</v>
      </c>
      <c r="D35" s="12">
        <f>SUMPRODUCT(('EDAN 100826 - Datos Madre'!$S$2:$S$2184=1)*(TRIM('EDAN 100826 - Datos Madre'!$C$2:$C$2184)=$B35))</f>
        <v>0</v>
      </c>
      <c r="E35" s="12">
        <f t="shared" si="1"/>
        <v>2</v>
      </c>
      <c r="H35" s="14"/>
      <c r="I35" s="15"/>
    </row>
    <row r="36">
      <c r="B36" s="78" t="s">
        <v>279</v>
      </c>
      <c r="C36" s="12">
        <f>SUMPRODUCT(('EDAN 100826 - Datos Madre'!$R$2:$R$2184=1)*(TRIM('EDAN 100826 - Datos Madre'!$C$2:$C$2184)=$B36))</f>
        <v>11</v>
      </c>
      <c r="D36" s="12">
        <f>SUMPRODUCT(('EDAN 100826 - Datos Madre'!$S$2:$S$2184=1)*(TRIM('EDAN 100826 - Datos Madre'!$C$2:$C$2184)=$B36))</f>
        <v>11</v>
      </c>
      <c r="E36" s="12">
        <f t="shared" si="1"/>
        <v>22</v>
      </c>
      <c r="H36" s="14"/>
      <c r="I36" s="15"/>
    </row>
    <row r="37">
      <c r="B37" s="78" t="s">
        <v>287</v>
      </c>
      <c r="C37" s="12">
        <f>SUMPRODUCT(('EDAN 100826 - Datos Madre'!$R$2:$R$2184=1)*(TRIM('EDAN 100826 - Datos Madre'!$C$2:$C$2184)=$B37))</f>
        <v>0</v>
      </c>
      <c r="D37" s="12">
        <f>SUMPRODUCT(('EDAN 100826 - Datos Madre'!$S$2:$S$2184=1)*(TRIM('EDAN 100826 - Datos Madre'!$C$2:$C$2184)=$B37))</f>
        <v>0</v>
      </c>
      <c r="E37" s="12">
        <f t="shared" si="1"/>
        <v>0</v>
      </c>
      <c r="H37" s="14"/>
      <c r="I37" s="15"/>
    </row>
    <row r="38">
      <c r="B38" s="78" t="s">
        <v>133</v>
      </c>
      <c r="C38" s="12">
        <f>SUMPRODUCT(('EDAN 100826 - Datos Madre'!$R$2:$R$2184=1)*(TRIM('EDAN 100826 - Datos Madre'!$C$2:$C$2184)=$B38))</f>
        <v>0</v>
      </c>
      <c r="D38" s="12">
        <f>SUMPRODUCT(('EDAN 100826 - Datos Madre'!$S$2:$S$2184=1)*(TRIM('EDAN 100826 - Datos Madre'!$C$2:$C$2184)=$B38))</f>
        <v>0</v>
      </c>
      <c r="E38" s="12">
        <f t="shared" si="1"/>
        <v>0</v>
      </c>
      <c r="H38" s="14"/>
      <c r="I38" s="15"/>
    </row>
    <row r="39">
      <c r="B39" s="96" t="s">
        <v>156</v>
      </c>
      <c r="C39" s="96">
        <f t="shared" ref="C39:D39" si="2">SUBTOTAL(9,C33:C38)</f>
        <v>42</v>
      </c>
      <c r="D39" s="96">
        <f t="shared" si="2"/>
        <v>28</v>
      </c>
      <c r="E39" s="96">
        <f>E33+E34+E35+E36+E37+E38</f>
        <v>70</v>
      </c>
      <c r="H39" s="14"/>
      <c r="I39" s="15"/>
    </row>
    <row r="40">
      <c r="H40" s="14"/>
      <c r="I40" s="15"/>
    </row>
    <row r="41">
      <c r="H41" s="14"/>
      <c r="I41" s="15"/>
    </row>
    <row r="42">
      <c r="H42" s="14"/>
      <c r="I42" s="15"/>
    </row>
    <row r="43">
      <c r="H43" s="14"/>
      <c r="I43" s="15"/>
    </row>
    <row r="44">
      <c r="H44" s="14"/>
      <c r="I44" s="15"/>
    </row>
    <row r="45">
      <c r="H45" s="14"/>
      <c r="I45" s="15"/>
    </row>
    <row r="46">
      <c r="H46" s="14"/>
      <c r="I46" s="15"/>
    </row>
    <row r="47">
      <c r="H47" s="14"/>
      <c r="I47" s="15"/>
    </row>
    <row r="48">
      <c r="H48" s="14"/>
      <c r="I48" s="15"/>
    </row>
    <row r="49">
      <c r="H49" s="14"/>
      <c r="I49" s="15"/>
    </row>
    <row r="50">
      <c r="H50" s="14"/>
      <c r="I50" s="15"/>
    </row>
    <row r="51">
      <c r="H51" s="14"/>
      <c r="I51" s="15"/>
    </row>
    <row r="52">
      <c r="H52" s="14"/>
      <c r="I52" s="15"/>
    </row>
    <row r="53">
      <c r="H53" s="14"/>
      <c r="I53" s="15"/>
    </row>
    <row r="54">
      <c r="H54" s="14"/>
      <c r="I54" s="15"/>
    </row>
    <row r="55">
      <c r="H55" s="14"/>
      <c r="I55" s="15"/>
    </row>
    <row r="56">
      <c r="H56" s="14"/>
      <c r="I56" s="15"/>
    </row>
    <row r="57">
      <c r="H57" s="14"/>
      <c r="I57" s="15"/>
    </row>
    <row r="58">
      <c r="H58" s="14"/>
      <c r="I58" s="15"/>
    </row>
    <row r="59">
      <c r="H59" s="14"/>
      <c r="I59" s="15"/>
    </row>
    <row r="60">
      <c r="H60" s="14"/>
      <c r="I60" s="15"/>
    </row>
    <row r="61">
      <c r="H61" s="14"/>
      <c r="I61" s="15"/>
    </row>
    <row r="62">
      <c r="H62" s="14"/>
      <c r="I62" s="15"/>
    </row>
    <row r="63">
      <c r="H63" s="14"/>
      <c r="I63" s="15"/>
    </row>
    <row r="64">
      <c r="H64" s="14"/>
      <c r="I64" s="15"/>
    </row>
    <row r="65">
      <c r="H65" s="14"/>
      <c r="I65" s="15"/>
    </row>
    <row r="66">
      <c r="H66" s="14"/>
      <c r="I66" s="15"/>
    </row>
    <row r="67">
      <c r="H67" s="14"/>
      <c r="I67" s="15"/>
    </row>
    <row r="68">
      <c r="H68" s="14"/>
      <c r="I68" s="15"/>
    </row>
    <row r="69">
      <c r="H69" s="14"/>
      <c r="I69" s="15"/>
    </row>
    <row r="70">
      <c r="H70" s="14"/>
      <c r="I70" s="15"/>
    </row>
    <row r="71">
      <c r="H71" s="14"/>
      <c r="I71" s="15"/>
    </row>
    <row r="72">
      <c r="H72" s="14"/>
      <c r="I72" s="15"/>
    </row>
    <row r="73">
      <c r="H73" s="14"/>
      <c r="I73" s="15"/>
    </row>
    <row r="74">
      <c r="H74" s="14"/>
      <c r="I74" s="15"/>
    </row>
    <row r="75">
      <c r="H75" s="14"/>
      <c r="I75" s="15"/>
    </row>
    <row r="76">
      <c r="H76" s="14"/>
      <c r="I76" s="15"/>
    </row>
    <row r="77">
      <c r="H77" s="14"/>
      <c r="I77" s="15"/>
    </row>
    <row r="78">
      <c r="H78" s="14"/>
      <c r="I78" s="15"/>
    </row>
    <row r="79">
      <c r="H79" s="14"/>
      <c r="I79" s="15"/>
    </row>
    <row r="80">
      <c r="H80" s="14"/>
      <c r="I80" s="15"/>
    </row>
    <row r="81">
      <c r="H81" s="14"/>
      <c r="I81" s="15"/>
    </row>
    <row r="82">
      <c r="H82" s="14"/>
      <c r="I82" s="15"/>
    </row>
    <row r="83">
      <c r="H83" s="14"/>
      <c r="I83" s="15"/>
    </row>
    <row r="84">
      <c r="H84" s="14"/>
      <c r="I84" s="15"/>
    </row>
    <row r="85">
      <c r="H85" s="14"/>
      <c r="I85" s="15"/>
    </row>
    <row r="86">
      <c r="H86" s="14"/>
      <c r="I86" s="15"/>
    </row>
    <row r="87">
      <c r="H87" s="14"/>
      <c r="I87" s="15"/>
    </row>
    <row r="88">
      <c r="H88" s="14"/>
      <c r="I88" s="15"/>
    </row>
    <row r="89">
      <c r="H89" s="14"/>
      <c r="I89" s="15"/>
    </row>
    <row r="90">
      <c r="H90" s="14"/>
      <c r="I90" s="15"/>
    </row>
    <row r="91">
      <c r="H91" s="14"/>
      <c r="I91" s="15"/>
    </row>
    <row r="92">
      <c r="H92" s="14"/>
      <c r="I92" s="15"/>
    </row>
    <row r="93">
      <c r="H93" s="14"/>
      <c r="I93" s="15"/>
    </row>
    <row r="94">
      <c r="H94" s="14"/>
      <c r="I94" s="15"/>
    </row>
    <row r="95">
      <c r="H95" s="14"/>
      <c r="I95" s="15"/>
    </row>
    <row r="96">
      <c r="H96" s="14"/>
      <c r="I96" s="15"/>
    </row>
    <row r="97">
      <c r="H97" s="14"/>
      <c r="I97" s="15"/>
    </row>
    <row r="98">
      <c r="H98" s="14"/>
      <c r="I98" s="15"/>
    </row>
    <row r="99">
      <c r="H99" s="14"/>
      <c r="I99" s="15"/>
    </row>
    <row r="100">
      <c r="H100" s="14"/>
      <c r="I100" s="15"/>
    </row>
    <row r="101">
      <c r="H101" s="14"/>
      <c r="I101" s="15"/>
    </row>
    <row r="102">
      <c r="H102" s="14"/>
      <c r="I102" s="15"/>
    </row>
    <row r="103">
      <c r="H103" s="14"/>
      <c r="I103" s="15"/>
    </row>
    <row r="104">
      <c r="H104" s="14"/>
      <c r="I104" s="15"/>
    </row>
    <row r="105">
      <c r="H105" s="14"/>
      <c r="I105" s="15"/>
    </row>
    <row r="106">
      <c r="H106" s="14"/>
      <c r="I106" s="15"/>
    </row>
    <row r="107">
      <c r="H107" s="14"/>
      <c r="I107" s="15"/>
    </row>
    <row r="108">
      <c r="H108" s="14"/>
      <c r="I108" s="15"/>
    </row>
    <row r="109">
      <c r="H109" s="14"/>
      <c r="I109" s="15"/>
    </row>
    <row r="110">
      <c r="H110" s="14"/>
      <c r="I110" s="15"/>
    </row>
    <row r="111">
      <c r="H111" s="14"/>
      <c r="I111" s="15"/>
    </row>
    <row r="112">
      <c r="H112" s="14"/>
      <c r="I112" s="15"/>
    </row>
    <row r="113">
      <c r="H113" s="14"/>
      <c r="I113" s="15"/>
    </row>
    <row r="114">
      <c r="H114" s="14"/>
      <c r="I114" s="15"/>
    </row>
    <row r="115">
      <c r="H115" s="14"/>
      <c r="I115" s="15"/>
    </row>
    <row r="116">
      <c r="H116" s="14"/>
      <c r="I116" s="15"/>
    </row>
    <row r="117">
      <c r="H117" s="14"/>
      <c r="I117" s="15"/>
    </row>
    <row r="118">
      <c r="H118" s="14"/>
      <c r="I118" s="15"/>
    </row>
    <row r="119">
      <c r="H119" s="14"/>
      <c r="I119" s="15"/>
    </row>
    <row r="120">
      <c r="H120" s="14"/>
      <c r="I120" s="15"/>
    </row>
    <row r="121">
      <c r="H121" s="14"/>
      <c r="I121" s="15"/>
    </row>
    <row r="122">
      <c r="H122" s="14"/>
      <c r="I122" s="15"/>
    </row>
    <row r="123">
      <c r="H123" s="14"/>
      <c r="I123" s="15"/>
    </row>
    <row r="124">
      <c r="H124" s="14"/>
      <c r="I124" s="15"/>
    </row>
    <row r="125">
      <c r="H125" s="14"/>
      <c r="I125" s="15"/>
    </row>
    <row r="126">
      <c r="H126" s="14"/>
      <c r="I126" s="15"/>
    </row>
    <row r="127">
      <c r="H127" s="14"/>
      <c r="I127" s="15"/>
    </row>
    <row r="128">
      <c r="H128" s="14"/>
      <c r="I128" s="15"/>
    </row>
    <row r="129">
      <c r="H129" s="14"/>
      <c r="I129" s="15"/>
    </row>
    <row r="130">
      <c r="H130" s="14"/>
      <c r="I130" s="15"/>
    </row>
    <row r="131">
      <c r="H131" s="14"/>
      <c r="I131" s="15"/>
    </row>
    <row r="132">
      <c r="H132" s="14"/>
      <c r="I132" s="15"/>
    </row>
    <row r="133">
      <c r="H133" s="14"/>
      <c r="I133" s="15"/>
    </row>
    <row r="134">
      <c r="H134" s="14"/>
      <c r="I134" s="15"/>
    </row>
    <row r="135">
      <c r="H135" s="14"/>
      <c r="I135" s="15"/>
    </row>
    <row r="136">
      <c r="H136" s="14"/>
      <c r="I136" s="15"/>
    </row>
    <row r="137">
      <c r="H137" s="14"/>
      <c r="I137" s="15"/>
    </row>
    <row r="138">
      <c r="H138" s="14"/>
      <c r="I138" s="15"/>
    </row>
    <row r="139">
      <c r="H139" s="14"/>
      <c r="I139" s="15"/>
    </row>
    <row r="140">
      <c r="H140" s="14"/>
      <c r="I140" s="15"/>
    </row>
    <row r="141">
      <c r="H141" s="14"/>
      <c r="I141" s="15"/>
    </row>
    <row r="142">
      <c r="H142" s="14"/>
      <c r="I142" s="15"/>
    </row>
    <row r="143">
      <c r="H143" s="14"/>
      <c r="I143" s="15"/>
    </row>
    <row r="144">
      <c r="H144" s="14"/>
      <c r="I144" s="15"/>
    </row>
    <row r="145">
      <c r="H145" s="14"/>
      <c r="I145" s="15"/>
    </row>
    <row r="146">
      <c r="H146" s="14"/>
      <c r="I146" s="15"/>
    </row>
    <row r="147">
      <c r="H147" s="14"/>
      <c r="I147" s="15"/>
    </row>
    <row r="148">
      <c r="H148" s="14"/>
      <c r="I148" s="15"/>
    </row>
    <row r="149">
      <c r="H149" s="14"/>
      <c r="I149" s="15"/>
    </row>
    <row r="150">
      <c r="H150" s="14"/>
      <c r="I150" s="15"/>
    </row>
    <row r="151">
      <c r="H151" s="14"/>
      <c r="I151" s="15"/>
    </row>
    <row r="152">
      <c r="H152" s="14"/>
      <c r="I152" s="15"/>
    </row>
    <row r="153">
      <c r="H153" s="14"/>
      <c r="I153" s="15"/>
    </row>
    <row r="154">
      <c r="H154" s="14"/>
      <c r="I154" s="15"/>
    </row>
    <row r="155">
      <c r="H155" s="14"/>
      <c r="I155" s="15"/>
    </row>
    <row r="156">
      <c r="H156" s="14"/>
      <c r="I156" s="15"/>
    </row>
    <row r="157">
      <c r="H157" s="14"/>
      <c r="I157" s="15"/>
    </row>
    <row r="158">
      <c r="H158" s="14"/>
      <c r="I158" s="15"/>
    </row>
    <row r="159">
      <c r="H159" s="14"/>
      <c r="I159" s="15"/>
    </row>
    <row r="160">
      <c r="H160" s="14"/>
      <c r="I160" s="15"/>
    </row>
    <row r="161">
      <c r="H161" s="14"/>
      <c r="I161" s="15"/>
    </row>
    <row r="162">
      <c r="H162" s="14"/>
      <c r="I162" s="15"/>
    </row>
    <row r="163">
      <c r="H163" s="14"/>
      <c r="I163" s="15"/>
    </row>
    <row r="164">
      <c r="H164" s="14"/>
      <c r="I164" s="15"/>
    </row>
    <row r="165">
      <c r="H165" s="14"/>
      <c r="I165" s="15"/>
    </row>
    <row r="166">
      <c r="H166" s="14"/>
      <c r="I166" s="15"/>
    </row>
    <row r="167">
      <c r="H167" s="14"/>
      <c r="I167" s="15"/>
    </row>
    <row r="168">
      <c r="H168" s="14"/>
      <c r="I168" s="15"/>
    </row>
    <row r="169">
      <c r="H169" s="14"/>
      <c r="I169" s="15"/>
    </row>
    <row r="170">
      <c r="H170" s="14"/>
      <c r="I170" s="15"/>
    </row>
    <row r="171">
      <c r="H171" s="14"/>
      <c r="I171" s="15"/>
    </row>
    <row r="172">
      <c r="H172" s="14"/>
      <c r="I172" s="15"/>
    </row>
    <row r="173">
      <c r="H173" s="14"/>
      <c r="I173" s="15"/>
    </row>
    <row r="174">
      <c r="H174" s="14"/>
      <c r="I174" s="15"/>
    </row>
    <row r="175">
      <c r="H175" s="14"/>
      <c r="I175" s="15"/>
    </row>
    <row r="176">
      <c r="H176" s="14"/>
      <c r="I176" s="15"/>
    </row>
    <row r="177">
      <c r="H177" s="14"/>
      <c r="I177" s="15"/>
    </row>
    <row r="178">
      <c r="H178" s="14"/>
      <c r="I178" s="15"/>
    </row>
    <row r="179">
      <c r="H179" s="14"/>
      <c r="I179" s="15"/>
    </row>
    <row r="180">
      <c r="H180" s="14"/>
      <c r="I180" s="15"/>
    </row>
    <row r="181">
      <c r="H181" s="14"/>
      <c r="I181" s="15"/>
    </row>
    <row r="182">
      <c r="H182" s="14"/>
      <c r="I182" s="15"/>
    </row>
    <row r="183">
      <c r="H183" s="14"/>
      <c r="I183" s="15"/>
    </row>
    <row r="184">
      <c r="H184" s="14"/>
      <c r="I184" s="15"/>
    </row>
    <row r="185">
      <c r="H185" s="14"/>
      <c r="I185" s="15"/>
    </row>
    <row r="186">
      <c r="H186" s="14"/>
      <c r="I186" s="15"/>
    </row>
    <row r="187">
      <c r="H187" s="14"/>
      <c r="I187" s="15"/>
    </row>
    <row r="188">
      <c r="H188" s="14"/>
      <c r="I188" s="15"/>
    </row>
    <row r="189">
      <c r="H189" s="14"/>
      <c r="I189" s="15"/>
    </row>
    <row r="190">
      <c r="H190" s="14"/>
      <c r="I190" s="15"/>
    </row>
    <row r="191">
      <c r="H191" s="14"/>
      <c r="I191" s="15"/>
    </row>
    <row r="192">
      <c r="H192" s="14"/>
      <c r="I192" s="15"/>
    </row>
    <row r="193">
      <c r="H193" s="14"/>
      <c r="I193" s="15"/>
    </row>
    <row r="194">
      <c r="H194" s="14"/>
      <c r="I194" s="15"/>
    </row>
    <row r="195">
      <c r="H195" s="14"/>
      <c r="I195" s="15"/>
    </row>
    <row r="196">
      <c r="H196" s="14"/>
      <c r="I196" s="15"/>
    </row>
    <row r="197">
      <c r="H197" s="14"/>
      <c r="I197" s="15"/>
    </row>
    <row r="198">
      <c r="H198" s="14"/>
      <c r="I198" s="15"/>
    </row>
    <row r="199">
      <c r="H199" s="14"/>
      <c r="I199" s="15"/>
    </row>
    <row r="200">
      <c r="H200" s="14"/>
      <c r="I200" s="15"/>
    </row>
    <row r="201">
      <c r="H201" s="14"/>
      <c r="I201" s="15"/>
    </row>
    <row r="202">
      <c r="H202" s="14"/>
      <c r="I202" s="15"/>
    </row>
    <row r="203">
      <c r="H203" s="14"/>
      <c r="I203" s="15"/>
    </row>
    <row r="204">
      <c r="H204" s="14"/>
      <c r="I204" s="15"/>
    </row>
    <row r="205">
      <c r="H205" s="14"/>
      <c r="I205" s="15"/>
    </row>
    <row r="206">
      <c r="H206" s="14"/>
      <c r="I206" s="15"/>
    </row>
    <row r="207">
      <c r="H207" s="14"/>
      <c r="I207" s="15"/>
    </row>
    <row r="208">
      <c r="H208" s="14"/>
      <c r="I208" s="15"/>
    </row>
    <row r="209">
      <c r="H209" s="14"/>
      <c r="I209" s="15"/>
    </row>
    <row r="210">
      <c r="H210" s="14"/>
      <c r="I210" s="15"/>
    </row>
    <row r="211">
      <c r="H211" s="14"/>
      <c r="I211" s="15"/>
    </row>
    <row r="212">
      <c r="H212" s="14"/>
      <c r="I212" s="15"/>
    </row>
    <row r="213">
      <c r="H213" s="14"/>
      <c r="I213" s="15"/>
    </row>
    <row r="214">
      <c r="H214" s="14"/>
      <c r="I214" s="15"/>
    </row>
    <row r="215">
      <c r="H215" s="14"/>
      <c r="I215" s="15"/>
    </row>
    <row r="216">
      <c r="H216" s="14"/>
      <c r="I216" s="15"/>
    </row>
    <row r="217">
      <c r="H217" s="14"/>
      <c r="I217" s="15"/>
    </row>
    <row r="218">
      <c r="H218" s="14"/>
      <c r="I218" s="15"/>
    </row>
    <row r="219">
      <c r="H219" s="14"/>
      <c r="I219" s="15"/>
    </row>
    <row r="220">
      <c r="H220" s="14"/>
      <c r="I220" s="15"/>
    </row>
    <row r="221">
      <c r="H221" s="14"/>
      <c r="I221" s="15"/>
    </row>
    <row r="222">
      <c r="H222" s="14"/>
      <c r="I222" s="15"/>
    </row>
    <row r="223">
      <c r="H223" s="14"/>
      <c r="I223" s="15"/>
    </row>
    <row r="224">
      <c r="H224" s="14"/>
      <c r="I224" s="15"/>
    </row>
    <row r="225">
      <c r="H225" s="14"/>
      <c r="I225" s="15"/>
    </row>
    <row r="226">
      <c r="H226" s="14"/>
      <c r="I226" s="15"/>
    </row>
    <row r="227">
      <c r="H227" s="14"/>
      <c r="I227" s="15"/>
    </row>
    <row r="228">
      <c r="H228" s="14"/>
      <c r="I228" s="15"/>
    </row>
    <row r="229">
      <c r="H229" s="14"/>
      <c r="I229" s="15"/>
    </row>
    <row r="230">
      <c r="H230" s="14"/>
      <c r="I230" s="15"/>
    </row>
    <row r="231">
      <c r="H231" s="14"/>
      <c r="I231" s="15"/>
    </row>
    <row r="232">
      <c r="H232" s="14"/>
      <c r="I232" s="15"/>
    </row>
    <row r="233">
      <c r="H233" s="14"/>
      <c r="I233" s="15"/>
    </row>
    <row r="234">
      <c r="H234" s="14"/>
      <c r="I234" s="15"/>
    </row>
    <row r="235">
      <c r="H235" s="14"/>
      <c r="I235" s="15"/>
    </row>
    <row r="236">
      <c r="H236" s="14"/>
      <c r="I236" s="15"/>
    </row>
    <row r="237">
      <c r="H237" s="14"/>
      <c r="I237" s="15"/>
    </row>
    <row r="238">
      <c r="H238" s="14"/>
      <c r="I238" s="15"/>
    </row>
    <row r="239">
      <c r="H239" s="14"/>
      <c r="I239" s="15"/>
    </row>
    <row r="240">
      <c r="H240" s="14"/>
      <c r="I240" s="15"/>
    </row>
    <row r="241">
      <c r="H241" s="14"/>
      <c r="I241" s="15"/>
    </row>
    <row r="242">
      <c r="H242" s="14"/>
      <c r="I242" s="15"/>
    </row>
    <row r="243">
      <c r="H243" s="14"/>
      <c r="I243" s="15"/>
    </row>
    <row r="244">
      <c r="H244" s="14"/>
      <c r="I244" s="15"/>
    </row>
    <row r="245">
      <c r="H245" s="14"/>
      <c r="I245" s="15"/>
    </row>
    <row r="246">
      <c r="H246" s="14"/>
      <c r="I246" s="15"/>
    </row>
    <row r="247">
      <c r="H247" s="14"/>
      <c r="I247" s="15"/>
    </row>
    <row r="248">
      <c r="H248" s="14"/>
      <c r="I248" s="15"/>
    </row>
    <row r="249">
      <c r="H249" s="14"/>
      <c r="I249" s="15"/>
    </row>
    <row r="250">
      <c r="H250" s="14"/>
      <c r="I250" s="15"/>
    </row>
    <row r="251">
      <c r="H251" s="14"/>
      <c r="I251" s="15"/>
    </row>
    <row r="252">
      <c r="H252" s="14"/>
      <c r="I252" s="15"/>
    </row>
    <row r="253">
      <c r="H253" s="14"/>
      <c r="I253" s="15"/>
    </row>
    <row r="254">
      <c r="H254" s="14"/>
      <c r="I254" s="15"/>
    </row>
    <row r="255">
      <c r="H255" s="14"/>
      <c r="I255" s="15"/>
    </row>
    <row r="256">
      <c r="H256" s="14"/>
      <c r="I256" s="15"/>
    </row>
    <row r="257">
      <c r="H257" s="14"/>
      <c r="I257" s="15"/>
    </row>
    <row r="258">
      <c r="H258" s="14"/>
      <c r="I258" s="15"/>
    </row>
    <row r="259">
      <c r="H259" s="14"/>
      <c r="I259" s="15"/>
    </row>
    <row r="260">
      <c r="H260" s="14"/>
      <c r="I260" s="15"/>
    </row>
    <row r="261">
      <c r="H261" s="14"/>
      <c r="I261" s="15"/>
    </row>
    <row r="262">
      <c r="H262" s="14"/>
      <c r="I262" s="15"/>
    </row>
    <row r="263">
      <c r="H263" s="14"/>
      <c r="I263" s="15"/>
    </row>
    <row r="264">
      <c r="H264" s="14"/>
      <c r="I264" s="15"/>
    </row>
    <row r="265">
      <c r="H265" s="14"/>
      <c r="I265" s="15"/>
    </row>
    <row r="266">
      <c r="H266" s="14"/>
      <c r="I266" s="15"/>
    </row>
    <row r="267">
      <c r="H267" s="14"/>
      <c r="I267" s="15"/>
    </row>
    <row r="268">
      <c r="H268" s="14"/>
      <c r="I268" s="15"/>
    </row>
    <row r="269">
      <c r="H269" s="14"/>
      <c r="I269" s="15"/>
    </row>
    <row r="270">
      <c r="H270" s="14"/>
      <c r="I270" s="15"/>
    </row>
    <row r="271">
      <c r="H271" s="14"/>
      <c r="I271" s="15"/>
    </row>
    <row r="272">
      <c r="H272" s="14"/>
      <c r="I272" s="15"/>
    </row>
    <row r="273">
      <c r="H273" s="14"/>
      <c r="I273" s="15"/>
    </row>
    <row r="274">
      <c r="H274" s="14"/>
      <c r="I274" s="15"/>
    </row>
    <row r="275">
      <c r="H275" s="14"/>
      <c r="I275" s="15"/>
    </row>
    <row r="276">
      <c r="H276" s="14"/>
      <c r="I276" s="15"/>
    </row>
    <row r="277">
      <c r="H277" s="14"/>
      <c r="I277" s="15"/>
    </row>
    <row r="278">
      <c r="H278" s="14"/>
      <c r="I278" s="15"/>
    </row>
    <row r="279">
      <c r="H279" s="14"/>
      <c r="I279" s="15"/>
    </row>
    <row r="280">
      <c r="H280" s="14"/>
      <c r="I280" s="15"/>
    </row>
    <row r="281">
      <c r="H281" s="14"/>
      <c r="I281" s="15"/>
    </row>
    <row r="282">
      <c r="H282" s="14"/>
      <c r="I282" s="15"/>
    </row>
    <row r="283">
      <c r="H283" s="14"/>
      <c r="I283" s="15"/>
    </row>
    <row r="284">
      <c r="H284" s="14"/>
      <c r="I284" s="15"/>
    </row>
    <row r="285">
      <c r="H285" s="14"/>
      <c r="I285" s="15"/>
    </row>
    <row r="286">
      <c r="H286" s="14"/>
      <c r="I286" s="15"/>
    </row>
    <row r="287">
      <c r="H287" s="14"/>
      <c r="I287" s="15"/>
    </row>
    <row r="288">
      <c r="H288" s="14"/>
      <c r="I288" s="15"/>
    </row>
    <row r="289">
      <c r="H289" s="14"/>
      <c r="I289" s="15"/>
    </row>
    <row r="290">
      <c r="H290" s="14"/>
      <c r="I290" s="15"/>
    </row>
    <row r="291">
      <c r="H291" s="14"/>
      <c r="I291" s="15"/>
    </row>
    <row r="292">
      <c r="H292" s="14"/>
      <c r="I292" s="15"/>
    </row>
    <row r="293">
      <c r="H293" s="14"/>
      <c r="I293" s="15"/>
    </row>
    <row r="294">
      <c r="H294" s="14"/>
      <c r="I294" s="15"/>
    </row>
    <row r="295">
      <c r="H295" s="14"/>
      <c r="I295" s="15"/>
    </row>
    <row r="296">
      <c r="H296" s="14"/>
      <c r="I296" s="15"/>
    </row>
    <row r="297">
      <c r="H297" s="14"/>
      <c r="I297" s="15"/>
    </row>
    <row r="298">
      <c r="H298" s="14"/>
      <c r="I298" s="15"/>
    </row>
    <row r="299">
      <c r="H299" s="14"/>
      <c r="I299" s="15"/>
    </row>
    <row r="300">
      <c r="H300" s="14"/>
      <c r="I300" s="15"/>
    </row>
    <row r="301">
      <c r="H301" s="14"/>
      <c r="I301" s="15"/>
    </row>
    <row r="302">
      <c r="H302" s="14"/>
      <c r="I302" s="15"/>
    </row>
    <row r="303">
      <c r="H303" s="14"/>
      <c r="I303" s="15"/>
    </row>
    <row r="304">
      <c r="H304" s="14"/>
      <c r="I304" s="15"/>
    </row>
    <row r="305">
      <c r="H305" s="14"/>
      <c r="I305" s="15"/>
    </row>
    <row r="306">
      <c r="H306" s="14"/>
      <c r="I306" s="15"/>
    </row>
    <row r="307">
      <c r="H307" s="14"/>
      <c r="I307" s="15"/>
    </row>
    <row r="308">
      <c r="H308" s="14"/>
      <c r="I308" s="15"/>
    </row>
    <row r="309">
      <c r="H309" s="14"/>
      <c r="I309" s="15"/>
    </row>
    <row r="310">
      <c r="H310" s="14"/>
      <c r="I310" s="15"/>
    </row>
    <row r="311">
      <c r="H311" s="14"/>
      <c r="I311" s="15"/>
    </row>
    <row r="312">
      <c r="H312" s="14"/>
      <c r="I312" s="15"/>
    </row>
    <row r="313">
      <c r="H313" s="14"/>
      <c r="I313" s="15"/>
    </row>
    <row r="314">
      <c r="H314" s="14"/>
      <c r="I314" s="15"/>
    </row>
    <row r="315">
      <c r="H315" s="14"/>
      <c r="I315" s="15"/>
    </row>
    <row r="316">
      <c r="H316" s="14"/>
      <c r="I316" s="15"/>
    </row>
    <row r="317">
      <c r="H317" s="14"/>
      <c r="I317" s="15"/>
    </row>
    <row r="318">
      <c r="H318" s="14"/>
      <c r="I318" s="15"/>
    </row>
    <row r="319">
      <c r="H319" s="14"/>
      <c r="I319" s="15"/>
    </row>
    <row r="320">
      <c r="H320" s="14"/>
      <c r="I320" s="15"/>
    </row>
    <row r="321">
      <c r="H321" s="14"/>
      <c r="I321" s="15"/>
    </row>
    <row r="322">
      <c r="H322" s="14"/>
      <c r="I322" s="15"/>
    </row>
    <row r="323">
      <c r="H323" s="14"/>
      <c r="I323" s="15"/>
    </row>
    <row r="324">
      <c r="H324" s="14"/>
      <c r="I324" s="15"/>
    </row>
    <row r="325">
      <c r="H325" s="14"/>
      <c r="I325" s="15"/>
    </row>
    <row r="326">
      <c r="H326" s="14"/>
      <c r="I326" s="15"/>
    </row>
    <row r="327">
      <c r="H327" s="14"/>
      <c r="I327" s="15"/>
    </row>
    <row r="328">
      <c r="H328" s="14"/>
      <c r="I328" s="15"/>
    </row>
    <row r="329">
      <c r="H329" s="14"/>
      <c r="I329" s="15"/>
    </row>
    <row r="330">
      <c r="H330" s="14"/>
      <c r="I330" s="15"/>
    </row>
    <row r="331">
      <c r="H331" s="14"/>
      <c r="I331" s="15"/>
    </row>
    <row r="332">
      <c r="H332" s="14"/>
      <c r="I332" s="15"/>
    </row>
    <row r="333">
      <c r="H333" s="14"/>
      <c r="I333" s="15"/>
    </row>
    <row r="334">
      <c r="H334" s="14"/>
      <c r="I334" s="15"/>
    </row>
    <row r="335">
      <c r="H335" s="14"/>
      <c r="I335" s="15"/>
    </row>
    <row r="336">
      <c r="H336" s="14"/>
      <c r="I336" s="15"/>
    </row>
    <row r="337">
      <c r="H337" s="14"/>
      <c r="I337" s="15"/>
    </row>
    <row r="338">
      <c r="H338" s="14"/>
      <c r="I338" s="15"/>
    </row>
    <row r="339">
      <c r="H339" s="14"/>
      <c r="I339" s="15"/>
    </row>
    <row r="340">
      <c r="H340" s="14"/>
      <c r="I340" s="15"/>
    </row>
    <row r="341">
      <c r="H341" s="14"/>
      <c r="I341" s="15"/>
    </row>
    <row r="342">
      <c r="H342" s="14"/>
      <c r="I342" s="15"/>
    </row>
    <row r="343">
      <c r="H343" s="14"/>
      <c r="I343" s="15"/>
    </row>
    <row r="344">
      <c r="H344" s="14"/>
      <c r="I344" s="15"/>
    </row>
    <row r="345">
      <c r="H345" s="14"/>
      <c r="I345" s="15"/>
    </row>
    <row r="346">
      <c r="H346" s="14"/>
      <c r="I346" s="15"/>
    </row>
    <row r="347">
      <c r="H347" s="14"/>
      <c r="I347" s="15"/>
    </row>
    <row r="348">
      <c r="H348" s="14"/>
      <c r="I348" s="15"/>
    </row>
    <row r="349">
      <c r="H349" s="14"/>
      <c r="I349" s="15"/>
    </row>
    <row r="350">
      <c r="H350" s="14"/>
      <c r="I350" s="15"/>
    </row>
    <row r="351">
      <c r="H351" s="14"/>
      <c r="I351" s="15"/>
    </row>
    <row r="352">
      <c r="H352" s="14"/>
      <c r="I352" s="15"/>
    </row>
    <row r="353">
      <c r="H353" s="14"/>
      <c r="I353" s="15"/>
    </row>
    <row r="354">
      <c r="H354" s="14"/>
      <c r="I354" s="15"/>
    </row>
    <row r="355">
      <c r="H355" s="14"/>
      <c r="I355" s="15"/>
    </row>
    <row r="356">
      <c r="H356" s="14"/>
      <c r="I356" s="15"/>
    </row>
    <row r="357">
      <c r="H357" s="14"/>
      <c r="I357" s="15"/>
    </row>
    <row r="358">
      <c r="H358" s="14"/>
      <c r="I358" s="15"/>
    </row>
    <row r="359">
      <c r="H359" s="14"/>
      <c r="I359" s="15"/>
    </row>
    <row r="360">
      <c r="H360" s="14"/>
      <c r="I360" s="15"/>
    </row>
    <row r="361">
      <c r="H361" s="14"/>
      <c r="I361" s="15"/>
    </row>
    <row r="362">
      <c r="H362" s="14"/>
      <c r="I362" s="15"/>
    </row>
    <row r="363">
      <c r="H363" s="14"/>
      <c r="I363" s="15"/>
    </row>
    <row r="364">
      <c r="H364" s="14"/>
      <c r="I364" s="15"/>
    </row>
    <row r="365">
      <c r="H365" s="14"/>
      <c r="I365" s="15"/>
    </row>
    <row r="366">
      <c r="H366" s="14"/>
      <c r="I366" s="15"/>
    </row>
    <row r="367">
      <c r="H367" s="14"/>
      <c r="I367" s="15"/>
    </row>
    <row r="368">
      <c r="H368" s="14"/>
      <c r="I368" s="15"/>
    </row>
    <row r="369">
      <c r="H369" s="14"/>
      <c r="I369" s="15"/>
    </row>
    <row r="370">
      <c r="H370" s="14"/>
      <c r="I370" s="15"/>
    </row>
    <row r="371">
      <c r="H371" s="14"/>
      <c r="I371" s="15"/>
    </row>
    <row r="372">
      <c r="H372" s="14"/>
      <c r="I372" s="15"/>
    </row>
    <row r="373">
      <c r="H373" s="14"/>
      <c r="I373" s="15"/>
    </row>
    <row r="374">
      <c r="H374" s="14"/>
      <c r="I374" s="15"/>
    </row>
    <row r="375">
      <c r="H375" s="14"/>
      <c r="I375" s="15"/>
    </row>
    <row r="376">
      <c r="H376" s="14"/>
      <c r="I376" s="15"/>
    </row>
    <row r="377">
      <c r="H377" s="14"/>
      <c r="I377" s="15"/>
    </row>
    <row r="378">
      <c r="H378" s="14"/>
      <c r="I378" s="15"/>
    </row>
    <row r="379">
      <c r="H379" s="14"/>
      <c r="I379" s="15"/>
    </row>
    <row r="380">
      <c r="H380" s="14"/>
      <c r="I380" s="15"/>
    </row>
    <row r="381">
      <c r="H381" s="14"/>
      <c r="I381" s="15"/>
    </row>
    <row r="382">
      <c r="H382" s="14"/>
      <c r="I382" s="15"/>
    </row>
    <row r="383">
      <c r="H383" s="14"/>
      <c r="I383" s="15"/>
    </row>
    <row r="384">
      <c r="H384" s="14"/>
      <c r="I384" s="15"/>
    </row>
    <row r="385">
      <c r="H385" s="14"/>
      <c r="I385" s="15"/>
    </row>
    <row r="386">
      <c r="H386" s="14"/>
      <c r="I386" s="15"/>
    </row>
    <row r="387">
      <c r="H387" s="14"/>
      <c r="I387" s="15"/>
    </row>
    <row r="388">
      <c r="H388" s="14"/>
      <c r="I388" s="15"/>
    </row>
    <row r="389">
      <c r="H389" s="14"/>
      <c r="I389" s="15"/>
    </row>
    <row r="390">
      <c r="H390" s="14"/>
      <c r="I390" s="15"/>
    </row>
    <row r="391">
      <c r="H391" s="14"/>
      <c r="I391" s="15"/>
    </row>
    <row r="392">
      <c r="H392" s="14"/>
      <c r="I392" s="15"/>
    </row>
    <row r="393">
      <c r="H393" s="14"/>
      <c r="I393" s="15"/>
    </row>
    <row r="394">
      <c r="H394" s="14"/>
      <c r="I394" s="15"/>
    </row>
    <row r="395">
      <c r="H395" s="14"/>
      <c r="I395" s="15"/>
    </row>
    <row r="396">
      <c r="H396" s="14"/>
      <c r="I396" s="15"/>
    </row>
    <row r="397">
      <c r="H397" s="14"/>
      <c r="I397" s="15"/>
    </row>
    <row r="398">
      <c r="H398" s="14"/>
      <c r="I398" s="15"/>
    </row>
    <row r="399">
      <c r="H399" s="14"/>
      <c r="I399" s="15"/>
    </row>
    <row r="400">
      <c r="H400" s="14"/>
      <c r="I400" s="15"/>
    </row>
    <row r="401">
      <c r="H401" s="14"/>
      <c r="I401" s="15"/>
    </row>
    <row r="402">
      <c r="H402" s="14"/>
      <c r="I402" s="15"/>
    </row>
    <row r="403">
      <c r="H403" s="14"/>
      <c r="I403" s="15"/>
    </row>
    <row r="404">
      <c r="H404" s="14"/>
      <c r="I404" s="15"/>
    </row>
    <row r="405">
      <c r="H405" s="14"/>
      <c r="I405" s="15"/>
    </row>
    <row r="406">
      <c r="H406" s="14"/>
      <c r="I406" s="15"/>
    </row>
    <row r="407">
      <c r="H407" s="14"/>
      <c r="I407" s="15"/>
    </row>
    <row r="408">
      <c r="H408" s="14"/>
      <c r="I408" s="15"/>
    </row>
    <row r="409">
      <c r="H409" s="14"/>
      <c r="I409" s="15"/>
    </row>
    <row r="410">
      <c r="H410" s="14"/>
      <c r="I410" s="15"/>
    </row>
    <row r="411">
      <c r="H411" s="14"/>
      <c r="I411" s="15"/>
    </row>
    <row r="412">
      <c r="H412" s="14"/>
      <c r="I412" s="15"/>
    </row>
    <row r="413">
      <c r="H413" s="14"/>
      <c r="I413" s="15"/>
    </row>
    <row r="414">
      <c r="H414" s="14"/>
      <c r="I414" s="15"/>
    </row>
    <row r="415">
      <c r="H415" s="14"/>
      <c r="I415" s="15"/>
    </row>
    <row r="416">
      <c r="H416" s="14"/>
      <c r="I416" s="15"/>
    </row>
    <row r="417">
      <c r="H417" s="14"/>
      <c r="I417" s="15"/>
    </row>
    <row r="418">
      <c r="H418" s="14"/>
      <c r="I418" s="15"/>
    </row>
    <row r="419">
      <c r="H419" s="14"/>
      <c r="I419" s="15"/>
    </row>
    <row r="420">
      <c r="H420" s="14"/>
      <c r="I420" s="15"/>
    </row>
    <row r="421">
      <c r="H421" s="14"/>
      <c r="I421" s="15"/>
    </row>
    <row r="422">
      <c r="H422" s="14"/>
      <c r="I422" s="15"/>
    </row>
    <row r="423">
      <c r="H423" s="14"/>
      <c r="I423" s="15"/>
    </row>
    <row r="424">
      <c r="H424" s="14"/>
      <c r="I424" s="15"/>
    </row>
    <row r="425">
      <c r="H425" s="14"/>
      <c r="I425" s="15"/>
    </row>
    <row r="426">
      <c r="H426" s="14"/>
      <c r="I426" s="15"/>
    </row>
    <row r="427">
      <c r="H427" s="14"/>
      <c r="I427" s="15"/>
    </row>
    <row r="428">
      <c r="H428" s="14"/>
      <c r="I428" s="15"/>
    </row>
    <row r="429">
      <c r="H429" s="14"/>
      <c r="I429" s="15"/>
    </row>
    <row r="430">
      <c r="H430" s="14"/>
      <c r="I430" s="15"/>
    </row>
    <row r="431">
      <c r="H431" s="14"/>
      <c r="I431" s="15"/>
    </row>
    <row r="432">
      <c r="H432" s="14"/>
      <c r="I432" s="15"/>
    </row>
    <row r="433">
      <c r="H433" s="14"/>
      <c r="I433" s="15"/>
    </row>
    <row r="434">
      <c r="H434" s="14"/>
      <c r="I434" s="15"/>
    </row>
    <row r="435">
      <c r="H435" s="14"/>
      <c r="I435" s="15"/>
    </row>
    <row r="436">
      <c r="H436" s="14"/>
      <c r="I436" s="15"/>
    </row>
    <row r="437">
      <c r="H437" s="14"/>
      <c r="I437" s="15"/>
    </row>
    <row r="438">
      <c r="H438" s="14"/>
      <c r="I438" s="15"/>
    </row>
    <row r="439">
      <c r="H439" s="14"/>
      <c r="I439" s="15"/>
    </row>
    <row r="440">
      <c r="H440" s="14"/>
      <c r="I440" s="15"/>
    </row>
    <row r="441">
      <c r="H441" s="14"/>
      <c r="I441" s="15"/>
    </row>
    <row r="442">
      <c r="H442" s="14"/>
      <c r="I442" s="15"/>
    </row>
    <row r="443">
      <c r="H443" s="14"/>
      <c r="I443" s="15"/>
    </row>
    <row r="444">
      <c r="H444" s="14"/>
      <c r="I444" s="15"/>
    </row>
    <row r="445">
      <c r="H445" s="14"/>
      <c r="I445" s="15"/>
    </row>
    <row r="446">
      <c r="H446" s="14"/>
      <c r="I446" s="15"/>
    </row>
    <row r="447">
      <c r="H447" s="14"/>
      <c r="I447" s="15"/>
    </row>
    <row r="448">
      <c r="H448" s="14"/>
      <c r="I448" s="15"/>
    </row>
    <row r="449">
      <c r="H449" s="14"/>
      <c r="I449" s="15"/>
    </row>
    <row r="450">
      <c r="H450" s="14"/>
      <c r="I450" s="15"/>
    </row>
    <row r="451">
      <c r="H451" s="14"/>
      <c r="I451" s="15"/>
    </row>
    <row r="452">
      <c r="H452" s="14"/>
      <c r="I452" s="15"/>
    </row>
    <row r="453">
      <c r="H453" s="14"/>
      <c r="I453" s="15"/>
    </row>
    <row r="454">
      <c r="H454" s="14"/>
      <c r="I454" s="15"/>
    </row>
    <row r="455">
      <c r="H455" s="14"/>
      <c r="I455" s="15"/>
    </row>
    <row r="456">
      <c r="H456" s="14"/>
      <c r="I456" s="15"/>
    </row>
    <row r="457">
      <c r="H457" s="14"/>
      <c r="I457" s="15"/>
    </row>
    <row r="458">
      <c r="H458" s="14"/>
      <c r="I458" s="15"/>
    </row>
    <row r="459">
      <c r="H459" s="14"/>
      <c r="I459" s="15"/>
    </row>
    <row r="460">
      <c r="H460" s="14"/>
      <c r="I460" s="15"/>
    </row>
    <row r="461">
      <c r="H461" s="14"/>
      <c r="I461" s="15"/>
    </row>
    <row r="462">
      <c r="H462" s="14"/>
      <c r="I462" s="15"/>
    </row>
    <row r="463">
      <c r="H463" s="14"/>
      <c r="I463" s="15"/>
    </row>
    <row r="464">
      <c r="H464" s="14"/>
      <c r="I464" s="15"/>
    </row>
    <row r="465">
      <c r="H465" s="14"/>
      <c r="I465" s="15"/>
    </row>
    <row r="466">
      <c r="H466" s="14"/>
      <c r="I466" s="15"/>
    </row>
    <row r="467">
      <c r="H467" s="14"/>
      <c r="I467" s="15"/>
    </row>
    <row r="468">
      <c r="H468" s="14"/>
      <c r="I468" s="15"/>
    </row>
    <row r="469">
      <c r="H469" s="14"/>
      <c r="I469" s="15"/>
    </row>
    <row r="470">
      <c r="H470" s="14"/>
      <c r="I470" s="15"/>
    </row>
    <row r="471">
      <c r="H471" s="14"/>
      <c r="I471" s="15"/>
    </row>
    <row r="472">
      <c r="H472" s="14"/>
      <c r="I472" s="15"/>
    </row>
    <row r="473">
      <c r="H473" s="14"/>
      <c r="I473" s="15"/>
    </row>
    <row r="474">
      <c r="H474" s="14"/>
      <c r="I474" s="15"/>
    </row>
    <row r="475">
      <c r="H475" s="14"/>
      <c r="I475" s="15"/>
    </row>
    <row r="476">
      <c r="H476" s="14"/>
      <c r="I476" s="15"/>
    </row>
    <row r="477">
      <c r="H477" s="14"/>
      <c r="I477" s="15"/>
    </row>
    <row r="478">
      <c r="H478" s="14"/>
      <c r="I478" s="15"/>
    </row>
    <row r="479">
      <c r="H479" s="14"/>
      <c r="I479" s="15"/>
    </row>
    <row r="480">
      <c r="H480" s="14"/>
      <c r="I480" s="15"/>
    </row>
    <row r="481">
      <c r="H481" s="14"/>
      <c r="I481" s="15"/>
    </row>
    <row r="482">
      <c r="H482" s="14"/>
      <c r="I482" s="15"/>
    </row>
    <row r="483">
      <c r="H483" s="14"/>
      <c r="I483" s="15"/>
    </row>
    <row r="484">
      <c r="H484" s="14"/>
      <c r="I484" s="15"/>
    </row>
    <row r="485">
      <c r="H485" s="14"/>
      <c r="I485" s="15"/>
    </row>
    <row r="486">
      <c r="H486" s="14"/>
      <c r="I486" s="15"/>
    </row>
    <row r="487">
      <c r="H487" s="14"/>
      <c r="I487" s="15"/>
    </row>
    <row r="488">
      <c r="H488" s="14"/>
      <c r="I488" s="15"/>
    </row>
    <row r="489">
      <c r="H489" s="14"/>
      <c r="I489" s="15"/>
    </row>
    <row r="490">
      <c r="H490" s="14"/>
      <c r="I490" s="15"/>
    </row>
    <row r="491">
      <c r="H491" s="14"/>
      <c r="I491" s="15"/>
    </row>
    <row r="492">
      <c r="H492" s="14"/>
      <c r="I492" s="15"/>
    </row>
    <row r="493">
      <c r="H493" s="14"/>
      <c r="I493" s="15"/>
    </row>
    <row r="494">
      <c r="H494" s="14"/>
      <c r="I494" s="15"/>
    </row>
    <row r="495">
      <c r="H495" s="14"/>
      <c r="I495" s="15"/>
    </row>
    <row r="496">
      <c r="H496" s="14"/>
      <c r="I496" s="15"/>
    </row>
    <row r="497">
      <c r="H497" s="14"/>
      <c r="I497" s="15"/>
    </row>
    <row r="498">
      <c r="H498" s="14"/>
      <c r="I498" s="15"/>
    </row>
    <row r="499">
      <c r="H499" s="14"/>
      <c r="I499" s="15"/>
    </row>
    <row r="500">
      <c r="H500" s="14"/>
      <c r="I500" s="15"/>
    </row>
    <row r="501">
      <c r="H501" s="14"/>
      <c r="I501" s="15"/>
    </row>
    <row r="502">
      <c r="H502" s="14"/>
      <c r="I502" s="15"/>
    </row>
    <row r="503">
      <c r="H503" s="14"/>
      <c r="I503" s="15"/>
    </row>
    <row r="504">
      <c r="H504" s="14"/>
      <c r="I504" s="15"/>
    </row>
    <row r="505">
      <c r="H505" s="14"/>
      <c r="I505" s="15"/>
    </row>
    <row r="506">
      <c r="H506" s="14"/>
      <c r="I506" s="15"/>
    </row>
    <row r="507">
      <c r="H507" s="14"/>
      <c r="I507" s="15"/>
    </row>
    <row r="508">
      <c r="H508" s="14"/>
      <c r="I508" s="15"/>
    </row>
    <row r="509">
      <c r="H509" s="14"/>
      <c r="I509" s="15"/>
    </row>
    <row r="510">
      <c r="H510" s="14"/>
      <c r="I510" s="15"/>
    </row>
    <row r="511">
      <c r="H511" s="14"/>
      <c r="I511" s="15"/>
    </row>
    <row r="512">
      <c r="H512" s="14"/>
      <c r="I512" s="15"/>
    </row>
    <row r="513">
      <c r="H513" s="14"/>
      <c r="I513" s="15"/>
    </row>
    <row r="514">
      <c r="H514" s="14"/>
      <c r="I514" s="15"/>
    </row>
    <row r="515">
      <c r="H515" s="14"/>
      <c r="I515" s="15"/>
    </row>
    <row r="516">
      <c r="H516" s="14"/>
      <c r="I516" s="15"/>
    </row>
    <row r="517">
      <c r="H517" s="14"/>
      <c r="I517" s="15"/>
    </row>
    <row r="518">
      <c r="H518" s="14"/>
      <c r="I518" s="15"/>
    </row>
    <row r="519">
      <c r="H519" s="14"/>
      <c r="I519" s="15"/>
    </row>
    <row r="520">
      <c r="H520" s="14"/>
      <c r="I520" s="15"/>
    </row>
    <row r="521">
      <c r="H521" s="14"/>
      <c r="I521" s="15"/>
    </row>
    <row r="522">
      <c r="H522" s="14"/>
      <c r="I522" s="15"/>
    </row>
    <row r="523">
      <c r="H523" s="14"/>
      <c r="I523" s="15"/>
    </row>
    <row r="524">
      <c r="H524" s="14"/>
      <c r="I524" s="15"/>
    </row>
    <row r="525">
      <c r="H525" s="14"/>
      <c r="I525" s="15"/>
    </row>
    <row r="526">
      <c r="H526" s="14"/>
      <c r="I526" s="15"/>
    </row>
    <row r="527">
      <c r="H527" s="14"/>
      <c r="I527" s="15"/>
    </row>
    <row r="528">
      <c r="H528" s="14"/>
      <c r="I528" s="15"/>
    </row>
    <row r="529">
      <c r="H529" s="14"/>
      <c r="I529" s="15"/>
    </row>
    <row r="530">
      <c r="H530" s="14"/>
      <c r="I530" s="15"/>
    </row>
    <row r="531">
      <c r="H531" s="14"/>
      <c r="I531" s="15"/>
    </row>
    <row r="532">
      <c r="H532" s="14"/>
      <c r="I532" s="15"/>
    </row>
    <row r="533">
      <c r="H533" s="14"/>
      <c r="I533" s="15"/>
    </row>
    <row r="534">
      <c r="H534" s="14"/>
      <c r="I534" s="15"/>
    </row>
    <row r="535">
      <c r="H535" s="14"/>
      <c r="I535" s="15"/>
    </row>
    <row r="536">
      <c r="H536" s="14"/>
      <c r="I536" s="15"/>
    </row>
    <row r="537">
      <c r="H537" s="14"/>
      <c r="I537" s="15"/>
    </row>
    <row r="538">
      <c r="H538" s="14"/>
      <c r="I538" s="15"/>
    </row>
    <row r="539">
      <c r="H539" s="14"/>
      <c r="I539" s="15"/>
    </row>
    <row r="540">
      <c r="H540" s="14"/>
      <c r="I540" s="15"/>
    </row>
    <row r="541">
      <c r="H541" s="14"/>
      <c r="I541" s="15"/>
    </row>
    <row r="542">
      <c r="H542" s="14"/>
      <c r="I542" s="15"/>
    </row>
    <row r="543">
      <c r="H543" s="14"/>
      <c r="I543" s="15"/>
    </row>
    <row r="544">
      <c r="H544" s="14"/>
      <c r="I544" s="15"/>
    </row>
    <row r="545">
      <c r="H545" s="14"/>
      <c r="I545" s="15"/>
    </row>
    <row r="546">
      <c r="H546" s="14"/>
      <c r="I546" s="15"/>
    </row>
    <row r="547">
      <c r="H547" s="14"/>
      <c r="I547" s="15"/>
    </row>
    <row r="548">
      <c r="H548" s="14"/>
      <c r="I548" s="15"/>
    </row>
    <row r="549">
      <c r="H549" s="14"/>
      <c r="I549" s="15"/>
    </row>
    <row r="550">
      <c r="H550" s="14"/>
      <c r="I550" s="15"/>
    </row>
    <row r="551">
      <c r="H551" s="14"/>
      <c r="I551" s="15"/>
    </row>
    <row r="552">
      <c r="H552" s="14"/>
      <c r="I552" s="15"/>
    </row>
    <row r="553">
      <c r="H553" s="14"/>
      <c r="I553" s="15"/>
    </row>
    <row r="554">
      <c r="H554" s="14"/>
      <c r="I554" s="15"/>
    </row>
    <row r="555">
      <c r="H555" s="14"/>
      <c r="I555" s="15"/>
    </row>
    <row r="556">
      <c r="H556" s="14"/>
      <c r="I556" s="15"/>
    </row>
    <row r="557">
      <c r="H557" s="14"/>
      <c r="I557" s="15"/>
    </row>
    <row r="558">
      <c r="H558" s="14"/>
      <c r="I558" s="15"/>
    </row>
    <row r="559">
      <c r="H559" s="14"/>
      <c r="I559" s="15"/>
    </row>
    <row r="560">
      <c r="H560" s="14"/>
      <c r="I560" s="15"/>
    </row>
    <row r="561">
      <c r="H561" s="14"/>
      <c r="I561" s="15"/>
    </row>
    <row r="562">
      <c r="H562" s="14"/>
      <c r="I562" s="15"/>
    </row>
    <row r="563">
      <c r="H563" s="14"/>
      <c r="I563" s="15"/>
    </row>
    <row r="564">
      <c r="H564" s="14"/>
      <c r="I564" s="15"/>
    </row>
    <row r="565">
      <c r="H565" s="14"/>
      <c r="I565" s="15"/>
    </row>
    <row r="566">
      <c r="H566" s="14"/>
      <c r="I566" s="15"/>
    </row>
    <row r="567">
      <c r="H567" s="14"/>
      <c r="I567" s="15"/>
    </row>
    <row r="568">
      <c r="H568" s="14"/>
      <c r="I568" s="15"/>
    </row>
    <row r="569">
      <c r="H569" s="14"/>
      <c r="I569" s="15"/>
    </row>
    <row r="570">
      <c r="H570" s="14"/>
      <c r="I570" s="15"/>
    </row>
    <row r="571">
      <c r="H571" s="14"/>
      <c r="I571" s="15"/>
    </row>
    <row r="572">
      <c r="H572" s="14"/>
      <c r="I572" s="15"/>
    </row>
    <row r="573">
      <c r="H573" s="14"/>
      <c r="I573" s="15"/>
    </row>
    <row r="574">
      <c r="H574" s="14"/>
      <c r="I574" s="15"/>
    </row>
    <row r="575">
      <c r="H575" s="14"/>
      <c r="I575" s="15"/>
    </row>
    <row r="576">
      <c r="H576" s="14"/>
      <c r="I576" s="15"/>
    </row>
    <row r="577">
      <c r="H577" s="14"/>
      <c r="I577" s="15"/>
    </row>
    <row r="578">
      <c r="H578" s="14"/>
      <c r="I578" s="15"/>
    </row>
    <row r="579">
      <c r="H579" s="14"/>
      <c r="I579" s="15"/>
    </row>
    <row r="580">
      <c r="H580" s="14"/>
      <c r="I580" s="15"/>
    </row>
    <row r="581">
      <c r="H581" s="14"/>
      <c r="I581" s="15"/>
    </row>
    <row r="582">
      <c r="H582" s="14"/>
      <c r="I582" s="15"/>
    </row>
    <row r="583">
      <c r="H583" s="14"/>
      <c r="I583" s="15"/>
    </row>
    <row r="584">
      <c r="H584" s="14"/>
      <c r="I584" s="15"/>
    </row>
    <row r="585">
      <c r="H585" s="14"/>
      <c r="I585" s="15"/>
    </row>
    <row r="586">
      <c r="H586" s="14"/>
      <c r="I586" s="15"/>
    </row>
    <row r="587">
      <c r="H587" s="14"/>
      <c r="I587" s="15"/>
    </row>
    <row r="588">
      <c r="H588" s="14"/>
      <c r="I588" s="15"/>
    </row>
    <row r="589">
      <c r="H589" s="14"/>
      <c r="I589" s="15"/>
    </row>
    <row r="590">
      <c r="H590" s="14"/>
      <c r="I590" s="15"/>
    </row>
    <row r="591">
      <c r="H591" s="14"/>
      <c r="I591" s="15"/>
    </row>
    <row r="592">
      <c r="H592" s="14"/>
      <c r="I592" s="15"/>
    </row>
    <row r="593">
      <c r="H593" s="14"/>
      <c r="I593" s="15"/>
    </row>
    <row r="594">
      <c r="H594" s="14"/>
      <c r="I594" s="15"/>
    </row>
    <row r="595">
      <c r="H595" s="14"/>
      <c r="I595" s="15"/>
    </row>
    <row r="596">
      <c r="H596" s="14"/>
      <c r="I596" s="15"/>
    </row>
    <row r="597">
      <c r="H597" s="14"/>
      <c r="I597" s="15"/>
    </row>
    <row r="598">
      <c r="H598" s="14"/>
      <c r="I598" s="15"/>
    </row>
    <row r="599">
      <c r="H599" s="14"/>
      <c r="I599" s="15"/>
    </row>
    <row r="600">
      <c r="H600" s="14"/>
      <c r="I600" s="15"/>
    </row>
    <row r="601">
      <c r="H601" s="14"/>
      <c r="I601" s="15"/>
    </row>
    <row r="602">
      <c r="H602" s="14"/>
      <c r="I602" s="15"/>
    </row>
    <row r="603">
      <c r="H603" s="14"/>
      <c r="I603" s="15"/>
    </row>
    <row r="604">
      <c r="H604" s="14"/>
      <c r="I604" s="15"/>
    </row>
    <row r="605">
      <c r="H605" s="14"/>
      <c r="I605" s="15"/>
    </row>
    <row r="606">
      <c r="H606" s="14"/>
      <c r="I606" s="15"/>
    </row>
    <row r="607">
      <c r="H607" s="14"/>
      <c r="I607" s="15"/>
    </row>
    <row r="608">
      <c r="H608" s="14"/>
      <c r="I608" s="15"/>
    </row>
    <row r="609">
      <c r="H609" s="14"/>
      <c r="I609" s="15"/>
    </row>
    <row r="610">
      <c r="H610" s="14"/>
      <c r="I610" s="15"/>
    </row>
    <row r="611">
      <c r="H611" s="14"/>
      <c r="I611" s="15"/>
    </row>
    <row r="612">
      <c r="H612" s="14"/>
      <c r="I612" s="15"/>
    </row>
    <row r="613">
      <c r="H613" s="14"/>
      <c r="I613" s="15"/>
    </row>
    <row r="614">
      <c r="H614" s="14"/>
      <c r="I614" s="15"/>
    </row>
    <row r="615">
      <c r="H615" s="14"/>
      <c r="I615" s="15"/>
    </row>
    <row r="616">
      <c r="H616" s="14"/>
      <c r="I616" s="15"/>
    </row>
    <row r="617">
      <c r="H617" s="14"/>
      <c r="I617" s="15"/>
    </row>
    <row r="618">
      <c r="H618" s="14"/>
      <c r="I618" s="15"/>
    </row>
    <row r="619">
      <c r="H619" s="14"/>
      <c r="I619" s="15"/>
    </row>
    <row r="620">
      <c r="H620" s="14"/>
      <c r="I620" s="15"/>
    </row>
    <row r="621">
      <c r="H621" s="14"/>
      <c r="I621" s="15"/>
    </row>
    <row r="622">
      <c r="H622" s="14"/>
      <c r="I622" s="15"/>
    </row>
    <row r="623">
      <c r="H623" s="14"/>
      <c r="I623" s="15"/>
    </row>
    <row r="624">
      <c r="H624" s="14"/>
      <c r="I624" s="15"/>
    </row>
    <row r="625">
      <c r="H625" s="14"/>
      <c r="I625" s="15"/>
    </row>
    <row r="626">
      <c r="H626" s="14"/>
      <c r="I626" s="15"/>
    </row>
    <row r="627">
      <c r="H627" s="14"/>
      <c r="I627" s="15"/>
    </row>
    <row r="628">
      <c r="H628" s="14"/>
      <c r="I628" s="15"/>
    </row>
    <row r="629">
      <c r="H629" s="14"/>
      <c r="I629" s="15"/>
    </row>
    <row r="630">
      <c r="H630" s="14"/>
      <c r="I630" s="15"/>
    </row>
    <row r="631">
      <c r="H631" s="14"/>
      <c r="I631" s="15"/>
    </row>
    <row r="632">
      <c r="H632" s="14"/>
      <c r="I632" s="15"/>
    </row>
    <row r="633">
      <c r="H633" s="14"/>
      <c r="I633" s="15"/>
    </row>
    <row r="634">
      <c r="H634" s="14"/>
      <c r="I634" s="15"/>
    </row>
    <row r="635">
      <c r="H635" s="14"/>
      <c r="I635" s="15"/>
    </row>
    <row r="636">
      <c r="H636" s="14"/>
      <c r="I636" s="15"/>
    </row>
    <row r="637">
      <c r="H637" s="14"/>
      <c r="I637" s="15"/>
    </row>
    <row r="638">
      <c r="H638" s="14"/>
      <c r="I638" s="15"/>
    </row>
    <row r="639">
      <c r="H639" s="14"/>
      <c r="I639" s="15"/>
    </row>
    <row r="640">
      <c r="H640" s="14"/>
      <c r="I640" s="15"/>
    </row>
    <row r="641">
      <c r="H641" s="14"/>
      <c r="I641" s="15"/>
    </row>
    <row r="642">
      <c r="H642" s="14"/>
      <c r="I642" s="15"/>
    </row>
    <row r="643">
      <c r="H643" s="14"/>
      <c r="I643" s="15"/>
    </row>
    <row r="644">
      <c r="H644" s="14"/>
      <c r="I644" s="15"/>
    </row>
    <row r="645">
      <c r="H645" s="14"/>
      <c r="I645" s="15"/>
    </row>
    <row r="646">
      <c r="H646" s="14"/>
      <c r="I646" s="15"/>
    </row>
    <row r="647">
      <c r="H647" s="14"/>
      <c r="I647" s="15"/>
    </row>
    <row r="648">
      <c r="H648" s="14"/>
      <c r="I648" s="15"/>
    </row>
    <row r="649">
      <c r="H649" s="14"/>
      <c r="I649" s="15"/>
    </row>
    <row r="650">
      <c r="H650" s="14"/>
      <c r="I650" s="15"/>
    </row>
    <row r="651">
      <c r="H651" s="14"/>
      <c r="I651" s="15"/>
    </row>
    <row r="652">
      <c r="H652" s="14"/>
      <c r="I652" s="15"/>
    </row>
    <row r="653">
      <c r="H653" s="14"/>
      <c r="I653" s="15"/>
    </row>
    <row r="654">
      <c r="H654" s="14"/>
      <c r="I654" s="15"/>
    </row>
    <row r="655">
      <c r="H655" s="14"/>
      <c r="I655" s="15"/>
    </row>
    <row r="656">
      <c r="H656" s="14"/>
      <c r="I656" s="15"/>
    </row>
    <row r="657">
      <c r="H657" s="14"/>
      <c r="I657" s="15"/>
    </row>
    <row r="658">
      <c r="H658" s="14"/>
      <c r="I658" s="15"/>
    </row>
    <row r="659">
      <c r="H659" s="14"/>
      <c r="I659" s="15"/>
    </row>
    <row r="660">
      <c r="H660" s="14"/>
      <c r="I660" s="15"/>
    </row>
    <row r="661">
      <c r="H661" s="14"/>
      <c r="I661" s="15"/>
    </row>
    <row r="662">
      <c r="H662" s="14"/>
      <c r="I662" s="15"/>
    </row>
    <row r="663">
      <c r="H663" s="14"/>
      <c r="I663" s="15"/>
    </row>
    <row r="664">
      <c r="H664" s="14"/>
      <c r="I664" s="15"/>
    </row>
    <row r="665">
      <c r="H665" s="14"/>
      <c r="I665" s="15"/>
    </row>
    <row r="666">
      <c r="H666" s="14"/>
      <c r="I666" s="15"/>
    </row>
    <row r="667">
      <c r="H667" s="14"/>
      <c r="I667" s="15"/>
    </row>
    <row r="668">
      <c r="H668" s="14"/>
      <c r="I668" s="15"/>
    </row>
    <row r="669">
      <c r="H669" s="14"/>
      <c r="I669" s="15"/>
    </row>
    <row r="670">
      <c r="H670" s="14"/>
      <c r="I670" s="15"/>
    </row>
    <row r="671">
      <c r="H671" s="14"/>
      <c r="I671" s="15"/>
    </row>
    <row r="672">
      <c r="H672" s="14"/>
      <c r="I672" s="15"/>
    </row>
    <row r="673">
      <c r="H673" s="14"/>
      <c r="I673" s="15"/>
    </row>
    <row r="674">
      <c r="H674" s="14"/>
      <c r="I674" s="15"/>
    </row>
    <row r="675">
      <c r="H675" s="14"/>
      <c r="I675" s="15"/>
    </row>
    <row r="676">
      <c r="H676" s="14"/>
      <c r="I676" s="15"/>
    </row>
    <row r="677">
      <c r="H677" s="14"/>
      <c r="I677" s="15"/>
    </row>
    <row r="678">
      <c r="H678" s="14"/>
      <c r="I678" s="15"/>
    </row>
    <row r="679">
      <c r="H679" s="14"/>
      <c r="I679" s="15"/>
    </row>
    <row r="680">
      <c r="H680" s="14"/>
      <c r="I680" s="15"/>
    </row>
    <row r="681">
      <c r="H681" s="14"/>
      <c r="I681" s="15"/>
    </row>
    <row r="682">
      <c r="H682" s="14"/>
      <c r="I682" s="15"/>
    </row>
    <row r="683">
      <c r="H683" s="14"/>
      <c r="I683" s="15"/>
    </row>
    <row r="684">
      <c r="H684" s="14"/>
      <c r="I684" s="15"/>
    </row>
    <row r="685">
      <c r="H685" s="14"/>
      <c r="I685" s="15"/>
    </row>
    <row r="686">
      <c r="H686" s="14"/>
      <c r="I686" s="15"/>
    </row>
    <row r="687">
      <c r="H687" s="14"/>
      <c r="I687" s="15"/>
    </row>
    <row r="688">
      <c r="H688" s="14"/>
      <c r="I688" s="15"/>
    </row>
    <row r="689">
      <c r="H689" s="14"/>
      <c r="I689" s="15"/>
    </row>
    <row r="690">
      <c r="H690" s="14"/>
      <c r="I690" s="15"/>
    </row>
    <row r="691">
      <c r="H691" s="14"/>
      <c r="I691" s="15"/>
    </row>
    <row r="692">
      <c r="H692" s="14"/>
      <c r="I692" s="15"/>
    </row>
    <row r="693">
      <c r="H693" s="14"/>
      <c r="I693" s="15"/>
    </row>
    <row r="694">
      <c r="H694" s="14"/>
      <c r="I694" s="15"/>
    </row>
    <row r="695">
      <c r="H695" s="14"/>
      <c r="I695" s="15"/>
    </row>
    <row r="696">
      <c r="H696" s="14"/>
      <c r="I696" s="15"/>
    </row>
    <row r="697">
      <c r="H697" s="14"/>
      <c r="I697" s="15"/>
    </row>
    <row r="698">
      <c r="H698" s="14"/>
      <c r="I698" s="15"/>
    </row>
    <row r="699">
      <c r="H699" s="14"/>
      <c r="I699" s="15"/>
    </row>
    <row r="700">
      <c r="H700" s="14"/>
      <c r="I700" s="15"/>
    </row>
    <row r="701">
      <c r="H701" s="14"/>
      <c r="I701" s="15"/>
    </row>
    <row r="702">
      <c r="H702" s="14"/>
      <c r="I702" s="15"/>
    </row>
    <row r="703">
      <c r="H703" s="14"/>
      <c r="I703" s="15"/>
    </row>
    <row r="704">
      <c r="H704" s="14"/>
      <c r="I704" s="15"/>
    </row>
    <row r="705">
      <c r="H705" s="14"/>
      <c r="I705" s="15"/>
    </row>
    <row r="706">
      <c r="H706" s="14"/>
      <c r="I706" s="15"/>
    </row>
    <row r="707">
      <c r="H707" s="14"/>
      <c r="I707" s="15"/>
    </row>
    <row r="708">
      <c r="H708" s="14"/>
      <c r="I708" s="15"/>
    </row>
    <row r="709">
      <c r="H709" s="14"/>
      <c r="I709" s="15"/>
    </row>
    <row r="710">
      <c r="H710" s="14"/>
      <c r="I710" s="15"/>
    </row>
    <row r="711">
      <c r="H711" s="14"/>
      <c r="I711" s="15"/>
    </row>
    <row r="712">
      <c r="H712" s="14"/>
      <c r="I712" s="15"/>
    </row>
    <row r="713">
      <c r="H713" s="14"/>
      <c r="I713" s="15"/>
    </row>
    <row r="714">
      <c r="H714" s="14"/>
      <c r="I714" s="15"/>
    </row>
    <row r="715">
      <c r="H715" s="14"/>
      <c r="I715" s="15"/>
    </row>
    <row r="716">
      <c r="H716" s="14"/>
      <c r="I716" s="15"/>
    </row>
    <row r="717">
      <c r="H717" s="14"/>
      <c r="I717" s="15"/>
    </row>
    <row r="718">
      <c r="H718" s="14"/>
      <c r="I718" s="15"/>
    </row>
    <row r="719">
      <c r="H719" s="14"/>
      <c r="I719" s="15"/>
    </row>
    <row r="720">
      <c r="H720" s="14"/>
      <c r="I720" s="15"/>
    </row>
    <row r="721">
      <c r="H721" s="14"/>
      <c r="I721" s="15"/>
    </row>
    <row r="722">
      <c r="H722" s="14"/>
      <c r="I722" s="15"/>
    </row>
    <row r="723">
      <c r="H723" s="14"/>
      <c r="I723" s="15"/>
    </row>
    <row r="724">
      <c r="H724" s="14"/>
      <c r="I724" s="15"/>
    </row>
    <row r="725">
      <c r="H725" s="14"/>
      <c r="I725" s="15"/>
    </row>
    <row r="726">
      <c r="H726" s="14"/>
      <c r="I726" s="15"/>
    </row>
    <row r="727">
      <c r="H727" s="14"/>
      <c r="I727" s="15"/>
    </row>
    <row r="728">
      <c r="H728" s="14"/>
      <c r="I728" s="15"/>
    </row>
    <row r="729">
      <c r="H729" s="14"/>
      <c r="I729" s="15"/>
    </row>
    <row r="730">
      <c r="H730" s="14"/>
      <c r="I730" s="15"/>
    </row>
    <row r="731">
      <c r="H731" s="14"/>
      <c r="I731" s="15"/>
    </row>
    <row r="732">
      <c r="H732" s="14"/>
      <c r="I732" s="15"/>
    </row>
    <row r="733">
      <c r="H733" s="14"/>
      <c r="I733" s="15"/>
    </row>
    <row r="734">
      <c r="H734" s="14"/>
      <c r="I734" s="15"/>
    </row>
    <row r="735">
      <c r="H735" s="14"/>
      <c r="I735" s="15"/>
    </row>
    <row r="736">
      <c r="H736" s="14"/>
      <c r="I736" s="15"/>
    </row>
    <row r="737">
      <c r="H737" s="14"/>
      <c r="I737" s="15"/>
    </row>
    <row r="738">
      <c r="H738" s="14"/>
      <c r="I738" s="15"/>
    </row>
    <row r="739">
      <c r="H739" s="14"/>
      <c r="I739" s="15"/>
    </row>
    <row r="740">
      <c r="H740" s="14"/>
      <c r="I740" s="15"/>
    </row>
    <row r="741">
      <c r="H741" s="14"/>
      <c r="I741" s="15"/>
    </row>
    <row r="742">
      <c r="H742" s="14"/>
      <c r="I742" s="15"/>
    </row>
    <row r="743">
      <c r="H743" s="14"/>
      <c r="I743" s="15"/>
    </row>
    <row r="744">
      <c r="H744" s="14"/>
      <c r="I744" s="15"/>
    </row>
    <row r="745">
      <c r="H745" s="14"/>
      <c r="I745" s="15"/>
    </row>
    <row r="746">
      <c r="H746" s="14"/>
      <c r="I746" s="15"/>
    </row>
    <row r="747">
      <c r="H747" s="14"/>
      <c r="I747" s="15"/>
    </row>
    <row r="748">
      <c r="H748" s="14"/>
      <c r="I748" s="15"/>
    </row>
    <row r="749">
      <c r="H749" s="14"/>
      <c r="I749" s="15"/>
    </row>
    <row r="750">
      <c r="H750" s="14"/>
      <c r="I750" s="15"/>
    </row>
    <row r="751">
      <c r="H751" s="14"/>
      <c r="I751" s="15"/>
    </row>
    <row r="752">
      <c r="H752" s="14"/>
      <c r="I752" s="15"/>
    </row>
    <row r="753">
      <c r="H753" s="14"/>
      <c r="I753" s="15"/>
    </row>
    <row r="754">
      <c r="H754" s="14"/>
      <c r="I754" s="15"/>
    </row>
    <row r="755">
      <c r="H755" s="14"/>
      <c r="I755" s="15"/>
    </row>
    <row r="756">
      <c r="H756" s="14"/>
      <c r="I756" s="15"/>
    </row>
    <row r="757">
      <c r="H757" s="14"/>
      <c r="I757" s="15"/>
    </row>
    <row r="758">
      <c r="H758" s="14"/>
      <c r="I758" s="15"/>
    </row>
    <row r="759">
      <c r="H759" s="14"/>
      <c r="I759" s="15"/>
    </row>
    <row r="760">
      <c r="H760" s="14"/>
      <c r="I760" s="15"/>
    </row>
    <row r="761">
      <c r="H761" s="14"/>
      <c r="I761" s="15"/>
    </row>
    <row r="762">
      <c r="H762" s="14"/>
      <c r="I762" s="15"/>
    </row>
    <row r="763">
      <c r="H763" s="14"/>
      <c r="I763" s="15"/>
    </row>
    <row r="764">
      <c r="H764" s="14"/>
      <c r="I764" s="15"/>
    </row>
    <row r="765">
      <c r="H765" s="14"/>
      <c r="I765" s="15"/>
    </row>
    <row r="766">
      <c r="H766" s="14"/>
      <c r="I766" s="15"/>
    </row>
    <row r="767">
      <c r="H767" s="14"/>
      <c r="I767" s="15"/>
    </row>
    <row r="768">
      <c r="H768" s="14"/>
      <c r="I768" s="15"/>
    </row>
    <row r="769">
      <c r="H769" s="14"/>
      <c r="I769" s="15"/>
    </row>
    <row r="770">
      <c r="H770" s="14"/>
      <c r="I770" s="15"/>
    </row>
    <row r="771">
      <c r="H771" s="14"/>
      <c r="I771" s="15"/>
    </row>
    <row r="772">
      <c r="H772" s="14"/>
      <c r="I772" s="15"/>
    </row>
    <row r="773">
      <c r="H773" s="14"/>
      <c r="I773" s="15"/>
    </row>
    <row r="774">
      <c r="H774" s="14"/>
      <c r="I774" s="15"/>
    </row>
    <row r="775">
      <c r="H775" s="14"/>
      <c r="I775" s="15"/>
    </row>
    <row r="776">
      <c r="H776" s="14"/>
      <c r="I776" s="15"/>
    </row>
    <row r="777">
      <c r="H777" s="14"/>
      <c r="I777" s="15"/>
    </row>
    <row r="778">
      <c r="H778" s="14"/>
      <c r="I778" s="15"/>
    </row>
    <row r="779">
      <c r="H779" s="14"/>
      <c r="I779" s="15"/>
    </row>
    <row r="780">
      <c r="H780" s="14"/>
      <c r="I780" s="15"/>
    </row>
    <row r="781">
      <c r="H781" s="14"/>
      <c r="I781" s="15"/>
    </row>
    <row r="782">
      <c r="H782" s="14"/>
      <c r="I782" s="15"/>
    </row>
    <row r="783">
      <c r="H783" s="14"/>
      <c r="I783" s="15"/>
    </row>
    <row r="784">
      <c r="H784" s="14"/>
      <c r="I784" s="15"/>
    </row>
    <row r="785">
      <c r="H785" s="14"/>
      <c r="I785" s="15"/>
    </row>
    <row r="786">
      <c r="H786" s="14"/>
      <c r="I786" s="15"/>
    </row>
    <row r="787">
      <c r="H787" s="14"/>
      <c r="I787" s="15"/>
    </row>
    <row r="788">
      <c r="H788" s="14"/>
      <c r="I788" s="15"/>
    </row>
    <row r="789">
      <c r="H789" s="14"/>
      <c r="I789" s="15"/>
    </row>
    <row r="790">
      <c r="H790" s="14"/>
      <c r="I790" s="15"/>
    </row>
    <row r="791">
      <c r="H791" s="14"/>
      <c r="I791" s="15"/>
    </row>
    <row r="792">
      <c r="H792" s="14"/>
      <c r="I792" s="15"/>
    </row>
    <row r="793">
      <c r="H793" s="14"/>
      <c r="I793" s="15"/>
    </row>
    <row r="794">
      <c r="H794" s="14"/>
      <c r="I794" s="15"/>
    </row>
    <row r="795">
      <c r="H795" s="14"/>
      <c r="I795" s="15"/>
    </row>
    <row r="796">
      <c r="H796" s="14"/>
      <c r="I796" s="15"/>
    </row>
    <row r="797">
      <c r="H797" s="14"/>
      <c r="I797" s="15"/>
    </row>
    <row r="798">
      <c r="H798" s="14"/>
      <c r="I798" s="15"/>
    </row>
    <row r="799">
      <c r="H799" s="14"/>
      <c r="I799" s="15"/>
    </row>
    <row r="800">
      <c r="H800" s="14"/>
      <c r="I800" s="15"/>
    </row>
    <row r="801">
      <c r="H801" s="14"/>
      <c r="I801" s="15"/>
    </row>
    <row r="802">
      <c r="H802" s="14"/>
      <c r="I802" s="15"/>
    </row>
    <row r="803">
      <c r="H803" s="14"/>
      <c r="I803" s="15"/>
    </row>
    <row r="804">
      <c r="H804" s="14"/>
      <c r="I804" s="15"/>
    </row>
    <row r="805">
      <c r="H805" s="14"/>
      <c r="I805" s="15"/>
    </row>
    <row r="806">
      <c r="H806" s="14"/>
      <c r="I806" s="15"/>
    </row>
    <row r="807">
      <c r="H807" s="14"/>
      <c r="I807" s="15"/>
    </row>
    <row r="808">
      <c r="H808" s="14"/>
      <c r="I808" s="15"/>
    </row>
    <row r="809">
      <c r="H809" s="14"/>
      <c r="I809" s="15"/>
    </row>
    <row r="810">
      <c r="H810" s="14"/>
      <c r="I810" s="15"/>
    </row>
    <row r="811">
      <c r="H811" s="14"/>
      <c r="I811" s="15"/>
    </row>
    <row r="812">
      <c r="H812" s="14"/>
      <c r="I812" s="15"/>
    </row>
    <row r="813">
      <c r="H813" s="14"/>
      <c r="I813" s="15"/>
    </row>
    <row r="814">
      <c r="H814" s="14"/>
      <c r="I814" s="15"/>
    </row>
    <row r="815">
      <c r="H815" s="14"/>
      <c r="I815" s="15"/>
    </row>
    <row r="816">
      <c r="H816" s="14"/>
      <c r="I816" s="15"/>
    </row>
    <row r="817">
      <c r="H817" s="14"/>
      <c r="I817" s="15"/>
    </row>
    <row r="818">
      <c r="H818" s="14"/>
      <c r="I818" s="15"/>
    </row>
    <row r="819">
      <c r="H819" s="14"/>
      <c r="I819" s="15"/>
    </row>
    <row r="820">
      <c r="H820" s="14"/>
      <c r="I820" s="15"/>
    </row>
    <row r="821">
      <c r="H821" s="14"/>
      <c r="I821" s="15"/>
    </row>
    <row r="822">
      <c r="H822" s="14"/>
      <c r="I822" s="15"/>
    </row>
    <row r="823">
      <c r="H823" s="14"/>
      <c r="I823" s="15"/>
    </row>
    <row r="824">
      <c r="H824" s="14"/>
      <c r="I824" s="15"/>
    </row>
    <row r="825">
      <c r="H825" s="14"/>
      <c r="I825" s="15"/>
    </row>
    <row r="826">
      <c r="H826" s="14"/>
      <c r="I826" s="15"/>
    </row>
    <row r="827">
      <c r="H827" s="14"/>
      <c r="I827" s="15"/>
    </row>
    <row r="828">
      <c r="H828" s="14"/>
      <c r="I828" s="15"/>
    </row>
    <row r="829">
      <c r="H829" s="14"/>
      <c r="I829" s="15"/>
    </row>
    <row r="830">
      <c r="H830" s="14"/>
      <c r="I830" s="15"/>
    </row>
    <row r="831">
      <c r="H831" s="14"/>
      <c r="I831" s="15"/>
    </row>
    <row r="832">
      <c r="H832" s="14"/>
      <c r="I832" s="15"/>
    </row>
    <row r="833">
      <c r="H833" s="14"/>
      <c r="I833" s="15"/>
    </row>
    <row r="834">
      <c r="H834" s="14"/>
      <c r="I834" s="15"/>
    </row>
    <row r="835">
      <c r="H835" s="14"/>
      <c r="I835" s="15"/>
    </row>
    <row r="836">
      <c r="H836" s="14"/>
      <c r="I836" s="15"/>
    </row>
    <row r="837">
      <c r="H837" s="14"/>
      <c r="I837" s="15"/>
    </row>
    <row r="838">
      <c r="H838" s="14"/>
      <c r="I838" s="15"/>
    </row>
    <row r="839">
      <c r="H839" s="14"/>
      <c r="I839" s="15"/>
    </row>
    <row r="840">
      <c r="H840" s="14"/>
      <c r="I840" s="15"/>
    </row>
    <row r="841">
      <c r="H841" s="14"/>
      <c r="I841" s="15"/>
    </row>
    <row r="842">
      <c r="H842" s="14"/>
      <c r="I842" s="15"/>
    </row>
    <row r="843">
      <c r="H843" s="14"/>
      <c r="I843" s="15"/>
    </row>
    <row r="844">
      <c r="H844" s="14"/>
      <c r="I844" s="15"/>
    </row>
    <row r="845">
      <c r="H845" s="14"/>
      <c r="I845" s="15"/>
    </row>
    <row r="846">
      <c r="H846" s="14"/>
      <c r="I846" s="15"/>
    </row>
    <row r="847">
      <c r="H847" s="14"/>
      <c r="I847" s="15"/>
    </row>
    <row r="848">
      <c r="H848" s="14"/>
      <c r="I848" s="15"/>
    </row>
    <row r="849">
      <c r="H849" s="14"/>
      <c r="I849" s="15"/>
    </row>
    <row r="850">
      <c r="H850" s="14"/>
      <c r="I850" s="15"/>
    </row>
    <row r="851">
      <c r="H851" s="14"/>
      <c r="I851" s="15"/>
    </row>
    <row r="852">
      <c r="H852" s="14"/>
      <c r="I852" s="15"/>
    </row>
    <row r="853">
      <c r="H853" s="14"/>
      <c r="I853" s="15"/>
    </row>
    <row r="854">
      <c r="H854" s="14"/>
      <c r="I854" s="15"/>
    </row>
    <row r="855">
      <c r="H855" s="14"/>
      <c r="I855" s="15"/>
    </row>
    <row r="856">
      <c r="H856" s="14"/>
      <c r="I856" s="15"/>
    </row>
    <row r="857">
      <c r="H857" s="14"/>
      <c r="I857" s="15"/>
    </row>
    <row r="858">
      <c r="H858" s="14"/>
      <c r="I858" s="15"/>
    </row>
    <row r="859">
      <c r="H859" s="14"/>
      <c r="I859" s="15"/>
    </row>
    <row r="860">
      <c r="H860" s="14"/>
      <c r="I860" s="15"/>
    </row>
    <row r="861">
      <c r="H861" s="14"/>
      <c r="I861" s="15"/>
    </row>
    <row r="862">
      <c r="H862" s="14"/>
      <c r="I862" s="15"/>
    </row>
    <row r="863">
      <c r="H863" s="14"/>
      <c r="I863" s="15"/>
    </row>
    <row r="864">
      <c r="H864" s="14"/>
      <c r="I864" s="15"/>
    </row>
    <row r="865">
      <c r="H865" s="14"/>
      <c r="I865" s="15"/>
    </row>
    <row r="866">
      <c r="H866" s="14"/>
      <c r="I866" s="15"/>
    </row>
    <row r="867">
      <c r="H867" s="14"/>
      <c r="I867" s="15"/>
    </row>
    <row r="868">
      <c r="H868" s="14"/>
      <c r="I868" s="15"/>
    </row>
    <row r="869">
      <c r="H869" s="14"/>
      <c r="I869" s="15"/>
    </row>
    <row r="870">
      <c r="H870" s="14"/>
      <c r="I870" s="15"/>
    </row>
    <row r="871">
      <c r="H871" s="14"/>
      <c r="I871" s="15"/>
    </row>
    <row r="872">
      <c r="H872" s="14"/>
      <c r="I872" s="15"/>
    </row>
    <row r="873">
      <c r="H873" s="14"/>
      <c r="I873" s="15"/>
    </row>
    <row r="874">
      <c r="H874" s="14"/>
      <c r="I874" s="15"/>
    </row>
    <row r="875">
      <c r="H875" s="14"/>
      <c r="I875" s="15"/>
    </row>
    <row r="876">
      <c r="H876" s="14"/>
      <c r="I876" s="15"/>
    </row>
    <row r="877">
      <c r="H877" s="14"/>
      <c r="I877" s="15"/>
    </row>
    <row r="878">
      <c r="H878" s="14"/>
      <c r="I878" s="15"/>
    </row>
    <row r="879">
      <c r="H879" s="14"/>
      <c r="I879" s="15"/>
    </row>
    <row r="880">
      <c r="H880" s="14"/>
      <c r="I880" s="15"/>
    </row>
    <row r="881">
      <c r="H881" s="14"/>
      <c r="I881" s="15"/>
    </row>
    <row r="882">
      <c r="H882" s="14"/>
      <c r="I882" s="15"/>
    </row>
    <row r="883">
      <c r="H883" s="14"/>
      <c r="I883" s="15"/>
    </row>
    <row r="884">
      <c r="H884" s="14"/>
      <c r="I884" s="15"/>
    </row>
    <row r="885">
      <c r="H885" s="14"/>
      <c r="I885" s="15"/>
    </row>
    <row r="886">
      <c r="H886" s="14"/>
      <c r="I886" s="15"/>
    </row>
    <row r="887">
      <c r="H887" s="14"/>
      <c r="I887" s="15"/>
    </row>
    <row r="888">
      <c r="H888" s="14"/>
      <c r="I888" s="15"/>
    </row>
    <row r="889">
      <c r="H889" s="14"/>
      <c r="I889" s="15"/>
    </row>
    <row r="890">
      <c r="H890" s="14"/>
      <c r="I890" s="15"/>
    </row>
    <row r="891">
      <c r="H891" s="14"/>
      <c r="I891" s="15"/>
    </row>
    <row r="892">
      <c r="H892" s="14"/>
      <c r="I892" s="15"/>
    </row>
    <row r="893">
      <c r="H893" s="14"/>
      <c r="I893" s="15"/>
    </row>
    <row r="894">
      <c r="H894" s="14"/>
      <c r="I894" s="15"/>
    </row>
    <row r="895">
      <c r="H895" s="14"/>
      <c r="I895" s="15"/>
    </row>
    <row r="896">
      <c r="H896" s="14"/>
      <c r="I896" s="15"/>
    </row>
    <row r="897">
      <c r="H897" s="14"/>
      <c r="I897" s="15"/>
    </row>
    <row r="898">
      <c r="H898" s="14"/>
      <c r="I898" s="15"/>
    </row>
    <row r="899">
      <c r="H899" s="14"/>
      <c r="I899" s="15"/>
    </row>
    <row r="900">
      <c r="H900" s="14"/>
      <c r="I900" s="15"/>
    </row>
    <row r="901">
      <c r="H901" s="14"/>
      <c r="I901" s="15"/>
    </row>
    <row r="902">
      <c r="H902" s="14"/>
      <c r="I902" s="15"/>
    </row>
    <row r="903">
      <c r="H903" s="14"/>
      <c r="I903" s="15"/>
    </row>
    <row r="904">
      <c r="H904" s="14"/>
      <c r="I904" s="15"/>
    </row>
    <row r="905">
      <c r="H905" s="14"/>
      <c r="I905" s="15"/>
    </row>
    <row r="906">
      <c r="H906" s="14"/>
      <c r="I906" s="15"/>
    </row>
    <row r="907">
      <c r="H907" s="14"/>
      <c r="I907" s="15"/>
    </row>
    <row r="908">
      <c r="H908" s="14"/>
      <c r="I908" s="15"/>
    </row>
    <row r="909">
      <c r="H909" s="14"/>
      <c r="I909" s="15"/>
    </row>
    <row r="910">
      <c r="H910" s="14"/>
      <c r="I910" s="15"/>
    </row>
    <row r="911">
      <c r="H911" s="14"/>
      <c r="I911" s="15"/>
    </row>
    <row r="912">
      <c r="H912" s="14"/>
      <c r="I912" s="15"/>
    </row>
    <row r="913">
      <c r="H913" s="14"/>
      <c r="I913" s="15"/>
    </row>
    <row r="914">
      <c r="H914" s="14"/>
      <c r="I914" s="15"/>
    </row>
    <row r="915">
      <c r="H915" s="14"/>
      <c r="I915" s="15"/>
    </row>
    <row r="916">
      <c r="H916" s="14"/>
      <c r="I916" s="15"/>
    </row>
    <row r="917">
      <c r="H917" s="14"/>
      <c r="I917" s="15"/>
    </row>
    <row r="918">
      <c r="H918" s="14"/>
      <c r="I918" s="15"/>
    </row>
    <row r="919">
      <c r="H919" s="14"/>
      <c r="I919" s="15"/>
    </row>
    <row r="920">
      <c r="H920" s="14"/>
      <c r="I920" s="15"/>
    </row>
    <row r="921">
      <c r="H921" s="14"/>
      <c r="I921" s="15"/>
    </row>
    <row r="922">
      <c r="H922" s="14"/>
      <c r="I922" s="15"/>
    </row>
    <row r="923">
      <c r="H923" s="14"/>
      <c r="I923" s="15"/>
    </row>
    <row r="924">
      <c r="H924" s="14"/>
      <c r="I924" s="15"/>
    </row>
    <row r="925">
      <c r="H925" s="14"/>
      <c r="I925" s="15"/>
    </row>
    <row r="926">
      <c r="H926" s="14"/>
      <c r="I926" s="15"/>
    </row>
    <row r="927">
      <c r="H927" s="14"/>
      <c r="I927" s="15"/>
    </row>
    <row r="928">
      <c r="H928" s="14"/>
      <c r="I928" s="15"/>
    </row>
    <row r="929">
      <c r="H929" s="14"/>
      <c r="I929" s="15"/>
    </row>
    <row r="930">
      <c r="H930" s="14"/>
      <c r="I930" s="15"/>
    </row>
    <row r="931">
      <c r="H931" s="14"/>
      <c r="I931" s="15"/>
    </row>
    <row r="932">
      <c r="H932" s="14"/>
      <c r="I932" s="15"/>
    </row>
    <row r="933">
      <c r="H933" s="14"/>
      <c r="I933" s="15"/>
    </row>
    <row r="934">
      <c r="H934" s="14"/>
      <c r="I934" s="15"/>
    </row>
    <row r="935">
      <c r="H935" s="14"/>
      <c r="I935" s="15"/>
    </row>
    <row r="936">
      <c r="H936" s="14"/>
      <c r="I936" s="15"/>
    </row>
    <row r="937">
      <c r="H937" s="14"/>
      <c r="I937" s="15"/>
    </row>
    <row r="938">
      <c r="H938" s="14"/>
      <c r="I938" s="15"/>
    </row>
    <row r="939">
      <c r="H939" s="14"/>
      <c r="I939" s="15"/>
    </row>
    <row r="940">
      <c r="H940" s="14"/>
      <c r="I940" s="15"/>
    </row>
    <row r="941">
      <c r="H941" s="14"/>
      <c r="I941" s="15"/>
    </row>
    <row r="942">
      <c r="H942" s="14"/>
      <c r="I942" s="15"/>
    </row>
    <row r="943">
      <c r="H943" s="14"/>
      <c r="I943" s="15"/>
    </row>
    <row r="944">
      <c r="H944" s="14"/>
      <c r="I944" s="15"/>
    </row>
    <row r="945">
      <c r="H945" s="14"/>
      <c r="I945" s="15"/>
    </row>
    <row r="946">
      <c r="H946" s="14"/>
      <c r="I946" s="15"/>
    </row>
    <row r="947">
      <c r="H947" s="14"/>
      <c r="I947" s="15"/>
    </row>
    <row r="948">
      <c r="H948" s="14"/>
      <c r="I948" s="15"/>
    </row>
    <row r="949">
      <c r="H949" s="14"/>
      <c r="I949" s="15"/>
    </row>
    <row r="950">
      <c r="H950" s="14"/>
      <c r="I950" s="15"/>
    </row>
    <row r="951">
      <c r="H951" s="14"/>
      <c r="I951" s="15"/>
    </row>
    <row r="952">
      <c r="H952" s="14"/>
      <c r="I952" s="15"/>
    </row>
    <row r="953">
      <c r="H953" s="14"/>
      <c r="I953" s="15"/>
    </row>
    <row r="954">
      <c r="H954" s="14"/>
      <c r="I954" s="15"/>
    </row>
    <row r="955">
      <c r="H955" s="14"/>
      <c r="I955" s="15"/>
    </row>
    <row r="956">
      <c r="H956" s="14"/>
      <c r="I956" s="15"/>
    </row>
    <row r="957">
      <c r="H957" s="14"/>
      <c r="I957" s="15"/>
    </row>
    <row r="958">
      <c r="H958" s="14"/>
      <c r="I958" s="15"/>
    </row>
    <row r="959">
      <c r="H959" s="14"/>
      <c r="I959" s="15"/>
    </row>
    <row r="960">
      <c r="H960" s="14"/>
      <c r="I960" s="15"/>
    </row>
    <row r="961">
      <c r="H961" s="14"/>
      <c r="I961" s="15"/>
    </row>
    <row r="962">
      <c r="H962" s="14"/>
      <c r="I962" s="15"/>
    </row>
    <row r="963">
      <c r="H963" s="14"/>
      <c r="I963" s="15"/>
    </row>
    <row r="964">
      <c r="H964" s="14"/>
      <c r="I964" s="15"/>
    </row>
    <row r="965">
      <c r="H965" s="14"/>
      <c r="I965" s="15"/>
    </row>
    <row r="966">
      <c r="H966" s="14"/>
      <c r="I966" s="15"/>
    </row>
    <row r="967">
      <c r="H967" s="14"/>
      <c r="I967" s="15"/>
    </row>
    <row r="968">
      <c r="H968" s="14"/>
      <c r="I968" s="15"/>
    </row>
    <row r="969">
      <c r="H969" s="14"/>
      <c r="I969" s="15"/>
    </row>
    <row r="970">
      <c r="H970" s="14"/>
      <c r="I970" s="15"/>
    </row>
    <row r="971">
      <c r="H971" s="14"/>
      <c r="I971" s="15"/>
    </row>
    <row r="972">
      <c r="H972" s="14"/>
      <c r="I972" s="15"/>
    </row>
    <row r="973">
      <c r="H973" s="14"/>
      <c r="I973" s="15"/>
    </row>
    <row r="974">
      <c r="H974" s="14"/>
      <c r="I974" s="15"/>
    </row>
    <row r="975">
      <c r="H975" s="14"/>
      <c r="I975" s="15"/>
    </row>
    <row r="976">
      <c r="H976" s="14"/>
      <c r="I976" s="15"/>
    </row>
    <row r="977">
      <c r="H977" s="14"/>
      <c r="I977" s="15"/>
    </row>
    <row r="978">
      <c r="H978" s="14"/>
      <c r="I978" s="15"/>
    </row>
    <row r="979">
      <c r="H979" s="14"/>
      <c r="I979" s="15"/>
    </row>
    <row r="980">
      <c r="H980" s="14"/>
      <c r="I980" s="15"/>
    </row>
    <row r="981">
      <c r="H981" s="14"/>
      <c r="I981" s="15"/>
    </row>
    <row r="982">
      <c r="H982" s="14"/>
      <c r="I982" s="15"/>
    </row>
    <row r="983">
      <c r="H983" s="14"/>
      <c r="I983" s="15"/>
    </row>
    <row r="984">
      <c r="H984" s="14"/>
      <c r="I984" s="15"/>
    </row>
    <row r="985">
      <c r="H985" s="14"/>
      <c r="I985" s="15"/>
    </row>
    <row r="986">
      <c r="H986" s="14"/>
      <c r="I986" s="15"/>
    </row>
    <row r="987">
      <c r="H987" s="14"/>
      <c r="I987" s="15"/>
    </row>
    <row r="988">
      <c r="H988" s="14"/>
      <c r="I988" s="15"/>
    </row>
    <row r="989">
      <c r="H989" s="14"/>
      <c r="I989" s="15"/>
    </row>
    <row r="990">
      <c r="H990" s="14"/>
      <c r="I990" s="15"/>
    </row>
    <row r="991">
      <c r="H991" s="14"/>
      <c r="I991" s="15"/>
    </row>
    <row r="992">
      <c r="H992" s="14"/>
      <c r="I992" s="15"/>
    </row>
    <row r="993">
      <c r="H993" s="14"/>
      <c r="I993" s="15"/>
    </row>
  </sheetData>
  <mergeCells count="8">
    <mergeCell ref="H3:I3"/>
    <mergeCell ref="B12:C12"/>
    <mergeCell ref="B23:I23"/>
    <mergeCell ref="C24:D24"/>
    <mergeCell ref="C25:D25"/>
    <mergeCell ref="C26:D26"/>
    <mergeCell ref="G27:I27"/>
    <mergeCell ref="B29:C29"/>
  </mergeCells>
  <printOptions gridLines="1" horizontalCentered="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2.25"/>
    <col customWidth="1" min="3" max="3" width="14.13"/>
    <col customWidth="1" min="4" max="4" width="16.5"/>
    <col customWidth="1" min="5" max="5" width="11.38"/>
    <col customWidth="1" min="6" max="7" width="16.5"/>
    <col customWidth="1" min="8" max="8" width="14.13"/>
    <col customWidth="1" min="9" max="9" width="10.63"/>
    <col customWidth="1" min="10" max="10" width="43.63"/>
    <col customWidth="1" min="11" max="11" width="17.13"/>
    <col customWidth="1" min="12" max="12" width="62.38"/>
    <col customWidth="1" min="13" max="14" width="31.13"/>
    <col customWidth="1" min="15" max="15" width="23.5"/>
    <col customWidth="1" min="16" max="16" width="16.38"/>
    <col customWidth="1" min="17" max="17" width="31.88"/>
    <col customWidth="1" min="18" max="18" width="12.63"/>
    <col customWidth="1" min="19" max="19" width="13.38"/>
    <col customWidth="1" min="20" max="20" width="7.13"/>
    <col customWidth="1" min="21" max="21" width="15.13"/>
    <col customWidth="1" min="22" max="22" width="14.13"/>
    <col customWidth="1" min="23" max="24" width="11.88"/>
    <col customWidth="1" min="25" max="25" width="38.88"/>
    <col customWidth="1" min="26" max="28" width="42.75"/>
    <col customWidth="1" min="29" max="29" width="33.25"/>
    <col customWidth="1" min="30" max="42" width="28.5"/>
  </cols>
  <sheetData>
    <row r="1">
      <c r="A1" s="1" t="s">
        <v>0</v>
      </c>
      <c r="B1" s="2" t="s">
        <v>1</v>
      </c>
      <c r="C1" s="2" t="s">
        <v>2</v>
      </c>
      <c r="D1" s="2" t="s">
        <v>3</v>
      </c>
      <c r="E1" s="2" t="s">
        <v>4</v>
      </c>
      <c r="F1" s="2" t="s">
        <v>5</v>
      </c>
      <c r="G1" s="2" t="s">
        <v>6</v>
      </c>
      <c r="H1" s="1" t="s">
        <v>7</v>
      </c>
      <c r="I1" s="1" t="s">
        <v>8</v>
      </c>
      <c r="J1" s="1" t="s">
        <v>9</v>
      </c>
      <c r="K1" s="1" t="s">
        <v>10</v>
      </c>
      <c r="L1" s="2" t="s">
        <v>11</v>
      </c>
      <c r="M1" s="2" t="s">
        <v>12</v>
      </c>
      <c r="N1" s="2" t="s">
        <v>13</v>
      </c>
      <c r="O1" s="2" t="s">
        <v>14</v>
      </c>
      <c r="P1" s="3" t="s">
        <v>15</v>
      </c>
      <c r="Q1" s="3" t="s">
        <v>16</v>
      </c>
      <c r="R1" s="4" t="s">
        <v>17</v>
      </c>
      <c r="S1" s="4" t="s">
        <v>18</v>
      </c>
      <c r="T1" s="3" t="s">
        <v>19</v>
      </c>
      <c r="U1" s="3" t="s">
        <v>20</v>
      </c>
      <c r="V1" s="3" t="s">
        <v>21</v>
      </c>
      <c r="W1" s="3" t="s">
        <v>22</v>
      </c>
      <c r="X1" s="4" t="s">
        <v>23</v>
      </c>
      <c r="Y1" s="3" t="s">
        <v>24</v>
      </c>
      <c r="Z1" s="5" t="s">
        <v>25</v>
      </c>
      <c r="AA1" s="5" t="s">
        <v>26</v>
      </c>
      <c r="AB1" s="5" t="s">
        <v>27</v>
      </c>
      <c r="AC1" s="5" t="s">
        <v>28</v>
      </c>
      <c r="AD1" s="4" t="s">
        <v>29</v>
      </c>
      <c r="AE1" s="4" t="s">
        <v>30</v>
      </c>
      <c r="AF1" s="4" t="s">
        <v>31</v>
      </c>
      <c r="AG1" s="3"/>
      <c r="AH1" s="3"/>
      <c r="AI1" s="3"/>
      <c r="AJ1" s="3"/>
      <c r="AK1" s="3"/>
      <c r="AL1" s="3"/>
      <c r="AM1" s="3"/>
      <c r="AN1" s="3"/>
      <c r="AO1" s="3"/>
      <c r="AP1" s="6"/>
    </row>
    <row r="2" ht="25.5" customHeight="1">
      <c r="A2" s="7">
        <v>1.0</v>
      </c>
      <c r="B2" s="8" t="s">
        <v>32</v>
      </c>
      <c r="C2" s="8" t="s">
        <v>33</v>
      </c>
      <c r="D2" s="8" t="s">
        <v>34</v>
      </c>
      <c r="E2" s="9" t="str">
        <f t="shared" ref="E2:E4" si="1">IF(OR($B2="ALTA",AND(ISNUMBER($W2),$W2&gt;0),AND($U2&lt;&gt;"",$U2&lt;&gt;"NO")),"SI","")</f>
        <v>SI</v>
      </c>
      <c r="F2" s="10" t="s">
        <v>35</v>
      </c>
      <c r="G2" s="11" t="s">
        <v>36</v>
      </c>
      <c r="H2" s="7" t="s">
        <v>37</v>
      </c>
      <c r="I2" s="7" t="s">
        <v>38</v>
      </c>
      <c r="J2" s="7" t="s">
        <v>39</v>
      </c>
      <c r="K2" s="7"/>
      <c r="L2" s="7" t="str">
        <f t="shared" ref="L2:L4" si="2">CONCATENATE(J2,", ",H2,", Cali")</f>
        <v>Carrera 44 con calle 5, El Lido, Cali</v>
      </c>
      <c r="M2" s="7" t="s">
        <v>40</v>
      </c>
      <c r="N2" s="7" t="s">
        <v>41</v>
      </c>
      <c r="O2" s="7"/>
      <c r="P2" s="7"/>
      <c r="Q2" s="7" t="s">
        <v>43</v>
      </c>
      <c r="R2" s="13">
        <v>1.0</v>
      </c>
      <c r="S2" s="13"/>
      <c r="T2" s="13"/>
      <c r="U2" s="7" t="s">
        <v>46</v>
      </c>
      <c r="V2" s="13">
        <v>7.0</v>
      </c>
      <c r="W2" s="13">
        <v>3.0</v>
      </c>
      <c r="X2" s="16"/>
      <c r="Y2" s="18" t="s">
        <v>48</v>
      </c>
      <c r="Z2" s="8" t="s">
        <v>50</v>
      </c>
      <c r="AA2" s="20" t="s">
        <v>52</v>
      </c>
      <c r="AB2" s="8"/>
      <c r="AD2" s="22"/>
      <c r="AE2" s="22"/>
      <c r="AF2" s="22"/>
      <c r="AG2" s="22"/>
      <c r="AH2" s="22"/>
      <c r="AI2" s="22"/>
      <c r="AJ2" s="22"/>
      <c r="AK2" s="22"/>
      <c r="AL2" s="22"/>
      <c r="AM2" s="22"/>
      <c r="AN2" s="22"/>
      <c r="AO2" s="22"/>
      <c r="AP2" s="22"/>
    </row>
    <row r="3" ht="25.5" customHeight="1">
      <c r="A3" s="27">
        <f t="shared" ref="A3:A812" si="3">A2+1</f>
        <v>2</v>
      </c>
      <c r="B3" s="27" t="s">
        <v>61</v>
      </c>
      <c r="C3" s="27" t="s">
        <v>63</v>
      </c>
      <c r="D3" s="27" t="s">
        <v>64</v>
      </c>
      <c r="E3" s="28" t="str">
        <f t="shared" si="1"/>
        <v/>
      </c>
      <c r="F3" s="30" t="s">
        <v>60</v>
      </c>
      <c r="G3" s="30" t="s">
        <v>36</v>
      </c>
      <c r="H3" s="27" t="s">
        <v>71</v>
      </c>
      <c r="I3" s="27" t="s">
        <v>38</v>
      </c>
      <c r="J3" s="27" t="s">
        <v>74</v>
      </c>
      <c r="K3" s="27"/>
      <c r="L3" s="27" t="str">
        <f t="shared" si="2"/>
        <v>Carrera 72 con calle 11, La Hacienda, Cali</v>
      </c>
      <c r="M3" s="27" t="s">
        <v>41</v>
      </c>
      <c r="N3" s="27" t="s">
        <v>41</v>
      </c>
      <c r="O3" s="27"/>
      <c r="P3" s="27"/>
      <c r="Q3" s="27" t="s">
        <v>81</v>
      </c>
      <c r="R3" s="30">
        <v>1.0</v>
      </c>
      <c r="S3" s="30"/>
      <c r="T3" s="30"/>
      <c r="U3" s="33" t="s">
        <v>83</v>
      </c>
      <c r="V3" s="35"/>
      <c r="W3" s="35"/>
      <c r="X3" s="33"/>
      <c r="Y3" s="33"/>
      <c r="Z3" s="27" t="s">
        <v>90</v>
      </c>
      <c r="AA3" s="20" t="s">
        <v>52</v>
      </c>
      <c r="AB3" s="27"/>
      <c r="AD3" s="22"/>
      <c r="AE3" s="22"/>
      <c r="AF3" s="22"/>
      <c r="AG3" s="22"/>
      <c r="AH3" s="22"/>
      <c r="AI3" s="22"/>
      <c r="AJ3" s="22"/>
      <c r="AK3" s="22"/>
      <c r="AL3" s="22"/>
      <c r="AM3" s="22"/>
      <c r="AN3" s="22"/>
      <c r="AO3" s="22"/>
      <c r="AP3" s="22"/>
    </row>
    <row r="4" ht="25.5" customHeight="1">
      <c r="A4" s="27">
        <f t="shared" si="3"/>
        <v>3</v>
      </c>
      <c r="B4" s="27" t="s">
        <v>61</v>
      </c>
      <c r="C4" s="27" t="s">
        <v>96</v>
      </c>
      <c r="D4" s="27" t="s">
        <v>64</v>
      </c>
      <c r="E4" s="28" t="str">
        <f t="shared" si="1"/>
        <v/>
      </c>
      <c r="F4" s="30" t="s">
        <v>60</v>
      </c>
      <c r="G4" s="30" t="s">
        <v>36</v>
      </c>
      <c r="H4" s="27" t="s">
        <v>103</v>
      </c>
      <c r="I4" s="27" t="s">
        <v>38</v>
      </c>
      <c r="J4" s="27" t="s">
        <v>106</v>
      </c>
      <c r="K4" s="27"/>
      <c r="L4" s="27" t="str">
        <f t="shared" si="2"/>
        <v>Calle 10 Bis # 70 34, Limonar, Cali</v>
      </c>
      <c r="M4" s="27" t="s">
        <v>41</v>
      </c>
      <c r="N4" s="27" t="s">
        <v>41</v>
      </c>
      <c r="O4" s="27"/>
      <c r="P4" s="27"/>
      <c r="Q4" s="27" t="s">
        <v>81</v>
      </c>
      <c r="R4" s="30">
        <v>1.0</v>
      </c>
      <c r="S4" s="30"/>
      <c r="T4" s="30"/>
      <c r="U4" s="33" t="s">
        <v>83</v>
      </c>
      <c r="V4" s="35"/>
      <c r="W4" s="35"/>
      <c r="X4" s="33"/>
      <c r="Y4" s="33"/>
      <c r="Z4" s="27" t="s">
        <v>118</v>
      </c>
      <c r="AA4" s="20" t="s">
        <v>52</v>
      </c>
      <c r="AB4" s="27"/>
      <c r="AD4" s="39" t="s">
        <v>122</v>
      </c>
      <c r="AE4" s="39" t="s">
        <v>123</v>
      </c>
      <c r="AF4" s="22"/>
      <c r="AG4" s="22"/>
      <c r="AH4" s="22"/>
      <c r="AI4" s="22"/>
      <c r="AJ4" s="22"/>
      <c r="AK4" s="22"/>
      <c r="AL4" s="22"/>
      <c r="AM4" s="22"/>
      <c r="AN4" s="22"/>
      <c r="AO4" s="22"/>
      <c r="AP4" s="22"/>
    </row>
    <row r="5" ht="25.5" customHeight="1">
      <c r="A5" s="43">
        <f t="shared" si="3"/>
        <v>4</v>
      </c>
      <c r="B5" s="43" t="s">
        <v>62</v>
      </c>
      <c r="C5" s="44" t="s">
        <v>133</v>
      </c>
      <c r="D5" s="44" t="s">
        <v>136</v>
      </c>
      <c r="E5" s="43" t="s">
        <v>62</v>
      </c>
      <c r="F5" s="43" t="s">
        <v>62</v>
      </c>
      <c r="G5" s="43" t="s">
        <v>62</v>
      </c>
      <c r="H5" s="43" t="s">
        <v>62</v>
      </c>
      <c r="I5" s="43" t="s">
        <v>62</v>
      </c>
      <c r="J5" s="43" t="s">
        <v>62</v>
      </c>
      <c r="K5" s="43" t="s">
        <v>62</v>
      </c>
      <c r="L5" s="43" t="s">
        <v>62</v>
      </c>
      <c r="M5" s="43" t="s">
        <v>62</v>
      </c>
      <c r="N5" s="43" t="s">
        <v>62</v>
      </c>
      <c r="O5" s="43" t="s">
        <v>62</v>
      </c>
      <c r="P5" s="43" t="s">
        <v>62</v>
      </c>
      <c r="Q5" s="43" t="s">
        <v>62</v>
      </c>
      <c r="R5" s="43" t="s">
        <v>62</v>
      </c>
      <c r="S5" s="43" t="s">
        <v>62</v>
      </c>
      <c r="T5" s="43" t="s">
        <v>62</v>
      </c>
      <c r="U5" s="43" t="s">
        <v>62</v>
      </c>
      <c r="V5" s="43" t="s">
        <v>62</v>
      </c>
      <c r="W5" s="43" t="s">
        <v>62</v>
      </c>
      <c r="X5" s="43" t="s">
        <v>62</v>
      </c>
      <c r="Y5" s="43" t="s">
        <v>62</v>
      </c>
      <c r="Z5" s="43" t="s">
        <v>62</v>
      </c>
      <c r="AA5" s="43" t="s">
        <v>62</v>
      </c>
      <c r="AB5" s="43" t="s">
        <v>62</v>
      </c>
      <c r="AD5" s="48"/>
      <c r="AE5" s="48"/>
      <c r="AF5" s="48"/>
      <c r="AG5" s="48"/>
      <c r="AH5" s="48"/>
      <c r="AI5" s="48"/>
      <c r="AJ5" s="48"/>
      <c r="AK5" s="48"/>
      <c r="AL5" s="48"/>
      <c r="AM5" s="48"/>
      <c r="AN5" s="48"/>
      <c r="AO5" s="48"/>
      <c r="AP5" s="48"/>
    </row>
    <row r="6" ht="25.5" customHeight="1">
      <c r="A6" s="8">
        <f t="shared" si="3"/>
        <v>5</v>
      </c>
      <c r="B6" s="8" t="s">
        <v>32</v>
      </c>
      <c r="C6" s="8" t="s">
        <v>63</v>
      </c>
      <c r="D6" s="8" t="s">
        <v>34</v>
      </c>
      <c r="E6" s="9" t="str">
        <f>IF(OR($B6="ALTA",AND(ISNUMBER($W6),$W6&gt;0),AND($U6&lt;&gt;"",$U6&lt;&gt;"NO")),"SI","")</f>
        <v>SI</v>
      </c>
      <c r="F6" s="10" t="s">
        <v>35</v>
      </c>
      <c r="G6" s="53" t="s">
        <v>36</v>
      </c>
      <c r="H6" s="8" t="s">
        <v>158</v>
      </c>
      <c r="I6" s="8" t="s">
        <v>38</v>
      </c>
      <c r="J6" s="8" t="s">
        <v>160</v>
      </c>
      <c r="K6" s="8" t="s">
        <v>161</v>
      </c>
      <c r="L6" s="8" t="str">
        <f>CONCATENATE(J6,", ",H6,", Cali")</f>
        <v>Carrera 57 # 3-88, Cuarto de Legua, Cali</v>
      </c>
      <c r="M6" s="8" t="s">
        <v>164</v>
      </c>
      <c r="N6" s="8" t="s">
        <v>41</v>
      </c>
      <c r="O6" s="8"/>
      <c r="P6" s="8"/>
      <c r="Q6" s="8" t="s">
        <v>166</v>
      </c>
      <c r="R6" s="10">
        <v>1.0</v>
      </c>
      <c r="S6" s="10"/>
      <c r="T6" s="10"/>
      <c r="U6" s="8" t="s">
        <v>46</v>
      </c>
      <c r="V6" s="10">
        <v>10.0</v>
      </c>
      <c r="W6" s="10">
        <v>7.0</v>
      </c>
      <c r="X6" s="18"/>
      <c r="Y6" s="18"/>
      <c r="Z6" s="8" t="s">
        <v>170</v>
      </c>
      <c r="AA6" s="20" t="s">
        <v>52</v>
      </c>
      <c r="AB6" s="8" t="s">
        <v>171</v>
      </c>
      <c r="AD6" s="22"/>
      <c r="AE6" s="22"/>
      <c r="AF6" s="22"/>
      <c r="AG6" s="22"/>
      <c r="AH6" s="22"/>
      <c r="AI6" s="22"/>
      <c r="AJ6" s="22"/>
      <c r="AK6" s="22"/>
      <c r="AL6" s="22"/>
      <c r="AM6" s="22"/>
      <c r="AN6" s="22"/>
      <c r="AO6" s="22"/>
      <c r="AP6" s="22"/>
    </row>
    <row r="7" ht="25.5" customHeight="1">
      <c r="A7" s="63">
        <f t="shared" si="3"/>
        <v>6</v>
      </c>
      <c r="B7" s="63" t="s">
        <v>62</v>
      </c>
      <c r="C7" s="65" t="s">
        <v>133</v>
      </c>
      <c r="D7" s="44" t="s">
        <v>136</v>
      </c>
      <c r="E7" s="68" t="s">
        <v>62</v>
      </c>
      <c r="F7" s="70" t="s">
        <v>62</v>
      </c>
      <c r="G7" s="70" t="s">
        <v>62</v>
      </c>
      <c r="H7" s="71" t="s">
        <v>62</v>
      </c>
      <c r="I7" s="71" t="s">
        <v>62</v>
      </c>
      <c r="J7" s="68" t="s">
        <v>62</v>
      </c>
      <c r="K7" s="68" t="s">
        <v>62</v>
      </c>
      <c r="L7" s="68" t="s">
        <v>62</v>
      </c>
      <c r="M7" s="68" t="s">
        <v>62</v>
      </c>
      <c r="N7" s="68" t="s">
        <v>62</v>
      </c>
      <c r="O7" s="68" t="s">
        <v>62</v>
      </c>
      <c r="P7" s="68" t="s">
        <v>62</v>
      </c>
      <c r="Q7" s="68" t="s">
        <v>62</v>
      </c>
      <c r="R7" s="68" t="s">
        <v>62</v>
      </c>
      <c r="S7" s="68"/>
      <c r="T7" s="68" t="s">
        <v>62</v>
      </c>
      <c r="U7" s="68" t="s">
        <v>62</v>
      </c>
      <c r="V7" s="68" t="s">
        <v>62</v>
      </c>
      <c r="W7" s="68" t="s">
        <v>62</v>
      </c>
      <c r="X7" s="68" t="s">
        <v>62</v>
      </c>
      <c r="Y7" s="68" t="s">
        <v>62</v>
      </c>
      <c r="Z7" s="68" t="s">
        <v>62</v>
      </c>
      <c r="AA7" s="68" t="s">
        <v>62</v>
      </c>
      <c r="AB7" s="68" t="s">
        <v>62</v>
      </c>
      <c r="AD7" s="77"/>
      <c r="AE7" s="77"/>
      <c r="AF7" s="77"/>
      <c r="AG7" s="77"/>
      <c r="AH7" s="77"/>
      <c r="AI7" s="77"/>
      <c r="AJ7" s="77"/>
      <c r="AK7" s="77"/>
      <c r="AL7" s="77"/>
      <c r="AM7" s="77"/>
      <c r="AN7" s="77"/>
      <c r="AO7" s="77"/>
      <c r="AP7" s="77"/>
    </row>
    <row r="8" ht="25.5" customHeight="1">
      <c r="A8" s="8">
        <f t="shared" si="3"/>
        <v>7</v>
      </c>
      <c r="B8" s="8" t="s">
        <v>32</v>
      </c>
      <c r="C8" s="8" t="s">
        <v>63</v>
      </c>
      <c r="D8" s="8" t="s">
        <v>34</v>
      </c>
      <c r="E8" s="81" t="str">
        <f t="shared" ref="E8:E17" si="4">IF(OR($B8="ALTA",AND(ISNUMBER($W8),$W8&gt;0),AND($U8&lt;&gt;"",$U8&lt;&gt;"NO")),"SI","")</f>
        <v>SI</v>
      </c>
      <c r="F8" s="10" t="s">
        <v>35</v>
      </c>
      <c r="G8" s="30" t="s">
        <v>36</v>
      </c>
      <c r="H8" s="8" t="s">
        <v>202</v>
      </c>
      <c r="I8" s="8" t="s">
        <v>38</v>
      </c>
      <c r="J8" s="8" t="s">
        <v>205</v>
      </c>
      <c r="K8" s="8" t="s">
        <v>207</v>
      </c>
      <c r="L8" s="8" t="str">
        <f t="shared" ref="L8:L17" si="5">CONCATENATE(J8,", ",H8,", Cali")</f>
        <v>Calle 3 # 61B, Pampalinda, Cali</v>
      </c>
      <c r="M8" s="8" t="s">
        <v>41</v>
      </c>
      <c r="N8" s="8" t="s">
        <v>41</v>
      </c>
      <c r="O8" s="8"/>
      <c r="P8" s="8"/>
      <c r="Q8" s="8" t="s">
        <v>212</v>
      </c>
      <c r="R8" s="10">
        <v>1.0</v>
      </c>
      <c r="S8" s="10"/>
      <c r="T8" s="10"/>
      <c r="U8" s="8" t="s">
        <v>46</v>
      </c>
      <c r="V8" s="82"/>
      <c r="W8" s="82"/>
      <c r="X8" s="18"/>
      <c r="Y8" s="18"/>
      <c r="Z8" s="8" t="s">
        <v>216</v>
      </c>
      <c r="AA8" s="20" t="s">
        <v>52</v>
      </c>
      <c r="AB8" s="8"/>
      <c r="AD8" s="39"/>
      <c r="AE8" s="39"/>
      <c r="AF8" s="39"/>
      <c r="AG8" s="39"/>
      <c r="AH8" s="39"/>
      <c r="AI8" s="39"/>
      <c r="AJ8" s="39"/>
      <c r="AK8" s="39"/>
      <c r="AL8" s="39"/>
      <c r="AM8" s="39"/>
      <c r="AN8" s="39"/>
      <c r="AO8" s="39"/>
      <c r="AP8" s="39"/>
    </row>
    <row r="9" ht="25.5" customHeight="1">
      <c r="A9" s="84">
        <f t="shared" si="3"/>
        <v>8</v>
      </c>
      <c r="B9" s="84" t="s">
        <v>32</v>
      </c>
      <c r="C9" s="84" t="s">
        <v>33</v>
      </c>
      <c r="D9" s="84" t="s">
        <v>223</v>
      </c>
      <c r="E9" s="86" t="str">
        <f t="shared" si="4"/>
        <v>SI</v>
      </c>
      <c r="F9" s="88" t="s">
        <v>35</v>
      </c>
      <c r="G9" s="88" t="s">
        <v>36</v>
      </c>
      <c r="H9" s="84" t="s">
        <v>227</v>
      </c>
      <c r="I9" s="84" t="s">
        <v>38</v>
      </c>
      <c r="J9" s="84" t="s">
        <v>229</v>
      </c>
      <c r="K9" s="84"/>
      <c r="L9" s="84" t="str">
        <f t="shared" si="5"/>
        <v>Av. Roosevelt (Calle 6) con Carrera 42, Los Cámbulos, Cali</v>
      </c>
      <c r="M9" s="84" t="s">
        <v>231</v>
      </c>
      <c r="N9" s="84" t="s">
        <v>233</v>
      </c>
      <c r="O9" s="90" t="s">
        <v>46</v>
      </c>
      <c r="P9" s="84"/>
      <c r="Q9" s="84" t="s">
        <v>166</v>
      </c>
      <c r="R9" s="88"/>
      <c r="S9" s="88"/>
      <c r="T9" s="88">
        <v>1.0</v>
      </c>
      <c r="U9" s="84" t="s">
        <v>83</v>
      </c>
      <c r="V9" s="88">
        <v>5.0</v>
      </c>
      <c r="W9" s="92"/>
      <c r="X9" s="93"/>
      <c r="Y9" s="93"/>
      <c r="Z9" s="84" t="s">
        <v>239</v>
      </c>
      <c r="AA9" s="84"/>
      <c r="AB9" s="84"/>
      <c r="AD9" s="48"/>
      <c r="AE9" s="48"/>
      <c r="AF9" s="48"/>
      <c r="AG9" s="48"/>
      <c r="AH9" s="48"/>
      <c r="AI9" s="48"/>
      <c r="AJ9" s="48"/>
      <c r="AK9" s="48"/>
      <c r="AL9" s="48"/>
      <c r="AM9" s="48"/>
      <c r="AN9" s="48"/>
      <c r="AO9" s="48"/>
      <c r="AP9" s="48"/>
    </row>
    <row r="10" ht="25.5" customHeight="1">
      <c r="A10" s="8">
        <f t="shared" si="3"/>
        <v>9</v>
      </c>
      <c r="B10" s="8" t="s">
        <v>32</v>
      </c>
      <c r="C10" s="8" t="s">
        <v>63</v>
      </c>
      <c r="D10" s="8" t="s">
        <v>34</v>
      </c>
      <c r="E10" s="81" t="str">
        <f t="shared" si="4"/>
        <v>SI</v>
      </c>
      <c r="F10" s="10" t="s">
        <v>128</v>
      </c>
      <c r="G10" s="30" t="s">
        <v>36</v>
      </c>
      <c r="H10" s="8" t="s">
        <v>247</v>
      </c>
      <c r="I10" s="8" t="s">
        <v>38</v>
      </c>
      <c r="J10" s="8" t="s">
        <v>249</v>
      </c>
      <c r="K10" s="8" t="s">
        <v>250</v>
      </c>
      <c r="L10" s="8" t="str">
        <f t="shared" si="5"/>
        <v>Carrera 38a # 10, Olimpico, Cali</v>
      </c>
      <c r="M10" s="8" t="s">
        <v>164</v>
      </c>
      <c r="N10" s="8" t="s">
        <v>41</v>
      </c>
      <c r="O10" s="8"/>
      <c r="P10" s="8"/>
      <c r="Q10" s="8" t="s">
        <v>253</v>
      </c>
      <c r="R10" s="10">
        <v>1.0</v>
      </c>
      <c r="S10" s="10"/>
      <c r="T10" s="10"/>
      <c r="U10" s="8">
        <v>2.0</v>
      </c>
      <c r="V10" s="10">
        <v>6.0</v>
      </c>
      <c r="W10" s="82"/>
      <c r="X10" s="18"/>
      <c r="Y10" s="8" t="s">
        <v>257</v>
      </c>
      <c r="Z10" s="8" t="s">
        <v>258</v>
      </c>
      <c r="AA10" s="20" t="s">
        <v>52</v>
      </c>
      <c r="AB10" s="8" t="s">
        <v>260</v>
      </c>
      <c r="AD10" s="39"/>
      <c r="AE10" s="39"/>
      <c r="AF10" s="39"/>
      <c r="AG10" s="39"/>
      <c r="AH10" s="39"/>
      <c r="AI10" s="39"/>
      <c r="AJ10" s="39"/>
      <c r="AK10" s="39"/>
      <c r="AL10" s="39"/>
      <c r="AM10" s="39"/>
      <c r="AN10" s="39"/>
      <c r="AO10" s="39"/>
      <c r="AP10" s="39"/>
    </row>
    <row r="11" ht="25.5" customHeight="1">
      <c r="A11" s="84">
        <f t="shared" si="3"/>
        <v>10</v>
      </c>
      <c r="B11" s="84" t="s">
        <v>61</v>
      </c>
      <c r="C11" s="84" t="s">
        <v>33</v>
      </c>
      <c r="D11" s="84" t="s">
        <v>223</v>
      </c>
      <c r="E11" s="86" t="str">
        <f t="shared" si="4"/>
        <v/>
      </c>
      <c r="F11" s="88" t="s">
        <v>35</v>
      </c>
      <c r="G11" s="88" t="s">
        <v>36</v>
      </c>
      <c r="H11" s="84" t="s">
        <v>278</v>
      </c>
      <c r="I11" s="84" t="s">
        <v>38</v>
      </c>
      <c r="J11" s="84" t="s">
        <v>281</v>
      </c>
      <c r="K11" s="84"/>
      <c r="L11" s="84" t="str">
        <f t="shared" si="5"/>
        <v>Carrera 36 con Calle 5 B2 69, San Fernando, Cali</v>
      </c>
      <c r="M11" s="84" t="s">
        <v>231</v>
      </c>
      <c r="N11" s="84" t="s">
        <v>233</v>
      </c>
      <c r="O11" s="84"/>
      <c r="P11" s="84"/>
      <c r="Q11" s="84" t="s">
        <v>284</v>
      </c>
      <c r="R11" s="88"/>
      <c r="S11" s="88"/>
      <c r="T11" s="88">
        <v>1.0</v>
      </c>
      <c r="U11" s="84" t="s">
        <v>83</v>
      </c>
      <c r="V11" s="92"/>
      <c r="W11" s="92"/>
      <c r="X11" s="93"/>
      <c r="Y11" s="84" t="s">
        <v>289</v>
      </c>
      <c r="Z11" s="84" t="s">
        <v>292</v>
      </c>
      <c r="AA11" s="84"/>
      <c r="AB11" s="84"/>
      <c r="AD11" s="39"/>
      <c r="AE11" s="39"/>
      <c r="AF11" s="39"/>
      <c r="AG11" s="39"/>
      <c r="AH11" s="39"/>
      <c r="AI11" s="39"/>
      <c r="AJ11" s="39"/>
      <c r="AK11" s="39"/>
      <c r="AL11" s="39"/>
      <c r="AM11" s="39"/>
      <c r="AN11" s="39"/>
      <c r="AO11" s="39"/>
      <c r="AP11" s="39"/>
    </row>
    <row r="12" ht="25.5" customHeight="1">
      <c r="A12" s="33">
        <f t="shared" si="3"/>
        <v>11</v>
      </c>
      <c r="B12" s="33" t="s">
        <v>32</v>
      </c>
      <c r="C12" s="33" t="s">
        <v>63</v>
      </c>
      <c r="D12" s="33" t="s">
        <v>297</v>
      </c>
      <c r="E12" s="95" t="str">
        <f t="shared" si="4"/>
        <v>SI</v>
      </c>
      <c r="F12" s="35" t="s">
        <v>35</v>
      </c>
      <c r="G12" s="30" t="s">
        <v>36</v>
      </c>
      <c r="H12" s="27" t="s">
        <v>158</v>
      </c>
      <c r="I12" s="27" t="s">
        <v>286</v>
      </c>
      <c r="J12" s="27" t="s">
        <v>304</v>
      </c>
      <c r="K12" s="27"/>
      <c r="L12" s="27" t="str">
        <f t="shared" si="5"/>
        <v>Carrera 58 # 3-138, Cuarto de Legua, Cali</v>
      </c>
      <c r="M12" s="27" t="s">
        <v>164</v>
      </c>
      <c r="N12" s="27" t="s">
        <v>41</v>
      </c>
      <c r="O12" s="27"/>
      <c r="P12" s="27"/>
      <c r="Q12" s="27" t="s">
        <v>166</v>
      </c>
      <c r="R12" s="30">
        <v>1.0</v>
      </c>
      <c r="S12" s="30"/>
      <c r="T12" s="30"/>
      <c r="U12" s="27">
        <v>5.0</v>
      </c>
      <c r="V12" s="35"/>
      <c r="W12" s="35"/>
      <c r="X12" s="33"/>
      <c r="Y12" s="27"/>
      <c r="Z12" s="27" t="s">
        <v>310</v>
      </c>
      <c r="AA12" s="97" t="s">
        <v>52</v>
      </c>
      <c r="AB12" s="27"/>
      <c r="AC12" s="98"/>
      <c r="AD12" s="27"/>
      <c r="AE12" s="27"/>
      <c r="AF12" s="27"/>
      <c r="AG12" s="27"/>
      <c r="AH12" s="27"/>
      <c r="AI12" s="27"/>
      <c r="AJ12" s="27"/>
      <c r="AK12" s="27"/>
      <c r="AL12" s="27"/>
      <c r="AM12" s="27"/>
      <c r="AN12" s="27"/>
      <c r="AO12" s="27"/>
      <c r="AP12" s="27"/>
    </row>
    <row r="13" ht="25.5" customHeight="1">
      <c r="A13" s="84">
        <f t="shared" si="3"/>
        <v>12</v>
      </c>
      <c r="B13" s="84" t="s">
        <v>61</v>
      </c>
      <c r="C13" s="84" t="s">
        <v>33</v>
      </c>
      <c r="D13" s="84" t="s">
        <v>223</v>
      </c>
      <c r="E13" s="86" t="str">
        <f t="shared" si="4"/>
        <v/>
      </c>
      <c r="F13" s="99" t="s">
        <v>128</v>
      </c>
      <c r="G13" s="99" t="s">
        <v>176</v>
      </c>
      <c r="H13" s="100" t="s">
        <v>263</v>
      </c>
      <c r="I13" s="100" t="s">
        <v>38</v>
      </c>
      <c r="J13" s="101" t="s">
        <v>265</v>
      </c>
      <c r="K13" s="101" t="s">
        <v>266</v>
      </c>
      <c r="L13" s="101" t="str">
        <f t="shared" si="5"/>
        <v>Autopista Sur # 13-01, Junin, Cali</v>
      </c>
      <c r="M13" s="101" t="s">
        <v>164</v>
      </c>
      <c r="N13" s="101" t="s">
        <v>41</v>
      </c>
      <c r="O13" s="102"/>
      <c r="P13" s="102"/>
      <c r="Q13" s="102" t="s">
        <v>271</v>
      </c>
      <c r="R13" s="103">
        <v>1.0</v>
      </c>
      <c r="S13" s="103"/>
      <c r="T13" s="103"/>
      <c r="U13" s="102" t="s">
        <v>83</v>
      </c>
      <c r="V13" s="103"/>
      <c r="W13" s="103"/>
      <c r="X13" s="102"/>
      <c r="Y13" s="84" t="s">
        <v>274</v>
      </c>
      <c r="Z13" s="84" t="s">
        <v>329</v>
      </c>
      <c r="AA13" s="84"/>
      <c r="AB13" s="84"/>
      <c r="AD13" s="39"/>
      <c r="AE13" s="39"/>
      <c r="AF13" s="39"/>
      <c r="AG13" s="39"/>
      <c r="AH13" s="39"/>
      <c r="AI13" s="39"/>
      <c r="AJ13" s="39"/>
      <c r="AK13" s="39"/>
      <c r="AL13" s="39"/>
      <c r="AM13" s="39"/>
      <c r="AN13" s="39"/>
      <c r="AO13" s="39"/>
      <c r="AP13" s="39"/>
    </row>
    <row r="14" ht="25.5" customHeight="1">
      <c r="A14" s="20">
        <f t="shared" si="3"/>
        <v>13</v>
      </c>
      <c r="B14" s="20" t="s">
        <v>307</v>
      </c>
      <c r="C14" s="20" t="s">
        <v>279</v>
      </c>
      <c r="D14" s="20" t="s">
        <v>335</v>
      </c>
      <c r="E14" s="104" t="str">
        <f t="shared" si="4"/>
        <v/>
      </c>
      <c r="F14" s="105" t="s">
        <v>35</v>
      </c>
      <c r="G14" s="106" t="s">
        <v>36</v>
      </c>
      <c r="H14" s="20" t="s">
        <v>337</v>
      </c>
      <c r="I14" s="20" t="s">
        <v>338</v>
      </c>
      <c r="J14" s="20" t="s">
        <v>339</v>
      </c>
      <c r="K14" s="20" t="s">
        <v>340</v>
      </c>
      <c r="L14" s="20" t="str">
        <f t="shared" si="5"/>
        <v>Calle 5 con Carrera 42, Urbanización Tequendama, Cali</v>
      </c>
      <c r="M14" s="20" t="s">
        <v>164</v>
      </c>
      <c r="N14" s="20" t="s">
        <v>41</v>
      </c>
      <c r="O14" s="20"/>
      <c r="P14" s="20"/>
      <c r="Q14" s="20"/>
      <c r="R14" s="105">
        <v>1.0</v>
      </c>
      <c r="S14" s="105"/>
      <c r="T14" s="105"/>
      <c r="U14" s="107" t="s">
        <v>83</v>
      </c>
      <c r="V14" s="105"/>
      <c r="W14" s="105"/>
      <c r="X14" s="107"/>
      <c r="Y14" s="107"/>
      <c r="Z14" s="20" t="s">
        <v>344</v>
      </c>
      <c r="AA14" s="20" t="s">
        <v>52</v>
      </c>
      <c r="AB14" s="20"/>
      <c r="AD14" s="39"/>
      <c r="AE14" s="39"/>
      <c r="AF14" s="39"/>
      <c r="AG14" s="39"/>
      <c r="AH14" s="39"/>
      <c r="AI14" s="39"/>
      <c r="AJ14" s="39"/>
      <c r="AK14" s="39"/>
      <c r="AL14" s="39"/>
      <c r="AM14" s="39"/>
      <c r="AN14" s="39"/>
      <c r="AO14" s="39"/>
      <c r="AP14" s="39"/>
    </row>
    <row r="15" ht="25.5" customHeight="1">
      <c r="A15" s="27">
        <f t="shared" si="3"/>
        <v>14</v>
      </c>
      <c r="B15" s="27" t="s">
        <v>32</v>
      </c>
      <c r="C15" s="27" t="s">
        <v>63</v>
      </c>
      <c r="D15" s="27" t="s">
        <v>34</v>
      </c>
      <c r="E15" s="28" t="str">
        <f t="shared" si="4"/>
        <v>SI</v>
      </c>
      <c r="F15" s="30" t="s">
        <v>116</v>
      </c>
      <c r="G15" s="30" t="s">
        <v>350</v>
      </c>
      <c r="H15" s="27" t="s">
        <v>186</v>
      </c>
      <c r="I15" s="27" t="s">
        <v>38</v>
      </c>
      <c r="J15" s="27" t="s">
        <v>352</v>
      </c>
      <c r="K15" s="27" t="s">
        <v>354</v>
      </c>
      <c r="L15" s="8" t="str">
        <f t="shared" si="5"/>
        <v>Calle 62B # 1A9-365, Chiminangos II, Cali</v>
      </c>
      <c r="M15" s="8" t="s">
        <v>164</v>
      </c>
      <c r="N15" s="8" t="s">
        <v>41</v>
      </c>
      <c r="O15" s="8"/>
      <c r="P15" s="8"/>
      <c r="Q15" s="8" t="s">
        <v>271</v>
      </c>
      <c r="R15" s="10">
        <v>1.0</v>
      </c>
      <c r="S15" s="10"/>
      <c r="T15" s="10">
        <v>1.0</v>
      </c>
      <c r="U15" s="8">
        <v>20.0</v>
      </c>
      <c r="V15" s="10">
        <v>3.0</v>
      </c>
      <c r="W15" s="82"/>
      <c r="X15" s="18"/>
      <c r="Y15" s="8" t="s">
        <v>359</v>
      </c>
      <c r="Z15" s="8" t="s">
        <v>360</v>
      </c>
      <c r="AA15" s="20" t="s">
        <v>52</v>
      </c>
      <c r="AB15" s="8"/>
      <c r="AD15" s="22"/>
      <c r="AE15" s="22"/>
      <c r="AF15" s="22"/>
      <c r="AG15" s="22"/>
      <c r="AH15" s="22"/>
      <c r="AI15" s="22"/>
      <c r="AJ15" s="22"/>
      <c r="AK15" s="22"/>
      <c r="AL15" s="22"/>
      <c r="AM15" s="22"/>
      <c r="AN15" s="22"/>
      <c r="AO15" s="22"/>
      <c r="AP15" s="22"/>
    </row>
    <row r="16" ht="25.5" customHeight="1">
      <c r="A16" s="8">
        <f t="shared" si="3"/>
        <v>15</v>
      </c>
      <c r="B16" s="8" t="s">
        <v>32</v>
      </c>
      <c r="C16" s="8" t="s">
        <v>63</v>
      </c>
      <c r="D16" s="8" t="s">
        <v>34</v>
      </c>
      <c r="E16" s="81" t="str">
        <f t="shared" si="4"/>
        <v>SI</v>
      </c>
      <c r="F16" s="10" t="s">
        <v>35</v>
      </c>
      <c r="G16" s="30" t="s">
        <v>36</v>
      </c>
      <c r="H16" s="8" t="s">
        <v>369</v>
      </c>
      <c r="I16" s="8" t="s">
        <v>38</v>
      </c>
      <c r="J16" s="8" t="s">
        <v>373</v>
      </c>
      <c r="K16" s="8" t="s">
        <v>374</v>
      </c>
      <c r="L16" s="8" t="str">
        <f t="shared" si="5"/>
        <v>Carrera 42 con calle 5, Tequendama, Cali</v>
      </c>
      <c r="M16" s="8" t="s">
        <v>164</v>
      </c>
      <c r="N16" s="8" t="s">
        <v>41</v>
      </c>
      <c r="O16" s="8"/>
      <c r="P16" s="8"/>
      <c r="Q16" s="8" t="s">
        <v>212</v>
      </c>
      <c r="R16" s="10">
        <v>1.0</v>
      </c>
      <c r="S16" s="10"/>
      <c r="T16" s="10"/>
      <c r="U16" s="8">
        <v>20.0</v>
      </c>
      <c r="V16" s="10"/>
      <c r="W16" s="10"/>
      <c r="X16" s="18"/>
      <c r="Y16" s="18"/>
      <c r="Z16" s="8" t="s">
        <v>379</v>
      </c>
      <c r="AA16" s="20" t="s">
        <v>52</v>
      </c>
      <c r="AB16" s="8" t="s">
        <v>382</v>
      </c>
      <c r="AD16" s="22"/>
      <c r="AE16" s="22"/>
      <c r="AF16" s="22"/>
      <c r="AG16" s="22"/>
      <c r="AH16" s="22"/>
      <c r="AI16" s="22"/>
      <c r="AJ16" s="22"/>
      <c r="AK16" s="22"/>
      <c r="AL16" s="22"/>
      <c r="AM16" s="22"/>
      <c r="AN16" s="22"/>
      <c r="AO16" s="22"/>
      <c r="AP16" s="22"/>
    </row>
    <row r="17" ht="25.5" customHeight="1">
      <c r="A17" s="8">
        <f t="shared" si="3"/>
        <v>16</v>
      </c>
      <c r="B17" s="8" t="s">
        <v>32</v>
      </c>
      <c r="C17" s="8" t="s">
        <v>63</v>
      </c>
      <c r="D17" s="8" t="s">
        <v>34</v>
      </c>
      <c r="E17" s="81" t="str">
        <f t="shared" si="4"/>
        <v>SI</v>
      </c>
      <c r="F17" s="10" t="s">
        <v>35</v>
      </c>
      <c r="G17" s="30" t="s">
        <v>36</v>
      </c>
      <c r="H17" s="8" t="s">
        <v>255</v>
      </c>
      <c r="I17" s="8" t="s">
        <v>38</v>
      </c>
      <c r="J17" s="8" t="s">
        <v>388</v>
      </c>
      <c r="K17" s="8" t="s">
        <v>389</v>
      </c>
      <c r="L17" s="8" t="str">
        <f t="shared" si="5"/>
        <v>Carrera 67 # 3c -15, El Refugio, Cali</v>
      </c>
      <c r="M17" s="8" t="s">
        <v>164</v>
      </c>
      <c r="N17" s="8" t="s">
        <v>41</v>
      </c>
      <c r="O17" s="8"/>
      <c r="P17" s="8"/>
      <c r="Q17" s="8" t="s">
        <v>392</v>
      </c>
      <c r="R17" s="10">
        <v>1.0</v>
      </c>
      <c r="S17" s="10"/>
      <c r="T17" s="10"/>
      <c r="U17" s="8">
        <v>2.0</v>
      </c>
      <c r="V17" s="10">
        <v>4.0</v>
      </c>
      <c r="W17" s="10">
        <v>3.0</v>
      </c>
      <c r="X17" s="18"/>
      <c r="Y17" s="8" t="s">
        <v>396</v>
      </c>
      <c r="Z17" s="8" t="s">
        <v>398</v>
      </c>
      <c r="AA17" s="20" t="s">
        <v>52</v>
      </c>
      <c r="AB17" s="8"/>
      <c r="AD17" s="39"/>
      <c r="AE17" s="39"/>
      <c r="AF17" s="39"/>
      <c r="AG17" s="39"/>
      <c r="AH17" s="39"/>
      <c r="AI17" s="39"/>
      <c r="AJ17" s="39"/>
      <c r="AK17" s="39"/>
      <c r="AL17" s="39"/>
      <c r="AM17" s="39"/>
      <c r="AN17" s="39"/>
      <c r="AO17" s="39"/>
      <c r="AP17" s="39"/>
    </row>
    <row r="18" ht="25.5" customHeight="1">
      <c r="A18" s="63">
        <f t="shared" si="3"/>
        <v>17</v>
      </c>
      <c r="B18" s="63" t="s">
        <v>62</v>
      </c>
      <c r="C18" s="65" t="s">
        <v>133</v>
      </c>
      <c r="D18" s="108" t="s">
        <v>34</v>
      </c>
      <c r="E18" s="68" t="s">
        <v>62</v>
      </c>
      <c r="F18" s="70" t="s">
        <v>62</v>
      </c>
      <c r="G18" s="70" t="s">
        <v>62</v>
      </c>
      <c r="H18" s="71" t="s">
        <v>62</v>
      </c>
      <c r="I18" s="71" t="s">
        <v>62</v>
      </c>
      <c r="J18" s="68" t="s">
        <v>62</v>
      </c>
      <c r="K18" s="68" t="s">
        <v>62</v>
      </c>
      <c r="L18" s="68" t="s">
        <v>62</v>
      </c>
      <c r="M18" s="68" t="s">
        <v>62</v>
      </c>
      <c r="N18" s="68" t="s">
        <v>62</v>
      </c>
      <c r="O18" s="68" t="s">
        <v>62</v>
      </c>
      <c r="P18" s="68" t="s">
        <v>62</v>
      </c>
      <c r="Q18" s="68" t="s">
        <v>62</v>
      </c>
      <c r="R18" s="68" t="s">
        <v>62</v>
      </c>
      <c r="S18" s="68"/>
      <c r="T18" s="68" t="s">
        <v>62</v>
      </c>
      <c r="U18" s="68" t="s">
        <v>62</v>
      </c>
      <c r="V18" s="68" t="s">
        <v>62</v>
      </c>
      <c r="W18" s="68" t="s">
        <v>62</v>
      </c>
      <c r="X18" s="68" t="s">
        <v>62</v>
      </c>
      <c r="Y18" s="68" t="s">
        <v>62</v>
      </c>
      <c r="Z18" s="68" t="s">
        <v>62</v>
      </c>
      <c r="AA18" s="68" t="s">
        <v>62</v>
      </c>
      <c r="AB18" s="68" t="s">
        <v>62</v>
      </c>
      <c r="AD18" s="109"/>
      <c r="AE18" s="109"/>
      <c r="AF18" s="109"/>
      <c r="AG18" s="109"/>
      <c r="AH18" s="109"/>
      <c r="AI18" s="109"/>
      <c r="AJ18" s="109"/>
      <c r="AK18" s="109"/>
      <c r="AL18" s="109"/>
      <c r="AM18" s="109"/>
      <c r="AN18" s="109"/>
      <c r="AO18" s="109"/>
      <c r="AP18" s="109"/>
    </row>
    <row r="19" ht="25.5" customHeight="1">
      <c r="A19" s="27">
        <f t="shared" si="3"/>
        <v>18</v>
      </c>
      <c r="B19" s="27" t="s">
        <v>61</v>
      </c>
      <c r="C19" s="27" t="s">
        <v>33</v>
      </c>
      <c r="D19" s="27" t="s">
        <v>223</v>
      </c>
      <c r="E19" s="28" t="str">
        <f t="shared" ref="E19:E21" si="6">IF(OR($B19="ALTA",AND(ISNUMBER($W19),$W19&gt;0),AND($U19&lt;&gt;"",$U19&lt;&gt;"NO")),"SI","")</f>
        <v>SI</v>
      </c>
      <c r="F19" s="30" t="s">
        <v>35</v>
      </c>
      <c r="G19" s="53" t="s">
        <v>426</v>
      </c>
      <c r="H19" s="110" t="s">
        <v>423</v>
      </c>
      <c r="I19" s="110" t="s">
        <v>428</v>
      </c>
      <c r="J19" s="110" t="s">
        <v>429</v>
      </c>
      <c r="K19" s="110" t="s">
        <v>431</v>
      </c>
      <c r="L19" s="110" t="str">
        <f t="shared" ref="L19:L21" si="7">CONCATENATE(J19,", ",H19,", Cali")</f>
        <v>Calle 72U # 28E-00, Poblado II, Poblado ll, Cali</v>
      </c>
      <c r="M19" s="110" t="s">
        <v>231</v>
      </c>
      <c r="N19" s="110" t="s">
        <v>233</v>
      </c>
      <c r="O19" s="110"/>
      <c r="P19" s="110"/>
      <c r="Q19" s="110" t="s">
        <v>437</v>
      </c>
      <c r="R19" s="53"/>
      <c r="S19" s="53"/>
      <c r="T19" s="53">
        <v>1.0</v>
      </c>
      <c r="U19" s="110">
        <v>12.0</v>
      </c>
      <c r="V19" s="111"/>
      <c r="W19" s="111"/>
      <c r="X19" s="112">
        <v>1.0</v>
      </c>
      <c r="Y19" s="111"/>
      <c r="Z19" s="112" t="s">
        <v>441</v>
      </c>
      <c r="AA19" s="112"/>
      <c r="AB19" s="112"/>
      <c r="AC19" s="98"/>
      <c r="AD19" s="111"/>
      <c r="AE19" s="111"/>
      <c r="AF19" s="111"/>
      <c r="AG19" s="111"/>
      <c r="AH19" s="111"/>
      <c r="AI19" s="111"/>
      <c r="AJ19" s="111"/>
      <c r="AK19" s="111"/>
      <c r="AL19" s="111"/>
      <c r="AM19" s="111"/>
      <c r="AN19" s="111"/>
      <c r="AO19" s="111"/>
      <c r="AP19" s="111"/>
    </row>
    <row r="20" ht="25.5" customHeight="1">
      <c r="A20" s="84">
        <f t="shared" si="3"/>
        <v>19</v>
      </c>
      <c r="B20" s="84" t="s">
        <v>32</v>
      </c>
      <c r="C20" s="84" t="s">
        <v>33</v>
      </c>
      <c r="D20" s="84" t="s">
        <v>223</v>
      </c>
      <c r="E20" s="86" t="str">
        <f t="shared" si="6"/>
        <v>SI</v>
      </c>
      <c r="F20" s="88" t="s">
        <v>128</v>
      </c>
      <c r="G20" s="113" t="s">
        <v>176</v>
      </c>
      <c r="H20" s="114" t="s">
        <v>447</v>
      </c>
      <c r="I20" s="114" t="s">
        <v>286</v>
      </c>
      <c r="J20" s="115" t="s">
        <v>448</v>
      </c>
      <c r="K20" s="39" t="s">
        <v>449</v>
      </c>
      <c r="L20" s="115" t="str">
        <f t="shared" si="7"/>
        <v>Calle 9 con Carrera 18, San Bosco, Cali</v>
      </c>
      <c r="M20" s="115" t="s">
        <v>231</v>
      </c>
      <c r="N20" s="115" t="s">
        <v>233</v>
      </c>
      <c r="O20" s="114" t="s">
        <v>46</v>
      </c>
      <c r="P20" s="114"/>
      <c r="Q20" s="114" t="s">
        <v>284</v>
      </c>
      <c r="R20" s="113"/>
      <c r="S20" s="113"/>
      <c r="T20" s="113">
        <v>1.0</v>
      </c>
      <c r="U20" s="114" t="s">
        <v>83</v>
      </c>
      <c r="V20" s="116">
        <v>4.0</v>
      </c>
      <c r="W20" s="116"/>
      <c r="X20" s="115"/>
      <c r="Y20" s="116" t="s">
        <v>452</v>
      </c>
      <c r="Z20" s="115" t="s">
        <v>453</v>
      </c>
      <c r="AA20" s="115"/>
      <c r="AB20" s="115"/>
      <c r="AD20" s="117"/>
      <c r="AE20" s="117"/>
      <c r="AF20" s="117"/>
      <c r="AG20" s="117"/>
      <c r="AH20" s="117"/>
      <c r="AI20" s="117"/>
      <c r="AJ20" s="117"/>
      <c r="AK20" s="117"/>
      <c r="AL20" s="117"/>
      <c r="AM20" s="117"/>
      <c r="AN20" s="117"/>
      <c r="AO20" s="117"/>
      <c r="AP20" s="117"/>
    </row>
    <row r="21" ht="25.5" customHeight="1">
      <c r="A21" s="27">
        <f t="shared" si="3"/>
        <v>20</v>
      </c>
      <c r="B21" s="27" t="s">
        <v>32</v>
      </c>
      <c r="C21" s="27" t="s">
        <v>33</v>
      </c>
      <c r="D21" s="27" t="s">
        <v>223</v>
      </c>
      <c r="E21" s="28" t="str">
        <f t="shared" si="6"/>
        <v>SI</v>
      </c>
      <c r="F21" s="30" t="s">
        <v>35</v>
      </c>
      <c r="G21" s="53" t="s">
        <v>36</v>
      </c>
      <c r="H21" s="110" t="s">
        <v>369</v>
      </c>
      <c r="I21" s="110" t="s">
        <v>286</v>
      </c>
      <c r="J21" s="112" t="s">
        <v>462</v>
      </c>
      <c r="K21" s="27" t="s">
        <v>449</v>
      </c>
      <c r="L21" s="112" t="str">
        <f t="shared" si="7"/>
        <v>Carrera 40 # 4B-26, Tequendama, Cali</v>
      </c>
      <c r="M21" s="112" t="s">
        <v>231</v>
      </c>
      <c r="N21" s="112" t="s">
        <v>233</v>
      </c>
      <c r="O21" s="110"/>
      <c r="P21" s="110"/>
      <c r="Q21" s="110" t="s">
        <v>166</v>
      </c>
      <c r="R21" s="53"/>
      <c r="S21" s="53"/>
      <c r="T21" s="53">
        <v>1.0</v>
      </c>
      <c r="U21" s="110" t="s">
        <v>467</v>
      </c>
      <c r="V21" s="111">
        <v>10.0</v>
      </c>
      <c r="W21" s="111">
        <v>1.0</v>
      </c>
      <c r="X21" s="112"/>
      <c r="Y21" s="111"/>
      <c r="Z21" s="112" t="s">
        <v>468</v>
      </c>
      <c r="AA21" s="112"/>
      <c r="AB21" s="112"/>
      <c r="AC21" s="98"/>
      <c r="AD21" s="27"/>
      <c r="AE21" s="27"/>
      <c r="AF21" s="27"/>
      <c r="AG21" s="27"/>
      <c r="AH21" s="27"/>
      <c r="AI21" s="27"/>
      <c r="AJ21" s="27"/>
      <c r="AK21" s="27"/>
      <c r="AL21" s="27"/>
      <c r="AM21" s="27"/>
      <c r="AN21" s="27"/>
      <c r="AO21" s="27"/>
      <c r="AP21" s="27"/>
    </row>
    <row r="22" ht="25.5" customHeight="1">
      <c r="A22" s="63">
        <f t="shared" si="3"/>
        <v>21</v>
      </c>
      <c r="B22" s="63" t="s">
        <v>62</v>
      </c>
      <c r="C22" s="65" t="s">
        <v>133</v>
      </c>
      <c r="D22" s="108" t="s">
        <v>34</v>
      </c>
      <c r="E22" s="68" t="s">
        <v>62</v>
      </c>
      <c r="F22" s="70" t="s">
        <v>62</v>
      </c>
      <c r="G22" s="70" t="s">
        <v>62</v>
      </c>
      <c r="H22" s="71" t="s">
        <v>62</v>
      </c>
      <c r="I22" s="71" t="s">
        <v>62</v>
      </c>
      <c r="J22" s="68" t="s">
        <v>62</v>
      </c>
      <c r="K22" s="68" t="s">
        <v>62</v>
      </c>
      <c r="L22" s="68" t="s">
        <v>62</v>
      </c>
      <c r="M22" s="68" t="s">
        <v>62</v>
      </c>
      <c r="N22" s="68" t="s">
        <v>62</v>
      </c>
      <c r="O22" s="68" t="s">
        <v>62</v>
      </c>
      <c r="P22" s="68" t="s">
        <v>62</v>
      </c>
      <c r="Q22" s="68" t="s">
        <v>62</v>
      </c>
      <c r="R22" s="68" t="s">
        <v>62</v>
      </c>
      <c r="S22" s="68"/>
      <c r="T22" s="68" t="s">
        <v>62</v>
      </c>
      <c r="U22" s="68" t="s">
        <v>62</v>
      </c>
      <c r="V22" s="68" t="s">
        <v>62</v>
      </c>
      <c r="W22" s="68" t="s">
        <v>62</v>
      </c>
      <c r="X22" s="68" t="s">
        <v>62</v>
      </c>
      <c r="Y22" s="68" t="s">
        <v>62</v>
      </c>
      <c r="Z22" s="68" t="s">
        <v>62</v>
      </c>
      <c r="AA22" s="68" t="s">
        <v>62</v>
      </c>
      <c r="AB22" s="68" t="s">
        <v>62</v>
      </c>
      <c r="AD22" s="109"/>
      <c r="AE22" s="109"/>
      <c r="AF22" s="109"/>
      <c r="AG22" s="109"/>
      <c r="AH22" s="109"/>
      <c r="AI22" s="109"/>
      <c r="AJ22" s="109"/>
      <c r="AK22" s="109"/>
      <c r="AL22" s="109"/>
      <c r="AM22" s="109"/>
      <c r="AN22" s="109"/>
      <c r="AO22" s="109"/>
      <c r="AP22" s="109"/>
    </row>
    <row r="23" ht="25.5" customHeight="1">
      <c r="A23" s="8">
        <f t="shared" si="3"/>
        <v>22</v>
      </c>
      <c r="B23" s="8" t="s">
        <v>32</v>
      </c>
      <c r="C23" s="8" t="s">
        <v>63</v>
      </c>
      <c r="D23" s="8" t="s">
        <v>34</v>
      </c>
      <c r="E23" s="81" t="str">
        <f t="shared" ref="E23:E30" si="8">IF(OR($B23="ALTA",AND(ISNUMBER($W23),$W23&gt;0),AND($U23&lt;&gt;"",$U23&lt;&gt;"NO")),"SI","")</f>
        <v>SI</v>
      </c>
      <c r="F23" s="10" t="s">
        <v>35</v>
      </c>
      <c r="G23" s="30" t="s">
        <v>36</v>
      </c>
      <c r="H23" s="8" t="s">
        <v>275</v>
      </c>
      <c r="I23" s="8" t="s">
        <v>286</v>
      </c>
      <c r="J23" s="8" t="s">
        <v>489</v>
      </c>
      <c r="K23" s="8" t="s">
        <v>490</v>
      </c>
      <c r="L23" s="8" t="str">
        <f t="shared" ref="L23:L30" si="9">CONCATENATE(J23,", ",H23,", Cali")</f>
        <v>Calle 10 38 21, Eucarístico, Cali</v>
      </c>
      <c r="M23" s="8" t="s">
        <v>164</v>
      </c>
      <c r="N23" s="8" t="s">
        <v>41</v>
      </c>
      <c r="O23" s="7"/>
      <c r="P23" s="7"/>
      <c r="Q23" s="7" t="s">
        <v>494</v>
      </c>
      <c r="R23" s="13">
        <v>1.0</v>
      </c>
      <c r="S23" s="13"/>
      <c r="T23" s="13"/>
      <c r="U23" s="7">
        <v>2.0</v>
      </c>
      <c r="V23" s="13">
        <v>8.0</v>
      </c>
      <c r="W23" s="118"/>
      <c r="X23" s="16"/>
      <c r="Y23" s="16"/>
      <c r="Z23" s="8" t="s">
        <v>498</v>
      </c>
      <c r="AA23" s="20" t="s">
        <v>52</v>
      </c>
      <c r="AB23" s="8"/>
      <c r="AD23" s="39"/>
      <c r="AE23" s="39"/>
      <c r="AF23" s="39"/>
      <c r="AG23" s="39"/>
      <c r="AH23" s="39"/>
      <c r="AI23" s="39"/>
      <c r="AJ23" s="39"/>
      <c r="AK23" s="39"/>
      <c r="AL23" s="39"/>
      <c r="AM23" s="39"/>
      <c r="AN23" s="39"/>
      <c r="AO23" s="39"/>
      <c r="AP23" s="39"/>
    </row>
    <row r="24" ht="25.5" customHeight="1">
      <c r="A24" s="84">
        <f t="shared" si="3"/>
        <v>23</v>
      </c>
      <c r="B24" s="84" t="s">
        <v>61</v>
      </c>
      <c r="C24" s="84" t="s">
        <v>33</v>
      </c>
      <c r="D24" s="84" t="s">
        <v>223</v>
      </c>
      <c r="E24" s="86" t="str">
        <f t="shared" si="8"/>
        <v>SI</v>
      </c>
      <c r="F24" s="88" t="s">
        <v>35</v>
      </c>
      <c r="G24" s="88" t="s">
        <v>36</v>
      </c>
      <c r="H24" s="84" t="s">
        <v>37</v>
      </c>
      <c r="I24" s="84" t="s">
        <v>286</v>
      </c>
      <c r="J24" s="84" t="s">
        <v>505</v>
      </c>
      <c r="K24" s="84" t="s">
        <v>291</v>
      </c>
      <c r="L24" s="84" t="str">
        <f t="shared" si="9"/>
        <v>Carrera 52 # 3 20, El Lido, Cali</v>
      </c>
      <c r="M24" s="84" t="s">
        <v>164</v>
      </c>
      <c r="N24" s="84" t="s">
        <v>41</v>
      </c>
      <c r="O24" s="114" t="s">
        <v>46</v>
      </c>
      <c r="P24" s="114"/>
      <c r="Q24" s="114" t="s">
        <v>166</v>
      </c>
      <c r="R24" s="113">
        <v>1.0</v>
      </c>
      <c r="S24" s="113"/>
      <c r="T24" s="113"/>
      <c r="U24" s="119" t="s">
        <v>83</v>
      </c>
      <c r="V24" s="120"/>
      <c r="W24" s="120">
        <v>2.0</v>
      </c>
      <c r="X24" s="119"/>
      <c r="Y24" s="119"/>
      <c r="Z24" s="84" t="s">
        <v>300</v>
      </c>
      <c r="AA24" s="84"/>
      <c r="AB24" s="84"/>
      <c r="AD24" s="39"/>
      <c r="AE24" s="39"/>
      <c r="AF24" s="39"/>
      <c r="AG24" s="39"/>
      <c r="AH24" s="39"/>
      <c r="AI24" s="39"/>
      <c r="AJ24" s="39"/>
      <c r="AK24" s="39"/>
      <c r="AL24" s="39"/>
      <c r="AM24" s="39"/>
      <c r="AN24" s="39"/>
      <c r="AO24" s="39"/>
      <c r="AP24" s="39"/>
    </row>
    <row r="25" ht="25.5" customHeight="1">
      <c r="A25" s="27">
        <f t="shared" si="3"/>
        <v>24</v>
      </c>
      <c r="B25" s="27" t="s">
        <v>32</v>
      </c>
      <c r="C25" s="27" t="s">
        <v>279</v>
      </c>
      <c r="D25" s="27" t="s">
        <v>515</v>
      </c>
      <c r="E25" s="28" t="str">
        <f t="shared" si="8"/>
        <v>SI</v>
      </c>
      <c r="F25" s="30" t="s">
        <v>35</v>
      </c>
      <c r="G25" s="30" t="s">
        <v>36</v>
      </c>
      <c r="H25" s="27" t="s">
        <v>275</v>
      </c>
      <c r="I25" s="27" t="s">
        <v>286</v>
      </c>
      <c r="J25" s="27" t="s">
        <v>517</v>
      </c>
      <c r="K25" s="27" t="s">
        <v>449</v>
      </c>
      <c r="L25" s="27" t="str">
        <f t="shared" si="9"/>
        <v>Carrera 38A # 6 38, Eucarístico, Cali</v>
      </c>
      <c r="M25" s="27" t="s">
        <v>231</v>
      </c>
      <c r="N25" s="27" t="s">
        <v>233</v>
      </c>
      <c r="O25" s="121"/>
      <c r="P25" s="121"/>
      <c r="Q25" s="121"/>
      <c r="R25" s="11"/>
      <c r="S25" s="11"/>
      <c r="T25" s="11">
        <v>1.0</v>
      </c>
      <c r="U25" s="121"/>
      <c r="V25" s="35"/>
      <c r="W25" s="35"/>
      <c r="X25" s="33"/>
      <c r="Y25" s="27"/>
      <c r="Z25" s="27" t="s">
        <v>521</v>
      </c>
      <c r="AA25" s="27"/>
      <c r="AB25" s="27"/>
      <c r="AC25" s="98"/>
      <c r="AD25" s="27"/>
      <c r="AE25" s="27"/>
      <c r="AF25" s="27"/>
      <c r="AG25" s="27"/>
      <c r="AH25" s="27"/>
      <c r="AI25" s="27"/>
      <c r="AJ25" s="27"/>
      <c r="AK25" s="27"/>
      <c r="AL25" s="27"/>
      <c r="AM25" s="27"/>
      <c r="AN25" s="27"/>
      <c r="AO25" s="27"/>
      <c r="AP25" s="27"/>
    </row>
    <row r="26" ht="25.5" customHeight="1">
      <c r="A26" s="27">
        <f t="shared" si="3"/>
        <v>25</v>
      </c>
      <c r="B26" s="27" t="s">
        <v>32</v>
      </c>
      <c r="C26" s="27" t="s">
        <v>279</v>
      </c>
      <c r="D26" s="27" t="s">
        <v>515</v>
      </c>
      <c r="E26" s="28" t="str">
        <f t="shared" si="8"/>
        <v>SI</v>
      </c>
      <c r="F26" s="30" t="s">
        <v>110</v>
      </c>
      <c r="G26" s="30" t="s">
        <v>176</v>
      </c>
      <c r="H26" s="27" t="s">
        <v>176</v>
      </c>
      <c r="I26" s="27" t="s">
        <v>38</v>
      </c>
      <c r="J26" s="27" t="s">
        <v>522</v>
      </c>
      <c r="K26" s="39" t="s">
        <v>523</v>
      </c>
      <c r="L26" s="39" t="str">
        <f t="shared" si="9"/>
        <v>Carrera 5 # 13 46, Centro, Cali</v>
      </c>
      <c r="M26" s="39" t="s">
        <v>231</v>
      </c>
      <c r="N26" s="39" t="s">
        <v>233</v>
      </c>
      <c r="O26" s="22"/>
      <c r="P26" s="22"/>
      <c r="Q26" s="22"/>
      <c r="R26" s="122"/>
      <c r="S26" s="122"/>
      <c r="T26" s="122">
        <v>1.0</v>
      </c>
      <c r="U26" s="22"/>
      <c r="V26" s="122"/>
      <c r="W26" s="122"/>
      <c r="X26" s="22"/>
      <c r="Y26" s="39"/>
      <c r="Z26" s="39" t="s">
        <v>521</v>
      </c>
      <c r="AA26" s="39"/>
      <c r="AB26" s="39"/>
      <c r="AD26" s="22"/>
      <c r="AE26" s="22"/>
      <c r="AF26" s="22"/>
      <c r="AG26" s="22"/>
      <c r="AH26" s="22"/>
      <c r="AI26" s="22"/>
      <c r="AJ26" s="22"/>
      <c r="AK26" s="22"/>
      <c r="AL26" s="22"/>
      <c r="AM26" s="22"/>
      <c r="AN26" s="22"/>
      <c r="AO26" s="22"/>
      <c r="AP26" s="22"/>
    </row>
    <row r="27" ht="25.5" customHeight="1">
      <c r="A27" s="27">
        <f t="shared" si="3"/>
        <v>26</v>
      </c>
      <c r="B27" s="27" t="s">
        <v>307</v>
      </c>
      <c r="C27" s="27" t="s">
        <v>279</v>
      </c>
      <c r="D27" s="27" t="s">
        <v>515</v>
      </c>
      <c r="E27" s="28" t="str">
        <f t="shared" si="8"/>
        <v/>
      </c>
      <c r="F27" s="30" t="s">
        <v>35</v>
      </c>
      <c r="G27" s="30" t="s">
        <v>36</v>
      </c>
      <c r="H27" s="27" t="s">
        <v>158</v>
      </c>
      <c r="I27" s="27" t="s">
        <v>286</v>
      </c>
      <c r="J27" s="27" t="s">
        <v>529</v>
      </c>
      <c r="K27" s="27" t="s">
        <v>530</v>
      </c>
      <c r="L27" s="27" t="str">
        <f t="shared" si="9"/>
        <v>CRE 52 # 2-01, Cuarto de Legua, Cali</v>
      </c>
      <c r="M27" s="27" t="s">
        <v>231</v>
      </c>
      <c r="N27" s="27" t="s">
        <v>233</v>
      </c>
      <c r="O27" s="33"/>
      <c r="P27" s="33"/>
      <c r="Q27" s="33"/>
      <c r="R27" s="35"/>
      <c r="S27" s="35"/>
      <c r="T27" s="35">
        <v>1.0</v>
      </c>
      <c r="U27" s="33"/>
      <c r="V27" s="35"/>
      <c r="W27" s="35"/>
      <c r="X27" s="33"/>
      <c r="Y27" s="27"/>
      <c r="Z27" s="27" t="s">
        <v>521</v>
      </c>
      <c r="AA27" s="27"/>
      <c r="AB27" s="27"/>
      <c r="AC27" s="98"/>
      <c r="AD27" s="33"/>
      <c r="AE27" s="33"/>
      <c r="AF27" s="33"/>
      <c r="AG27" s="33"/>
      <c r="AH27" s="33"/>
      <c r="AI27" s="33"/>
      <c r="AJ27" s="33"/>
      <c r="AK27" s="33"/>
      <c r="AL27" s="33"/>
      <c r="AM27" s="33"/>
      <c r="AN27" s="33"/>
      <c r="AO27" s="33"/>
      <c r="AP27" s="33"/>
    </row>
    <row r="28" ht="25.5" customHeight="1">
      <c r="A28" s="110">
        <f t="shared" si="3"/>
        <v>27</v>
      </c>
      <c r="B28" s="110" t="s">
        <v>32</v>
      </c>
      <c r="C28" s="110" t="s">
        <v>63</v>
      </c>
      <c r="D28" s="27" t="s">
        <v>34</v>
      </c>
      <c r="E28" s="28" t="str">
        <f t="shared" si="8"/>
        <v>SI</v>
      </c>
      <c r="F28" s="30" t="s">
        <v>35</v>
      </c>
      <c r="G28" s="53" t="s">
        <v>36</v>
      </c>
      <c r="H28" s="110" t="s">
        <v>227</v>
      </c>
      <c r="I28" s="110" t="s">
        <v>546</v>
      </c>
      <c r="J28" s="110" t="s">
        <v>548</v>
      </c>
      <c r="K28" s="110" t="s">
        <v>549</v>
      </c>
      <c r="L28" s="110" t="str">
        <f t="shared" si="9"/>
        <v>Carrera 44 con Calle 9 35, Los Cámbulos, Cali</v>
      </c>
      <c r="M28" s="110" t="s">
        <v>551</v>
      </c>
      <c r="N28" s="110" t="s">
        <v>41</v>
      </c>
      <c r="O28" s="110"/>
      <c r="P28" s="110"/>
      <c r="Q28" s="110" t="s">
        <v>553</v>
      </c>
      <c r="R28" s="53">
        <v>1.0</v>
      </c>
      <c r="S28" s="53"/>
      <c r="T28" s="53"/>
      <c r="U28" s="110" t="s">
        <v>556</v>
      </c>
      <c r="V28" s="53"/>
      <c r="W28" s="53">
        <v>2.0</v>
      </c>
      <c r="X28" s="33"/>
      <c r="Y28" s="27" t="s">
        <v>557</v>
      </c>
      <c r="Z28" s="27" t="s">
        <v>559</v>
      </c>
      <c r="AA28" s="97" t="s">
        <v>52</v>
      </c>
      <c r="AB28" s="27"/>
      <c r="AC28" s="98"/>
      <c r="AD28" s="33"/>
      <c r="AE28" s="33"/>
      <c r="AF28" s="33"/>
      <c r="AG28" s="33"/>
      <c r="AH28" s="33"/>
      <c r="AI28" s="33"/>
      <c r="AJ28" s="33"/>
      <c r="AK28" s="33"/>
      <c r="AL28" s="33"/>
      <c r="AM28" s="33"/>
      <c r="AN28" s="33"/>
      <c r="AO28" s="33"/>
      <c r="AP28" s="33"/>
    </row>
    <row r="29" ht="25.5" customHeight="1">
      <c r="A29" s="27">
        <f t="shared" si="3"/>
        <v>28</v>
      </c>
      <c r="B29" s="27" t="s">
        <v>32</v>
      </c>
      <c r="C29" s="27" t="s">
        <v>63</v>
      </c>
      <c r="D29" s="27" t="s">
        <v>34</v>
      </c>
      <c r="E29" s="28" t="str">
        <f t="shared" si="8"/>
        <v>SI</v>
      </c>
      <c r="F29" s="30" t="s">
        <v>60</v>
      </c>
      <c r="G29" s="30" t="s">
        <v>36</v>
      </c>
      <c r="H29" s="27" t="s">
        <v>248</v>
      </c>
      <c r="I29" s="27" t="s">
        <v>38</v>
      </c>
      <c r="J29" s="27" t="s">
        <v>567</v>
      </c>
      <c r="K29" s="27" t="s">
        <v>568</v>
      </c>
      <c r="L29" s="27" t="str">
        <f t="shared" si="9"/>
        <v>Carrera 72 # 10 Bis-21, El Limonar, Cali</v>
      </c>
      <c r="M29" s="27" t="s">
        <v>569</v>
      </c>
      <c r="N29" s="27" t="s">
        <v>41</v>
      </c>
      <c r="O29" s="27"/>
      <c r="P29" s="27"/>
      <c r="Q29" s="27" t="s">
        <v>572</v>
      </c>
      <c r="R29" s="30">
        <v>1.0</v>
      </c>
      <c r="S29" s="30"/>
      <c r="T29" s="30"/>
      <c r="U29" s="27">
        <v>11.0</v>
      </c>
      <c r="V29" s="30">
        <v>7.0</v>
      </c>
      <c r="W29" s="30"/>
      <c r="X29" s="33"/>
      <c r="Y29" s="27" t="s">
        <v>575</v>
      </c>
      <c r="Z29" s="27" t="s">
        <v>576</v>
      </c>
      <c r="AA29" s="97" t="s">
        <v>52</v>
      </c>
      <c r="AB29" s="27"/>
      <c r="AC29" s="98"/>
      <c r="AD29" s="27"/>
      <c r="AE29" s="27"/>
      <c r="AF29" s="27"/>
      <c r="AG29" s="27"/>
      <c r="AH29" s="27"/>
      <c r="AI29" s="27"/>
      <c r="AJ29" s="27"/>
      <c r="AK29" s="27"/>
      <c r="AL29" s="27"/>
      <c r="AM29" s="27"/>
      <c r="AN29" s="27"/>
      <c r="AO29" s="27"/>
      <c r="AP29" s="27"/>
    </row>
    <row r="30" ht="25.5" customHeight="1">
      <c r="A30" s="27">
        <f t="shared" si="3"/>
        <v>29</v>
      </c>
      <c r="B30" s="27" t="s">
        <v>32</v>
      </c>
      <c r="C30" s="27" t="s">
        <v>279</v>
      </c>
      <c r="D30" s="27" t="s">
        <v>515</v>
      </c>
      <c r="E30" s="28" t="str">
        <f t="shared" si="8"/>
        <v>SI</v>
      </c>
      <c r="F30" s="30" t="s">
        <v>35</v>
      </c>
      <c r="G30" s="30" t="s">
        <v>36</v>
      </c>
      <c r="H30" s="27" t="s">
        <v>369</v>
      </c>
      <c r="I30" s="27" t="s">
        <v>286</v>
      </c>
      <c r="J30" s="27" t="s">
        <v>584</v>
      </c>
      <c r="K30" s="27"/>
      <c r="L30" s="27" t="str">
        <f t="shared" si="9"/>
        <v>Calle 5E # 40 - 36, Tequendama, Cali</v>
      </c>
      <c r="M30" s="27" t="s">
        <v>231</v>
      </c>
      <c r="N30" s="27" t="s">
        <v>233</v>
      </c>
      <c r="O30" s="27"/>
      <c r="P30" s="27"/>
      <c r="Q30" s="27" t="s">
        <v>284</v>
      </c>
      <c r="R30" s="30"/>
      <c r="S30" s="30"/>
      <c r="T30" s="30">
        <v>1.0</v>
      </c>
      <c r="U30" s="27" t="s">
        <v>467</v>
      </c>
      <c r="V30" s="35"/>
      <c r="W30" s="35"/>
      <c r="X30" s="33"/>
      <c r="Y30" s="27" t="s">
        <v>590</v>
      </c>
      <c r="Z30" s="27" t="s">
        <v>270</v>
      </c>
      <c r="AA30" s="27"/>
      <c r="AB30" s="27"/>
      <c r="AC30" s="98"/>
      <c r="AD30" s="33"/>
      <c r="AE30" s="33"/>
      <c r="AF30" s="33"/>
      <c r="AG30" s="33"/>
      <c r="AH30" s="33"/>
      <c r="AI30" s="33"/>
      <c r="AJ30" s="33"/>
      <c r="AK30" s="33"/>
      <c r="AL30" s="33"/>
      <c r="AM30" s="33"/>
      <c r="AN30" s="33"/>
      <c r="AO30" s="33"/>
      <c r="AP30" s="33"/>
    </row>
    <row r="31" ht="25.5" customHeight="1">
      <c r="A31" s="63">
        <f t="shared" si="3"/>
        <v>30</v>
      </c>
      <c r="B31" s="63" t="s">
        <v>62</v>
      </c>
      <c r="C31" s="65" t="s">
        <v>133</v>
      </c>
      <c r="D31" s="108" t="s">
        <v>223</v>
      </c>
      <c r="E31" s="68" t="s">
        <v>62</v>
      </c>
      <c r="F31" s="70" t="s">
        <v>62</v>
      </c>
      <c r="G31" s="70" t="s">
        <v>62</v>
      </c>
      <c r="H31" s="71" t="s">
        <v>62</v>
      </c>
      <c r="I31" s="71" t="s">
        <v>62</v>
      </c>
      <c r="J31" s="68" t="s">
        <v>62</v>
      </c>
      <c r="K31" s="68" t="s">
        <v>62</v>
      </c>
      <c r="L31" s="68" t="s">
        <v>62</v>
      </c>
      <c r="M31" s="68" t="s">
        <v>62</v>
      </c>
      <c r="N31" s="68" t="s">
        <v>62</v>
      </c>
      <c r="O31" s="68" t="s">
        <v>62</v>
      </c>
      <c r="P31" s="68" t="s">
        <v>62</v>
      </c>
      <c r="Q31" s="68" t="s">
        <v>62</v>
      </c>
      <c r="R31" s="68" t="s">
        <v>62</v>
      </c>
      <c r="S31" s="68"/>
      <c r="T31" s="68" t="s">
        <v>62</v>
      </c>
      <c r="U31" s="68" t="s">
        <v>62</v>
      </c>
      <c r="V31" s="68" t="s">
        <v>62</v>
      </c>
      <c r="W31" s="68" t="s">
        <v>62</v>
      </c>
      <c r="X31" s="68" t="s">
        <v>62</v>
      </c>
      <c r="Y31" s="68" t="s">
        <v>62</v>
      </c>
      <c r="Z31" s="68" t="s">
        <v>62</v>
      </c>
      <c r="AA31" s="68" t="s">
        <v>62</v>
      </c>
      <c r="AB31" s="68" t="s">
        <v>62</v>
      </c>
      <c r="AD31" s="109"/>
      <c r="AE31" s="109"/>
      <c r="AF31" s="109"/>
      <c r="AG31" s="109"/>
      <c r="AH31" s="109"/>
      <c r="AI31" s="109"/>
      <c r="AJ31" s="109"/>
      <c r="AK31" s="109"/>
      <c r="AL31" s="109"/>
      <c r="AM31" s="109"/>
      <c r="AN31" s="109"/>
      <c r="AO31" s="109"/>
      <c r="AP31" s="109"/>
    </row>
    <row r="32" ht="25.5" customHeight="1">
      <c r="A32" s="27">
        <f t="shared" si="3"/>
        <v>31</v>
      </c>
      <c r="B32" s="27" t="s">
        <v>61</v>
      </c>
      <c r="C32" s="27" t="s">
        <v>63</v>
      </c>
      <c r="D32" s="27" t="s">
        <v>64</v>
      </c>
      <c r="E32" s="95" t="str">
        <f t="shared" ref="E32:E51" si="10">IF(OR($B32="ALTA",AND(ISNUMBER($W32),$W32&gt;0),AND($U32&lt;&gt;"",$U32&lt;&gt;"NO")),"SI","")</f>
        <v/>
      </c>
      <c r="F32" s="30" t="s">
        <v>110</v>
      </c>
      <c r="G32" s="30" t="s">
        <v>176</v>
      </c>
      <c r="H32" s="33" t="s">
        <v>466</v>
      </c>
      <c r="I32" s="33" t="s">
        <v>8</v>
      </c>
      <c r="J32" s="27" t="s">
        <v>616</v>
      </c>
      <c r="K32" s="27" t="s">
        <v>617</v>
      </c>
      <c r="L32" s="27" t="str">
        <f t="shared" ref="L32:L51" si="11">CONCATENATE(J32,", ",H32,", Cali")</f>
        <v>Calle 14 #5-20, San Pedro, Cali</v>
      </c>
      <c r="M32" s="27" t="s">
        <v>231</v>
      </c>
      <c r="N32" s="27" t="s">
        <v>233</v>
      </c>
      <c r="O32" s="142" t="s">
        <v>46</v>
      </c>
      <c r="P32" s="27"/>
      <c r="Q32" s="27" t="s">
        <v>81</v>
      </c>
      <c r="R32" s="30"/>
      <c r="S32" s="30"/>
      <c r="T32" s="30">
        <v>1.0</v>
      </c>
      <c r="U32" s="27"/>
      <c r="V32" s="35"/>
      <c r="W32" s="35"/>
      <c r="X32" s="33"/>
      <c r="Y32" s="33"/>
      <c r="Z32" s="33"/>
      <c r="AA32" s="33"/>
      <c r="AB32" s="33"/>
      <c r="AD32" s="22"/>
      <c r="AE32" s="22"/>
      <c r="AF32" s="22"/>
      <c r="AG32" s="22"/>
      <c r="AH32" s="22"/>
      <c r="AI32" s="22"/>
      <c r="AJ32" s="22"/>
      <c r="AK32" s="22"/>
      <c r="AL32" s="22"/>
      <c r="AM32" s="22"/>
      <c r="AN32" s="22"/>
      <c r="AO32" s="22"/>
      <c r="AP32" s="22"/>
    </row>
    <row r="33" ht="25.5" customHeight="1">
      <c r="A33" s="33">
        <f t="shared" si="3"/>
        <v>32</v>
      </c>
      <c r="B33" s="33" t="s">
        <v>307</v>
      </c>
      <c r="C33" s="33" t="s">
        <v>63</v>
      </c>
      <c r="D33" s="27" t="s">
        <v>34</v>
      </c>
      <c r="E33" s="95" t="str">
        <f t="shared" si="10"/>
        <v/>
      </c>
      <c r="F33" s="30" t="s">
        <v>73</v>
      </c>
      <c r="G33" s="35" t="s">
        <v>176</v>
      </c>
      <c r="H33" s="27" t="s">
        <v>72</v>
      </c>
      <c r="I33" s="27" t="s">
        <v>38</v>
      </c>
      <c r="J33" s="27" t="s">
        <v>618</v>
      </c>
      <c r="K33" s="8"/>
      <c r="L33" s="8" t="str">
        <f t="shared" si="11"/>
        <v>Calle 9 con carrera 22, Alameda, Cali</v>
      </c>
      <c r="M33" s="8" t="s">
        <v>231</v>
      </c>
      <c r="N33" s="8" t="s">
        <v>233</v>
      </c>
      <c r="O33" s="143" t="s">
        <v>46</v>
      </c>
      <c r="P33" s="144"/>
      <c r="Q33" s="144" t="s">
        <v>166</v>
      </c>
      <c r="R33" s="145"/>
      <c r="S33" s="145"/>
      <c r="T33" s="145">
        <v>1.0</v>
      </c>
      <c r="U33" s="144"/>
      <c r="V33" s="10">
        <v>3.0</v>
      </c>
      <c r="W33" s="82"/>
      <c r="X33" s="18"/>
      <c r="Y33" s="8"/>
      <c r="Z33" s="8" t="s">
        <v>63</v>
      </c>
      <c r="AA33" s="20" t="s">
        <v>52</v>
      </c>
      <c r="AB33" s="8"/>
      <c r="AD33" s="39"/>
      <c r="AE33" s="39"/>
      <c r="AF33" s="39"/>
      <c r="AG33" s="39"/>
      <c r="AH33" s="39"/>
      <c r="AI33" s="39"/>
      <c r="AJ33" s="39"/>
      <c r="AK33" s="39"/>
      <c r="AL33" s="39"/>
      <c r="AM33" s="39"/>
      <c r="AN33" s="39"/>
      <c r="AO33" s="39"/>
      <c r="AP33" s="39"/>
    </row>
    <row r="34" ht="25.5" customHeight="1">
      <c r="A34" s="27">
        <f t="shared" si="3"/>
        <v>33</v>
      </c>
      <c r="B34" s="27" t="s">
        <v>61</v>
      </c>
      <c r="C34" s="27" t="s">
        <v>63</v>
      </c>
      <c r="D34" s="27" t="s">
        <v>64</v>
      </c>
      <c r="E34" s="28" t="str">
        <f t="shared" si="10"/>
        <v/>
      </c>
      <c r="F34" s="30" t="s">
        <v>116</v>
      </c>
      <c r="G34" s="30" t="s">
        <v>350</v>
      </c>
      <c r="H34" s="27" t="s">
        <v>495</v>
      </c>
      <c r="I34" s="27" t="s">
        <v>38</v>
      </c>
      <c r="J34" s="33" t="s">
        <v>619</v>
      </c>
      <c r="K34" s="33"/>
      <c r="L34" s="33" t="str">
        <f t="shared" si="11"/>
        <v>Calle 62 carrera 1b, Torres de Comfandi, Cali</v>
      </c>
      <c r="M34" s="33" t="s">
        <v>231</v>
      </c>
      <c r="N34" s="33" t="s">
        <v>233</v>
      </c>
      <c r="O34" s="27"/>
      <c r="P34" s="27"/>
      <c r="Q34" s="27" t="s">
        <v>81</v>
      </c>
      <c r="R34" s="30"/>
      <c r="S34" s="30"/>
      <c r="T34" s="30">
        <v>1.0</v>
      </c>
      <c r="U34" s="27"/>
      <c r="V34" s="35"/>
      <c r="W34" s="35"/>
      <c r="X34" s="33"/>
      <c r="Y34" s="33"/>
      <c r="Z34" s="33"/>
      <c r="AA34" s="33"/>
      <c r="AB34" s="33"/>
      <c r="AD34" s="22"/>
      <c r="AE34" s="22"/>
      <c r="AF34" s="22"/>
      <c r="AG34" s="22"/>
      <c r="AH34" s="22"/>
      <c r="AI34" s="22"/>
      <c r="AJ34" s="22"/>
      <c r="AK34" s="22"/>
      <c r="AL34" s="22"/>
      <c r="AM34" s="22"/>
      <c r="AN34" s="22"/>
      <c r="AO34" s="22"/>
      <c r="AP34" s="22"/>
    </row>
    <row r="35" ht="25.5" customHeight="1">
      <c r="A35" s="27">
        <f t="shared" si="3"/>
        <v>34</v>
      </c>
      <c r="B35" s="27" t="s">
        <v>61</v>
      </c>
      <c r="C35" s="27" t="s">
        <v>63</v>
      </c>
      <c r="D35" s="27" t="s">
        <v>64</v>
      </c>
      <c r="E35" s="28" t="str">
        <f t="shared" si="10"/>
        <v/>
      </c>
      <c r="F35" s="30" t="s">
        <v>110</v>
      </c>
      <c r="G35" s="30" t="s">
        <v>176</v>
      </c>
      <c r="H35" s="27" t="s">
        <v>466</v>
      </c>
      <c r="I35" s="27" t="s">
        <v>338</v>
      </c>
      <c r="J35" s="27" t="s">
        <v>620</v>
      </c>
      <c r="K35" s="27" t="s">
        <v>621</v>
      </c>
      <c r="L35" s="27" t="str">
        <f t="shared" si="11"/>
        <v>Calle 9 #5-59, San Pedro, Cali</v>
      </c>
      <c r="M35" s="27" t="s">
        <v>231</v>
      </c>
      <c r="N35" s="27" t="s">
        <v>233</v>
      </c>
      <c r="O35" s="27"/>
      <c r="P35" s="27"/>
      <c r="Q35" s="27" t="s">
        <v>81</v>
      </c>
      <c r="R35" s="30"/>
      <c r="S35" s="30"/>
      <c r="T35" s="30">
        <v>1.0</v>
      </c>
      <c r="U35" s="33"/>
      <c r="V35" s="33"/>
      <c r="W35" s="33"/>
      <c r="X35" s="33"/>
      <c r="Y35" s="33"/>
      <c r="Z35" s="33"/>
      <c r="AA35" s="33"/>
      <c r="AB35" s="33"/>
      <c r="AD35" s="22"/>
      <c r="AE35" s="22"/>
      <c r="AF35" s="22"/>
      <c r="AG35" s="22"/>
      <c r="AH35" s="22"/>
      <c r="AI35" s="22"/>
      <c r="AJ35" s="22"/>
      <c r="AK35" s="22"/>
      <c r="AL35" s="22"/>
      <c r="AM35" s="22"/>
      <c r="AN35" s="22"/>
      <c r="AO35" s="22"/>
      <c r="AP35" s="22"/>
    </row>
    <row r="36" ht="25.5" customHeight="1">
      <c r="A36" s="27">
        <f t="shared" si="3"/>
        <v>35</v>
      </c>
      <c r="B36" s="27" t="s">
        <v>61</v>
      </c>
      <c r="C36" s="27" t="s">
        <v>63</v>
      </c>
      <c r="D36" s="27" t="s">
        <v>64</v>
      </c>
      <c r="E36" s="28" t="str">
        <f t="shared" si="10"/>
        <v/>
      </c>
      <c r="F36" s="30" t="s">
        <v>110</v>
      </c>
      <c r="G36" s="30" t="s">
        <v>176</v>
      </c>
      <c r="H36" s="27" t="s">
        <v>447</v>
      </c>
      <c r="I36" s="27" t="s">
        <v>38</v>
      </c>
      <c r="J36" s="33" t="s">
        <v>635</v>
      </c>
      <c r="K36" s="33"/>
      <c r="L36" s="33" t="str">
        <f t="shared" si="11"/>
        <v>carrera 10 calle 5, San Bosco, Cali</v>
      </c>
      <c r="M36" s="33" t="s">
        <v>231</v>
      </c>
      <c r="N36" s="33" t="s">
        <v>233</v>
      </c>
      <c r="O36" s="27"/>
      <c r="P36" s="27"/>
      <c r="Q36" s="27" t="s">
        <v>81</v>
      </c>
      <c r="R36" s="30"/>
      <c r="S36" s="30"/>
      <c r="T36" s="30">
        <v>1.0</v>
      </c>
      <c r="U36" s="27"/>
      <c r="V36" s="35"/>
      <c r="W36" s="35"/>
      <c r="X36" s="33"/>
      <c r="Y36" s="33"/>
      <c r="Z36" s="33"/>
      <c r="AA36" s="33"/>
      <c r="AB36" s="33"/>
      <c r="AD36" s="22"/>
      <c r="AE36" s="22"/>
      <c r="AF36" s="22"/>
      <c r="AG36" s="22"/>
      <c r="AH36" s="22"/>
      <c r="AI36" s="22"/>
      <c r="AJ36" s="22"/>
      <c r="AK36" s="22"/>
      <c r="AL36" s="22"/>
      <c r="AM36" s="22"/>
      <c r="AN36" s="22"/>
      <c r="AO36" s="22"/>
      <c r="AP36" s="22"/>
    </row>
    <row r="37" ht="25.5" customHeight="1">
      <c r="A37" s="27">
        <f t="shared" si="3"/>
        <v>36</v>
      </c>
      <c r="B37" s="27" t="s">
        <v>61</v>
      </c>
      <c r="C37" s="27" t="s">
        <v>63</v>
      </c>
      <c r="D37" s="27" t="s">
        <v>64</v>
      </c>
      <c r="E37" s="28" t="str">
        <f t="shared" si="10"/>
        <v>SI</v>
      </c>
      <c r="F37" s="30" t="s">
        <v>116</v>
      </c>
      <c r="G37" s="30" t="s">
        <v>350</v>
      </c>
      <c r="H37" s="27" t="s">
        <v>186</v>
      </c>
      <c r="I37" s="27" t="s">
        <v>38</v>
      </c>
      <c r="J37" s="27" t="s">
        <v>636</v>
      </c>
      <c r="K37" s="27" t="s">
        <v>637</v>
      </c>
      <c r="L37" s="27" t="str">
        <f t="shared" si="11"/>
        <v>Calle 62B # 1A-2-50, Chiminangos II, Cali</v>
      </c>
      <c r="M37" s="27" t="s">
        <v>231</v>
      </c>
      <c r="N37" s="27" t="s">
        <v>233</v>
      </c>
      <c r="O37" s="27"/>
      <c r="P37" s="27"/>
      <c r="Q37" s="27" t="s">
        <v>81</v>
      </c>
      <c r="R37" s="30"/>
      <c r="S37" s="30"/>
      <c r="T37" s="30">
        <v>1.0</v>
      </c>
      <c r="U37" s="27">
        <v>2.0</v>
      </c>
      <c r="V37" s="27"/>
      <c r="W37" s="27">
        <v>1.0</v>
      </c>
      <c r="X37" s="27"/>
      <c r="Y37" s="33"/>
      <c r="Z37" s="27" t="s">
        <v>638</v>
      </c>
      <c r="AA37" s="27"/>
      <c r="AB37" s="27"/>
      <c r="AD37" s="39"/>
      <c r="AE37" s="39"/>
      <c r="AF37" s="39"/>
      <c r="AG37" s="39"/>
      <c r="AH37" s="39"/>
      <c r="AI37" s="39"/>
      <c r="AJ37" s="39"/>
      <c r="AK37" s="39"/>
      <c r="AL37" s="39"/>
      <c r="AM37" s="39"/>
      <c r="AN37" s="39"/>
      <c r="AO37" s="39"/>
      <c r="AP37" s="39"/>
    </row>
    <row r="38" ht="25.5" customHeight="1">
      <c r="A38" s="27">
        <f t="shared" si="3"/>
        <v>37</v>
      </c>
      <c r="B38" s="27" t="s">
        <v>61</v>
      </c>
      <c r="C38" s="27" t="s">
        <v>63</v>
      </c>
      <c r="D38" s="27" t="s">
        <v>64</v>
      </c>
      <c r="E38" s="28" t="str">
        <f t="shared" si="10"/>
        <v/>
      </c>
      <c r="F38" s="30" t="s">
        <v>70</v>
      </c>
      <c r="G38" s="30" t="s">
        <v>36</v>
      </c>
      <c r="H38" s="27" t="s">
        <v>211</v>
      </c>
      <c r="I38" s="27" t="s">
        <v>639</v>
      </c>
      <c r="J38" s="146" t="s">
        <v>640</v>
      </c>
      <c r="K38" s="146" t="s">
        <v>641</v>
      </c>
      <c r="L38" s="146" t="str">
        <f t="shared" si="11"/>
        <v>Calle 10 #33-51, Colseguros, Cali</v>
      </c>
      <c r="M38" s="147" t="s">
        <v>231</v>
      </c>
      <c r="N38" s="148" t="s">
        <v>642</v>
      </c>
      <c r="O38" s="27" t="s">
        <v>46</v>
      </c>
      <c r="P38" s="27"/>
      <c r="Q38" s="27" t="s">
        <v>643</v>
      </c>
      <c r="R38" s="30"/>
      <c r="S38" s="30"/>
      <c r="T38" s="30">
        <v>1.0</v>
      </c>
      <c r="U38" s="33"/>
      <c r="V38" s="35"/>
      <c r="W38" s="35"/>
      <c r="X38" s="35">
        <v>1.0</v>
      </c>
      <c r="Y38" s="33"/>
      <c r="Z38" s="27" t="s">
        <v>647</v>
      </c>
      <c r="AA38" s="27"/>
      <c r="AB38" s="27"/>
      <c r="AD38" s="39"/>
      <c r="AE38" s="39"/>
      <c r="AF38" s="39"/>
      <c r="AG38" s="39"/>
      <c r="AH38" s="39"/>
      <c r="AI38" s="39"/>
      <c r="AJ38" s="39"/>
      <c r="AK38" s="39"/>
      <c r="AL38" s="39"/>
      <c r="AM38" s="39"/>
      <c r="AN38" s="39"/>
      <c r="AO38" s="39"/>
      <c r="AP38" s="39"/>
    </row>
    <row r="39" ht="25.5" customHeight="1">
      <c r="A39" s="27">
        <f t="shared" si="3"/>
        <v>38</v>
      </c>
      <c r="B39" s="27" t="s">
        <v>61</v>
      </c>
      <c r="C39" s="27" t="s">
        <v>63</v>
      </c>
      <c r="D39" s="27" t="s">
        <v>64</v>
      </c>
      <c r="E39" s="28" t="str">
        <f t="shared" si="10"/>
        <v>SI</v>
      </c>
      <c r="F39" s="30" t="s">
        <v>116</v>
      </c>
      <c r="G39" s="30" t="s">
        <v>350</v>
      </c>
      <c r="H39" s="27" t="s">
        <v>115</v>
      </c>
      <c r="I39" s="27" t="s">
        <v>38</v>
      </c>
      <c r="J39" s="33" t="s">
        <v>658</v>
      </c>
      <c r="K39" s="33"/>
      <c r="L39" s="33" t="str">
        <f t="shared" si="11"/>
        <v>carrera 1 bis con calle 59, Barranquilla, Cali</v>
      </c>
      <c r="M39" s="33" t="s">
        <v>231</v>
      </c>
      <c r="N39" s="33" t="s">
        <v>233</v>
      </c>
      <c r="O39" s="27"/>
      <c r="P39" s="27"/>
      <c r="Q39" s="27" t="s">
        <v>81</v>
      </c>
      <c r="R39" s="30"/>
      <c r="S39" s="30"/>
      <c r="T39" s="30">
        <v>1.0</v>
      </c>
      <c r="U39" s="33"/>
      <c r="V39" s="35"/>
      <c r="W39" s="30">
        <v>1.0</v>
      </c>
      <c r="X39" s="33"/>
      <c r="Y39" s="27" t="s">
        <v>660</v>
      </c>
      <c r="Z39" s="27" t="s">
        <v>661</v>
      </c>
      <c r="AA39" s="27"/>
      <c r="AB39" s="27"/>
      <c r="AD39" s="39"/>
      <c r="AE39" s="39"/>
      <c r="AF39" s="39"/>
      <c r="AG39" s="39"/>
      <c r="AH39" s="39"/>
      <c r="AI39" s="39"/>
      <c r="AJ39" s="39"/>
      <c r="AK39" s="39"/>
      <c r="AL39" s="39"/>
      <c r="AM39" s="39"/>
      <c r="AN39" s="39"/>
      <c r="AO39" s="39"/>
      <c r="AP39" s="39"/>
    </row>
    <row r="40" ht="25.5" customHeight="1">
      <c r="A40" s="27">
        <f t="shared" si="3"/>
        <v>39</v>
      </c>
      <c r="B40" s="27" t="s">
        <v>61</v>
      </c>
      <c r="C40" s="27" t="s">
        <v>63</v>
      </c>
      <c r="D40" s="27" t="s">
        <v>64</v>
      </c>
      <c r="E40" s="28" t="str">
        <f t="shared" si="10"/>
        <v/>
      </c>
      <c r="F40" s="30" t="s">
        <v>35</v>
      </c>
      <c r="G40" s="30" t="s">
        <v>36</v>
      </c>
      <c r="H40" s="27" t="s">
        <v>406</v>
      </c>
      <c r="I40" s="27" t="s">
        <v>38</v>
      </c>
      <c r="J40" s="27" t="s">
        <v>665</v>
      </c>
      <c r="K40" s="27" t="s">
        <v>667</v>
      </c>
      <c r="L40" s="27" t="str">
        <f t="shared" si="11"/>
        <v>Calle 5 e 46 82 conunto 4 apto 302 b, Nuevo Tequendama, Cali</v>
      </c>
      <c r="M40" s="27" t="s">
        <v>231</v>
      </c>
      <c r="N40" s="27" t="s">
        <v>233</v>
      </c>
      <c r="O40" s="27"/>
      <c r="P40" s="27"/>
      <c r="Q40" s="27" t="s">
        <v>81</v>
      </c>
      <c r="R40" s="30"/>
      <c r="S40" s="30"/>
      <c r="T40" s="30">
        <v>1.0</v>
      </c>
      <c r="U40" s="33"/>
      <c r="V40" s="35"/>
      <c r="W40" s="35"/>
      <c r="X40" s="33"/>
      <c r="Y40" s="33"/>
      <c r="Z40" s="33"/>
      <c r="AA40" s="33"/>
      <c r="AB40" s="33"/>
      <c r="AD40" s="22"/>
      <c r="AE40" s="22"/>
      <c r="AF40" s="22"/>
      <c r="AG40" s="22"/>
      <c r="AH40" s="22"/>
      <c r="AI40" s="22"/>
      <c r="AJ40" s="22"/>
      <c r="AK40" s="22"/>
      <c r="AL40" s="22"/>
      <c r="AM40" s="22"/>
      <c r="AN40" s="22"/>
      <c r="AO40" s="22"/>
      <c r="AP40" s="22"/>
    </row>
    <row r="41" ht="25.5" customHeight="1">
      <c r="A41" s="27">
        <f t="shared" si="3"/>
        <v>40</v>
      </c>
      <c r="B41" s="27" t="s">
        <v>61</v>
      </c>
      <c r="C41" s="27" t="s">
        <v>63</v>
      </c>
      <c r="D41" s="27" t="s">
        <v>34</v>
      </c>
      <c r="E41" s="28" t="str">
        <f t="shared" si="10"/>
        <v/>
      </c>
      <c r="F41" s="30" t="s">
        <v>35</v>
      </c>
      <c r="G41" s="30" t="s">
        <v>36</v>
      </c>
      <c r="H41" s="27" t="s">
        <v>255</v>
      </c>
      <c r="I41" s="27" t="s">
        <v>38</v>
      </c>
      <c r="J41" s="27" t="s">
        <v>671</v>
      </c>
      <c r="K41" s="27"/>
      <c r="L41" s="27" t="str">
        <f t="shared" si="11"/>
        <v>carrera 68 con calle 3b 61, El Refugio, Cali</v>
      </c>
      <c r="M41" s="27" t="s">
        <v>231</v>
      </c>
      <c r="N41" s="27" t="s">
        <v>233</v>
      </c>
      <c r="O41" s="27"/>
      <c r="P41" s="27"/>
      <c r="Q41" s="27" t="s">
        <v>271</v>
      </c>
      <c r="R41" s="30"/>
      <c r="S41" s="30"/>
      <c r="T41" s="30">
        <v>1.0</v>
      </c>
      <c r="U41" s="27"/>
      <c r="V41" s="35"/>
      <c r="W41" s="35"/>
      <c r="X41" s="33"/>
      <c r="Y41" s="33"/>
      <c r="Z41" s="33" t="s">
        <v>63</v>
      </c>
      <c r="AA41" s="33"/>
      <c r="AB41" s="33"/>
      <c r="AC41" s="98"/>
      <c r="AD41" s="33"/>
      <c r="AE41" s="33"/>
      <c r="AF41" s="33"/>
      <c r="AG41" s="33"/>
      <c r="AH41" s="33"/>
      <c r="AI41" s="33"/>
      <c r="AJ41" s="33"/>
      <c r="AK41" s="33"/>
      <c r="AL41" s="33"/>
      <c r="AM41" s="33"/>
      <c r="AN41" s="33"/>
      <c r="AO41" s="33"/>
      <c r="AP41" s="33"/>
    </row>
    <row r="42" ht="25.5" customHeight="1">
      <c r="A42" s="27">
        <f t="shared" si="3"/>
        <v>41</v>
      </c>
      <c r="B42" s="27" t="s">
        <v>61</v>
      </c>
      <c r="C42" s="27" t="s">
        <v>63</v>
      </c>
      <c r="D42" s="27" t="s">
        <v>64</v>
      </c>
      <c r="E42" s="28" t="str">
        <f t="shared" si="10"/>
        <v/>
      </c>
      <c r="F42" s="30" t="s">
        <v>35</v>
      </c>
      <c r="G42" s="30" t="s">
        <v>36</v>
      </c>
      <c r="H42" s="27" t="s">
        <v>278</v>
      </c>
      <c r="I42" s="27" t="s">
        <v>38</v>
      </c>
      <c r="J42" s="33" t="s">
        <v>677</v>
      </c>
      <c r="K42" s="33"/>
      <c r="L42" s="33" t="str">
        <f t="shared" si="11"/>
        <v>CR 36 5- 21-20, San Fernando, Cali</v>
      </c>
      <c r="M42" s="151" t="s">
        <v>679</v>
      </c>
      <c r="N42" s="151" t="s">
        <v>233</v>
      </c>
      <c r="O42" s="27"/>
      <c r="P42" s="27"/>
      <c r="Q42" s="27" t="s">
        <v>81</v>
      </c>
      <c r="R42" s="30"/>
      <c r="S42" s="30"/>
      <c r="T42" s="30">
        <v>1.0</v>
      </c>
      <c r="U42" s="33"/>
      <c r="V42" s="35"/>
      <c r="W42" s="35"/>
      <c r="X42" s="33"/>
      <c r="Y42" s="33"/>
      <c r="Z42" s="33"/>
      <c r="AA42" s="33"/>
      <c r="AB42" s="33"/>
      <c r="AD42" s="22"/>
      <c r="AE42" s="22"/>
      <c r="AF42" s="22"/>
      <c r="AG42" s="22"/>
      <c r="AH42" s="22"/>
      <c r="AI42" s="22"/>
      <c r="AJ42" s="22"/>
      <c r="AK42" s="22"/>
      <c r="AL42" s="22"/>
      <c r="AM42" s="22"/>
      <c r="AN42" s="22"/>
      <c r="AO42" s="22"/>
      <c r="AP42" s="22"/>
    </row>
    <row r="43" ht="25.5" customHeight="1">
      <c r="A43" s="27">
        <f t="shared" si="3"/>
        <v>42</v>
      </c>
      <c r="B43" s="27" t="s">
        <v>61</v>
      </c>
      <c r="C43" s="27" t="s">
        <v>63</v>
      </c>
      <c r="D43" s="27" t="s">
        <v>64</v>
      </c>
      <c r="E43" s="28" t="str">
        <f t="shared" si="10"/>
        <v/>
      </c>
      <c r="F43" s="30" t="s">
        <v>110</v>
      </c>
      <c r="G43" s="30" t="s">
        <v>176</v>
      </c>
      <c r="H43" s="27" t="s">
        <v>447</v>
      </c>
      <c r="I43" s="27" t="s">
        <v>38</v>
      </c>
      <c r="J43" s="27" t="s">
        <v>684</v>
      </c>
      <c r="K43" s="27" t="s">
        <v>685</v>
      </c>
      <c r="L43" s="27" t="str">
        <f t="shared" si="11"/>
        <v>Calle 5 con 13 y 14, San Bosco, Cali</v>
      </c>
      <c r="M43" s="142" t="s">
        <v>679</v>
      </c>
      <c r="N43" s="142" t="s">
        <v>233</v>
      </c>
      <c r="O43" s="27"/>
      <c r="P43" s="27"/>
      <c r="Q43" s="27" t="s">
        <v>81</v>
      </c>
      <c r="R43" s="30"/>
      <c r="S43" s="30"/>
      <c r="T43" s="30">
        <v>1.0</v>
      </c>
      <c r="U43" s="33"/>
      <c r="V43" s="35"/>
      <c r="W43" s="35"/>
      <c r="X43" s="33"/>
      <c r="Y43" s="33"/>
      <c r="Z43" s="33"/>
      <c r="AA43" s="33"/>
      <c r="AB43" s="33"/>
      <c r="AD43" s="22"/>
      <c r="AE43" s="22"/>
      <c r="AF43" s="22"/>
      <c r="AG43" s="22"/>
      <c r="AH43" s="22"/>
      <c r="AI43" s="22"/>
      <c r="AJ43" s="22"/>
      <c r="AK43" s="22"/>
      <c r="AL43" s="22"/>
      <c r="AM43" s="22"/>
      <c r="AN43" s="22"/>
      <c r="AO43" s="22"/>
      <c r="AP43" s="22"/>
    </row>
    <row r="44" ht="25.5" customHeight="1">
      <c r="A44" s="27">
        <f t="shared" si="3"/>
        <v>43</v>
      </c>
      <c r="B44" s="27" t="s">
        <v>32</v>
      </c>
      <c r="C44" s="27" t="s">
        <v>63</v>
      </c>
      <c r="D44" s="27" t="s">
        <v>34</v>
      </c>
      <c r="E44" s="28" t="str">
        <f t="shared" si="10"/>
        <v>SI</v>
      </c>
      <c r="F44" s="30" t="s">
        <v>35</v>
      </c>
      <c r="G44" s="30" t="s">
        <v>36</v>
      </c>
      <c r="H44" s="27" t="s">
        <v>369</v>
      </c>
      <c r="I44" s="27" t="s">
        <v>38</v>
      </c>
      <c r="J44" s="27" t="s">
        <v>689</v>
      </c>
      <c r="K44" s="27"/>
      <c r="L44" s="27" t="str">
        <f t="shared" si="11"/>
        <v>Cra. 41 &amp; Av. Roosevelt
Zona: Sur, Tequendama, Cali</v>
      </c>
      <c r="M44" s="154" t="s">
        <v>41</v>
      </c>
      <c r="N44" s="154" t="s">
        <v>41</v>
      </c>
      <c r="O44" s="155" t="s">
        <v>46</v>
      </c>
      <c r="P44" s="27"/>
      <c r="Q44" s="27" t="s">
        <v>166</v>
      </c>
      <c r="R44" s="30">
        <v>1.0</v>
      </c>
      <c r="S44" s="30"/>
      <c r="T44" s="30"/>
      <c r="U44" s="27"/>
      <c r="V44" s="35"/>
      <c r="W44" s="35"/>
      <c r="X44" s="33"/>
      <c r="Y44" s="33"/>
      <c r="Z44" s="27" t="s">
        <v>692</v>
      </c>
      <c r="AA44" s="97" t="s">
        <v>52</v>
      </c>
      <c r="AB44" s="27"/>
      <c r="AC44" s="98"/>
      <c r="AD44" s="33"/>
      <c r="AE44" s="33"/>
      <c r="AF44" s="33"/>
      <c r="AG44" s="33"/>
      <c r="AH44" s="33"/>
      <c r="AI44" s="33"/>
      <c r="AJ44" s="33"/>
      <c r="AK44" s="33"/>
      <c r="AL44" s="33"/>
      <c r="AM44" s="33"/>
      <c r="AN44" s="33"/>
      <c r="AO44" s="33"/>
      <c r="AP44" s="33"/>
    </row>
    <row r="45" ht="25.5" customHeight="1">
      <c r="A45" s="27">
        <f t="shared" si="3"/>
        <v>44</v>
      </c>
      <c r="B45" s="27" t="s">
        <v>61</v>
      </c>
      <c r="C45" s="27" t="s">
        <v>33</v>
      </c>
      <c r="D45" s="27" t="s">
        <v>223</v>
      </c>
      <c r="E45" s="28" t="str">
        <f t="shared" si="10"/>
        <v/>
      </c>
      <c r="F45" s="30" t="s">
        <v>35</v>
      </c>
      <c r="G45" s="30" t="s">
        <v>36</v>
      </c>
      <c r="H45" s="27" t="s">
        <v>227</v>
      </c>
      <c r="I45" s="27" t="s">
        <v>286</v>
      </c>
      <c r="J45" s="27" t="s">
        <v>693</v>
      </c>
      <c r="K45" s="27"/>
      <c r="L45" s="27" t="str">
        <f t="shared" si="11"/>
        <v>Calle 7 con Carrera 41, Los Cámbulos, Cali</v>
      </c>
      <c r="M45" s="27" t="s">
        <v>231</v>
      </c>
      <c r="N45" s="27" t="s">
        <v>233</v>
      </c>
      <c r="O45" s="27"/>
      <c r="P45" s="27"/>
      <c r="Q45" s="27" t="s">
        <v>166</v>
      </c>
      <c r="R45" s="30"/>
      <c r="S45" s="30"/>
      <c r="T45" s="30">
        <v>1.0</v>
      </c>
      <c r="U45" s="33"/>
      <c r="V45" s="35"/>
      <c r="W45" s="35"/>
      <c r="X45" s="33"/>
      <c r="Y45" s="33"/>
      <c r="Z45" s="27" t="s">
        <v>694</v>
      </c>
      <c r="AA45" s="27"/>
      <c r="AB45" s="27"/>
      <c r="AC45" s="98"/>
      <c r="AD45" s="33"/>
      <c r="AE45" s="33"/>
      <c r="AF45" s="33"/>
      <c r="AG45" s="33"/>
      <c r="AH45" s="33"/>
      <c r="AI45" s="33"/>
      <c r="AJ45" s="33"/>
      <c r="AK45" s="33"/>
      <c r="AL45" s="33"/>
      <c r="AM45" s="33"/>
      <c r="AN45" s="33"/>
      <c r="AO45" s="33"/>
      <c r="AP45" s="33"/>
    </row>
    <row r="46" ht="25.5" customHeight="1">
      <c r="A46" s="27">
        <f t="shared" si="3"/>
        <v>45</v>
      </c>
      <c r="B46" s="27" t="s">
        <v>61</v>
      </c>
      <c r="C46" s="27" t="s">
        <v>63</v>
      </c>
      <c r="D46" s="27" t="s">
        <v>64</v>
      </c>
      <c r="E46" s="28" t="str">
        <f t="shared" si="10"/>
        <v/>
      </c>
      <c r="F46" s="30" t="s">
        <v>76</v>
      </c>
      <c r="G46" s="30" t="s">
        <v>350</v>
      </c>
      <c r="H46" s="27" t="s">
        <v>470</v>
      </c>
      <c r="I46" s="27" t="s">
        <v>639</v>
      </c>
      <c r="J46" s="27" t="s">
        <v>695</v>
      </c>
      <c r="K46" s="27" t="s">
        <v>696</v>
      </c>
      <c r="L46" s="27" t="str">
        <f t="shared" si="11"/>
        <v>Av. 4 Norte #21N-54, San Vicente, Cali</v>
      </c>
      <c r="M46" s="142" t="s">
        <v>679</v>
      </c>
      <c r="N46" s="142" t="s">
        <v>233</v>
      </c>
      <c r="O46" s="27"/>
      <c r="P46" s="27"/>
      <c r="Q46" s="27" t="s">
        <v>81</v>
      </c>
      <c r="R46" s="30"/>
      <c r="S46" s="30"/>
      <c r="T46" s="30">
        <v>1.0</v>
      </c>
      <c r="U46" s="33"/>
      <c r="V46" s="35"/>
      <c r="W46" s="35"/>
      <c r="X46" s="35">
        <v>1.0</v>
      </c>
      <c r="Y46" s="27" t="s">
        <v>660</v>
      </c>
      <c r="Z46" s="33"/>
      <c r="AA46" s="33"/>
      <c r="AB46" s="33"/>
      <c r="AD46" s="22"/>
      <c r="AE46" s="22"/>
      <c r="AF46" s="22"/>
      <c r="AG46" s="22"/>
      <c r="AH46" s="22"/>
      <c r="AI46" s="22"/>
      <c r="AJ46" s="22"/>
      <c r="AK46" s="22"/>
      <c r="AL46" s="22"/>
      <c r="AM46" s="22"/>
      <c r="AN46" s="22"/>
      <c r="AO46" s="22"/>
      <c r="AP46" s="22"/>
    </row>
    <row r="47" ht="25.5" customHeight="1">
      <c r="A47" s="27">
        <f t="shared" si="3"/>
        <v>46</v>
      </c>
      <c r="B47" s="27" t="s">
        <v>61</v>
      </c>
      <c r="C47" s="27" t="s">
        <v>63</v>
      </c>
      <c r="D47" s="27" t="s">
        <v>64</v>
      </c>
      <c r="E47" s="28" t="str">
        <f t="shared" si="10"/>
        <v/>
      </c>
      <c r="F47" s="30" t="s">
        <v>35</v>
      </c>
      <c r="G47" s="30" t="s">
        <v>36</v>
      </c>
      <c r="H47" s="27" t="s">
        <v>264</v>
      </c>
      <c r="I47" s="27" t="s">
        <v>639</v>
      </c>
      <c r="J47" s="27" t="s">
        <v>697</v>
      </c>
      <c r="K47" s="27" t="s">
        <v>698</v>
      </c>
      <c r="L47" s="27" t="str">
        <f t="shared" si="11"/>
        <v>Carrera 34 #7-00, El templete, Cali</v>
      </c>
      <c r="M47" s="142" t="s">
        <v>679</v>
      </c>
      <c r="N47" s="142" t="s">
        <v>233</v>
      </c>
      <c r="O47" s="27"/>
      <c r="P47" s="27"/>
      <c r="Q47" s="27" t="s">
        <v>81</v>
      </c>
      <c r="R47" s="30"/>
      <c r="S47" s="30"/>
      <c r="T47" s="30">
        <v>1.0</v>
      </c>
      <c r="U47" s="33"/>
      <c r="V47" s="35"/>
      <c r="W47" s="35"/>
      <c r="X47" s="35">
        <v>1.0</v>
      </c>
      <c r="Y47" s="33"/>
      <c r="Z47" s="27" t="s">
        <v>699</v>
      </c>
      <c r="AA47" s="27"/>
      <c r="AB47" s="27"/>
      <c r="AD47" s="22"/>
      <c r="AE47" s="22"/>
      <c r="AF47" s="22"/>
      <c r="AG47" s="22"/>
      <c r="AH47" s="22"/>
      <c r="AI47" s="22"/>
      <c r="AJ47" s="22"/>
      <c r="AK47" s="22"/>
      <c r="AL47" s="22"/>
      <c r="AM47" s="22"/>
      <c r="AN47" s="22"/>
      <c r="AO47" s="22"/>
      <c r="AP47" s="22"/>
    </row>
    <row r="48" ht="25.5" customHeight="1">
      <c r="A48" s="27">
        <f t="shared" si="3"/>
        <v>47</v>
      </c>
      <c r="B48" s="27" t="s">
        <v>61</v>
      </c>
      <c r="C48" s="27" t="s">
        <v>63</v>
      </c>
      <c r="D48" s="27" t="s">
        <v>64</v>
      </c>
      <c r="E48" s="28" t="str">
        <f t="shared" si="10"/>
        <v/>
      </c>
      <c r="F48" s="30" t="s">
        <v>35</v>
      </c>
      <c r="G48" s="30" t="s">
        <v>36</v>
      </c>
      <c r="H48" s="27" t="s">
        <v>369</v>
      </c>
      <c r="I48" s="27" t="s">
        <v>639</v>
      </c>
      <c r="J48" s="27" t="s">
        <v>700</v>
      </c>
      <c r="K48" s="27" t="s">
        <v>701</v>
      </c>
      <c r="L48" s="27" t="str">
        <f t="shared" si="11"/>
        <v>Calle 5E #43A-34, Tequendama, Cali</v>
      </c>
      <c r="M48" s="142" t="s">
        <v>679</v>
      </c>
      <c r="N48" s="142" t="s">
        <v>233</v>
      </c>
      <c r="O48" s="27"/>
      <c r="P48" s="27"/>
      <c r="Q48" s="27" t="s">
        <v>81</v>
      </c>
      <c r="R48" s="30"/>
      <c r="S48" s="30"/>
      <c r="T48" s="30">
        <v>1.0</v>
      </c>
      <c r="U48" s="33"/>
      <c r="V48" s="35"/>
      <c r="W48" s="35"/>
      <c r="X48" s="35">
        <v>1.0</v>
      </c>
      <c r="Y48" s="33"/>
      <c r="Z48" s="33"/>
      <c r="AA48" s="33"/>
      <c r="AB48" s="33"/>
      <c r="AD48" s="22"/>
      <c r="AE48" s="22"/>
      <c r="AF48" s="22"/>
      <c r="AG48" s="22"/>
      <c r="AH48" s="22"/>
      <c r="AI48" s="22"/>
      <c r="AJ48" s="22"/>
      <c r="AK48" s="22"/>
      <c r="AL48" s="22"/>
      <c r="AM48" s="22"/>
      <c r="AN48" s="22"/>
      <c r="AO48" s="22"/>
      <c r="AP48" s="22"/>
    </row>
    <row r="49" ht="25.5" customHeight="1">
      <c r="A49" s="27">
        <f t="shared" si="3"/>
        <v>48</v>
      </c>
      <c r="B49" s="27" t="s">
        <v>61</v>
      </c>
      <c r="C49" s="27" t="s">
        <v>63</v>
      </c>
      <c r="D49" s="27" t="s">
        <v>64</v>
      </c>
      <c r="E49" s="28" t="str">
        <f t="shared" si="10"/>
        <v/>
      </c>
      <c r="F49" s="30" t="s">
        <v>119</v>
      </c>
      <c r="G49" s="30" t="s">
        <v>350</v>
      </c>
      <c r="H49" s="27" t="s">
        <v>148</v>
      </c>
      <c r="I49" s="27" t="s">
        <v>639</v>
      </c>
      <c r="J49" s="27" t="s">
        <v>702</v>
      </c>
      <c r="K49" s="27" t="s">
        <v>703</v>
      </c>
      <c r="L49" s="27" t="str">
        <f t="shared" si="11"/>
        <v>Av. 3 Norte #32AN-40, Bueno Madrid, Cali</v>
      </c>
      <c r="M49" s="142" t="s">
        <v>679</v>
      </c>
      <c r="N49" s="142" t="s">
        <v>233</v>
      </c>
      <c r="O49" s="27"/>
      <c r="P49" s="27"/>
      <c r="Q49" s="27" t="s">
        <v>81</v>
      </c>
      <c r="R49" s="30"/>
      <c r="S49" s="30"/>
      <c r="T49" s="30">
        <v>1.0</v>
      </c>
      <c r="U49" s="33"/>
      <c r="V49" s="35"/>
      <c r="W49" s="35"/>
      <c r="X49" s="35">
        <v>1.0</v>
      </c>
      <c r="Y49" s="27" t="s">
        <v>660</v>
      </c>
      <c r="Z49" s="33"/>
      <c r="AA49" s="33"/>
      <c r="AB49" s="33"/>
      <c r="AD49" s="22"/>
      <c r="AE49" s="22"/>
      <c r="AF49" s="22"/>
      <c r="AG49" s="22"/>
      <c r="AH49" s="22"/>
      <c r="AI49" s="22"/>
      <c r="AJ49" s="22"/>
      <c r="AK49" s="22"/>
      <c r="AL49" s="22"/>
      <c r="AM49" s="22"/>
      <c r="AN49" s="22"/>
      <c r="AO49" s="22"/>
      <c r="AP49" s="22"/>
    </row>
    <row r="50" ht="25.5" customHeight="1">
      <c r="A50" s="27">
        <f t="shared" si="3"/>
        <v>49</v>
      </c>
      <c r="B50" s="27" t="s">
        <v>61</v>
      </c>
      <c r="C50" s="27" t="s">
        <v>63</v>
      </c>
      <c r="D50" s="27" t="s">
        <v>64</v>
      </c>
      <c r="E50" s="28" t="str">
        <f t="shared" si="10"/>
        <v/>
      </c>
      <c r="F50" s="30" t="s">
        <v>76</v>
      </c>
      <c r="G50" s="30" t="s">
        <v>350</v>
      </c>
      <c r="H50" s="27" t="s">
        <v>109</v>
      </c>
      <c r="I50" s="27" t="s">
        <v>286</v>
      </c>
      <c r="J50" s="27" t="s">
        <v>704</v>
      </c>
      <c r="K50" s="27" t="s">
        <v>109</v>
      </c>
      <c r="L50" s="27" t="str">
        <f t="shared" si="11"/>
        <v>Calle 5N # 60 65, Asturias, Cali</v>
      </c>
      <c r="M50" s="156" t="s">
        <v>679</v>
      </c>
      <c r="N50" s="156" t="s">
        <v>233</v>
      </c>
      <c r="O50" s="27"/>
      <c r="P50" s="27"/>
      <c r="Q50" s="27" t="s">
        <v>81</v>
      </c>
      <c r="R50" s="30"/>
      <c r="S50" s="30"/>
      <c r="T50" s="30">
        <v>1.0</v>
      </c>
      <c r="U50" s="33"/>
      <c r="V50" s="35"/>
      <c r="W50" s="35"/>
      <c r="X50" s="33"/>
      <c r="Y50" s="33"/>
      <c r="Z50" s="33"/>
      <c r="AA50" s="33"/>
      <c r="AB50" s="33"/>
      <c r="AD50" s="22"/>
      <c r="AE50" s="22"/>
      <c r="AF50" s="22"/>
      <c r="AG50" s="22"/>
      <c r="AH50" s="22"/>
      <c r="AI50" s="22"/>
      <c r="AJ50" s="22"/>
      <c r="AK50" s="22"/>
      <c r="AL50" s="22"/>
      <c r="AM50" s="22"/>
      <c r="AN50" s="22"/>
      <c r="AO50" s="22"/>
      <c r="AP50" s="22"/>
    </row>
    <row r="51" ht="25.5" customHeight="1">
      <c r="A51" s="27">
        <f t="shared" si="3"/>
        <v>50</v>
      </c>
      <c r="B51" s="27" t="s">
        <v>61</v>
      </c>
      <c r="C51" s="27" t="s">
        <v>63</v>
      </c>
      <c r="D51" s="27" t="s">
        <v>64</v>
      </c>
      <c r="E51" s="28" t="str">
        <f t="shared" si="10"/>
        <v/>
      </c>
      <c r="F51" s="30" t="s">
        <v>60</v>
      </c>
      <c r="G51" s="30" t="s">
        <v>36</v>
      </c>
      <c r="H51" s="27" t="s">
        <v>463</v>
      </c>
      <c r="I51" s="27" t="s">
        <v>705</v>
      </c>
      <c r="J51" s="27" t="s">
        <v>706</v>
      </c>
      <c r="K51" s="27" t="s">
        <v>707</v>
      </c>
      <c r="L51" s="27" t="str">
        <f t="shared" si="11"/>
        <v>Carrera 80 con Calle 5, San Miguel, Cali</v>
      </c>
      <c r="M51" s="142" t="s">
        <v>679</v>
      </c>
      <c r="N51" s="142" t="s">
        <v>233</v>
      </c>
      <c r="O51" s="27"/>
      <c r="P51" s="27"/>
      <c r="Q51" s="27" t="s">
        <v>81</v>
      </c>
      <c r="R51" s="30"/>
      <c r="S51" s="30"/>
      <c r="T51" s="30">
        <v>1.0</v>
      </c>
      <c r="U51" s="33"/>
      <c r="V51" s="35"/>
      <c r="W51" s="35"/>
      <c r="X51" s="33"/>
      <c r="Y51" s="33"/>
      <c r="Z51" s="33"/>
      <c r="AA51" s="33"/>
      <c r="AB51" s="33"/>
      <c r="AD51" s="22"/>
      <c r="AE51" s="22"/>
      <c r="AF51" s="22"/>
      <c r="AG51" s="22"/>
      <c r="AH51" s="22"/>
      <c r="AI51" s="22"/>
      <c r="AJ51" s="22"/>
      <c r="AK51" s="22"/>
      <c r="AL51" s="22"/>
      <c r="AM51" s="22"/>
      <c r="AN51" s="22"/>
      <c r="AO51" s="22"/>
      <c r="AP51" s="22"/>
    </row>
    <row r="52" ht="25.5" customHeight="1">
      <c r="A52" s="63">
        <f t="shared" si="3"/>
        <v>51</v>
      </c>
      <c r="B52" s="63" t="s">
        <v>62</v>
      </c>
      <c r="C52" s="65" t="s">
        <v>133</v>
      </c>
      <c r="D52" s="108" t="s">
        <v>223</v>
      </c>
      <c r="E52" s="68" t="s">
        <v>62</v>
      </c>
      <c r="F52" s="70" t="s">
        <v>62</v>
      </c>
      <c r="G52" s="70" t="s">
        <v>62</v>
      </c>
      <c r="H52" s="71" t="s">
        <v>62</v>
      </c>
      <c r="I52" s="71" t="s">
        <v>62</v>
      </c>
      <c r="J52" s="68" t="s">
        <v>62</v>
      </c>
      <c r="K52" s="68" t="s">
        <v>62</v>
      </c>
      <c r="L52" s="68" t="s">
        <v>62</v>
      </c>
      <c r="M52" s="68" t="s">
        <v>62</v>
      </c>
      <c r="N52" s="68" t="s">
        <v>62</v>
      </c>
      <c r="O52" s="68" t="s">
        <v>62</v>
      </c>
      <c r="P52" s="68" t="s">
        <v>62</v>
      </c>
      <c r="Q52" s="68" t="s">
        <v>62</v>
      </c>
      <c r="R52" s="68" t="s">
        <v>62</v>
      </c>
      <c r="S52" s="68"/>
      <c r="T52" s="68" t="s">
        <v>62</v>
      </c>
      <c r="U52" s="68" t="s">
        <v>62</v>
      </c>
      <c r="V52" s="68" t="s">
        <v>62</v>
      </c>
      <c r="W52" s="68" t="s">
        <v>62</v>
      </c>
      <c r="X52" s="68" t="s">
        <v>62</v>
      </c>
      <c r="Y52" s="68" t="s">
        <v>62</v>
      </c>
      <c r="Z52" s="68" t="s">
        <v>62</v>
      </c>
      <c r="AA52" s="68" t="s">
        <v>62</v>
      </c>
      <c r="AB52" s="68" t="s">
        <v>62</v>
      </c>
      <c r="AD52" s="109"/>
      <c r="AE52" s="109"/>
      <c r="AF52" s="109"/>
      <c r="AG52" s="109"/>
      <c r="AH52" s="109"/>
      <c r="AI52" s="109"/>
      <c r="AJ52" s="109"/>
      <c r="AK52" s="109"/>
      <c r="AL52" s="109"/>
      <c r="AM52" s="109"/>
      <c r="AN52" s="109"/>
      <c r="AO52" s="109"/>
      <c r="AP52" s="109"/>
    </row>
    <row r="53" ht="25.5" customHeight="1">
      <c r="A53" s="27">
        <f t="shared" si="3"/>
        <v>52</v>
      </c>
      <c r="B53" s="27" t="s">
        <v>61</v>
      </c>
      <c r="C53" s="27" t="s">
        <v>63</v>
      </c>
      <c r="D53" s="27" t="s">
        <v>64</v>
      </c>
      <c r="E53" s="28" t="str">
        <f t="shared" ref="E53:E70" si="12">IF(OR($B53="ALTA",AND(ISNUMBER($W53),$W53&gt;0),AND($U53&lt;&gt;"",$U53&lt;&gt;"NO")),"SI","")</f>
        <v/>
      </c>
      <c r="F53" s="30" t="s">
        <v>35</v>
      </c>
      <c r="G53" s="30" t="s">
        <v>36</v>
      </c>
      <c r="H53" s="27" t="s">
        <v>255</v>
      </c>
      <c r="I53" s="27" t="s">
        <v>38</v>
      </c>
      <c r="J53" s="27" t="s">
        <v>708</v>
      </c>
      <c r="K53" s="27" t="s">
        <v>709</v>
      </c>
      <c r="L53" s="27" t="str">
        <f t="shared" ref="L53:L70" si="13">CONCATENATE(J53,", ",H53,", Cali")</f>
        <v>Calle 3C # 63A-44, El Refugio, Cali</v>
      </c>
      <c r="M53" s="142" t="s">
        <v>679</v>
      </c>
      <c r="N53" s="142" t="s">
        <v>233</v>
      </c>
      <c r="O53" s="27"/>
      <c r="P53" s="27"/>
      <c r="Q53" s="27" t="s">
        <v>81</v>
      </c>
      <c r="R53" s="30"/>
      <c r="S53" s="30"/>
      <c r="T53" s="30">
        <v>1.0</v>
      </c>
      <c r="U53" s="157"/>
      <c r="V53" s="158"/>
      <c r="W53" s="158"/>
      <c r="X53" s="157"/>
      <c r="Y53" s="157"/>
      <c r="Z53" s="33"/>
      <c r="AA53" s="33"/>
      <c r="AB53" s="33"/>
      <c r="AD53" s="22"/>
      <c r="AE53" s="22"/>
      <c r="AF53" s="22"/>
      <c r="AG53" s="22"/>
      <c r="AH53" s="22"/>
      <c r="AI53" s="22"/>
      <c r="AJ53" s="22"/>
      <c r="AK53" s="22"/>
      <c r="AL53" s="22"/>
      <c r="AM53" s="22"/>
      <c r="AN53" s="22"/>
      <c r="AO53" s="22"/>
      <c r="AP53" s="22"/>
    </row>
    <row r="54" ht="25.5" customHeight="1">
      <c r="A54" s="27">
        <f t="shared" si="3"/>
        <v>53</v>
      </c>
      <c r="B54" s="27" t="s">
        <v>61</v>
      </c>
      <c r="C54" s="27" t="s">
        <v>63</v>
      </c>
      <c r="D54" s="27" t="s">
        <v>64</v>
      </c>
      <c r="E54" s="28" t="str">
        <f t="shared" si="12"/>
        <v/>
      </c>
      <c r="F54" s="30" t="s">
        <v>35</v>
      </c>
      <c r="G54" s="30" t="s">
        <v>36</v>
      </c>
      <c r="H54" s="27" t="s">
        <v>369</v>
      </c>
      <c r="I54" s="27" t="s">
        <v>286</v>
      </c>
      <c r="J54" s="27" t="s">
        <v>710</v>
      </c>
      <c r="K54" s="27"/>
      <c r="L54" s="27" t="str">
        <f t="shared" si="13"/>
        <v>Calle 5E # 46 82, Tequendama, Cali</v>
      </c>
      <c r="M54" s="154" t="s">
        <v>679</v>
      </c>
      <c r="N54" s="154" t="s">
        <v>233</v>
      </c>
      <c r="O54" s="27"/>
      <c r="P54" s="27"/>
      <c r="Q54" s="27" t="s">
        <v>81</v>
      </c>
      <c r="R54" s="30"/>
      <c r="S54" s="30"/>
      <c r="T54" s="30">
        <v>1.0</v>
      </c>
      <c r="U54" s="157"/>
      <c r="V54" s="158"/>
      <c r="W54" s="158"/>
      <c r="X54" s="157"/>
      <c r="Y54" s="157"/>
      <c r="Z54" s="33"/>
      <c r="AA54" s="33"/>
      <c r="AB54" s="33"/>
      <c r="AD54" s="22"/>
      <c r="AE54" s="22"/>
      <c r="AF54" s="22"/>
      <c r="AG54" s="22"/>
      <c r="AH54" s="22"/>
      <c r="AI54" s="22"/>
      <c r="AJ54" s="22"/>
      <c r="AK54" s="22"/>
      <c r="AL54" s="22"/>
      <c r="AM54" s="22"/>
      <c r="AN54" s="22"/>
      <c r="AO54" s="22"/>
      <c r="AP54" s="22"/>
    </row>
    <row r="55" ht="25.5" customHeight="1">
      <c r="A55" s="84">
        <f t="shared" si="3"/>
        <v>54</v>
      </c>
      <c r="B55" s="84" t="s">
        <v>32</v>
      </c>
      <c r="C55" s="84" t="s">
        <v>33</v>
      </c>
      <c r="D55" s="84" t="s">
        <v>223</v>
      </c>
      <c r="E55" s="86" t="str">
        <f t="shared" si="12"/>
        <v>SI</v>
      </c>
      <c r="F55" s="88" t="s">
        <v>35</v>
      </c>
      <c r="G55" s="88" t="s">
        <v>36</v>
      </c>
      <c r="H55" s="84" t="s">
        <v>202</v>
      </c>
      <c r="I55" s="84" t="s">
        <v>286</v>
      </c>
      <c r="J55" s="84" t="s">
        <v>711</v>
      </c>
      <c r="K55" s="84"/>
      <c r="L55" s="84" t="str">
        <f t="shared" si="13"/>
        <v>Calle 5 con Carrera 57, Pampalinda, Cali</v>
      </c>
      <c r="M55" s="84" t="s">
        <v>231</v>
      </c>
      <c r="N55" s="84" t="s">
        <v>233</v>
      </c>
      <c r="O55" s="90" t="s">
        <v>46</v>
      </c>
      <c r="P55" s="159"/>
      <c r="Q55" s="159" t="s">
        <v>712</v>
      </c>
      <c r="R55" s="120"/>
      <c r="S55" s="120"/>
      <c r="T55" s="120">
        <v>1.0</v>
      </c>
      <c r="U55" s="159"/>
      <c r="V55" s="160"/>
      <c r="W55" s="160"/>
      <c r="X55" s="119"/>
      <c r="Y55" s="119"/>
      <c r="Z55" s="84" t="s">
        <v>713</v>
      </c>
      <c r="AA55" s="84"/>
      <c r="AB55" s="84"/>
      <c r="AD55" s="39"/>
      <c r="AE55" s="39"/>
      <c r="AF55" s="39"/>
      <c r="AG55" s="39"/>
      <c r="AH55" s="39"/>
      <c r="AI55" s="39"/>
      <c r="AJ55" s="39"/>
      <c r="AK55" s="39"/>
      <c r="AL55" s="39"/>
      <c r="AM55" s="39"/>
      <c r="AN55" s="39"/>
      <c r="AO55" s="39"/>
      <c r="AP55" s="39"/>
    </row>
    <row r="56" ht="25.5" customHeight="1">
      <c r="A56" s="27">
        <f t="shared" si="3"/>
        <v>55</v>
      </c>
      <c r="B56" s="27" t="s">
        <v>61</v>
      </c>
      <c r="C56" s="27" t="s">
        <v>63</v>
      </c>
      <c r="D56" s="27" t="s">
        <v>64</v>
      </c>
      <c r="E56" s="28" t="str">
        <f t="shared" si="12"/>
        <v/>
      </c>
      <c r="F56" s="30" t="s">
        <v>60</v>
      </c>
      <c r="G56" s="30" t="s">
        <v>36</v>
      </c>
      <c r="H56" s="27" t="s">
        <v>504</v>
      </c>
      <c r="I56" s="27" t="s">
        <v>38</v>
      </c>
      <c r="J56" s="27" t="s">
        <v>714</v>
      </c>
      <c r="K56" s="27" t="s">
        <v>715</v>
      </c>
      <c r="L56" s="27" t="str">
        <f t="shared" si="13"/>
        <v>Calle 1B Oeste con Carrera 100, Valle del Lili, Cali</v>
      </c>
      <c r="M56" s="142" t="s">
        <v>679</v>
      </c>
      <c r="N56" s="142" t="s">
        <v>233</v>
      </c>
      <c r="O56" s="27"/>
      <c r="P56" s="27"/>
      <c r="Q56" s="27" t="s">
        <v>81</v>
      </c>
      <c r="R56" s="30"/>
      <c r="S56" s="30"/>
      <c r="T56" s="30">
        <v>1.0</v>
      </c>
      <c r="U56" s="157"/>
      <c r="V56" s="158"/>
      <c r="W56" s="158"/>
      <c r="X56" s="157"/>
      <c r="Y56" s="157"/>
      <c r="Z56" s="33"/>
      <c r="AA56" s="33"/>
      <c r="AB56" s="33"/>
      <c r="AD56" s="22"/>
      <c r="AE56" s="22"/>
      <c r="AF56" s="22"/>
      <c r="AG56" s="22"/>
      <c r="AH56" s="22"/>
      <c r="AI56" s="22"/>
      <c r="AJ56" s="22"/>
      <c r="AK56" s="22"/>
      <c r="AL56" s="22"/>
      <c r="AM56" s="22"/>
      <c r="AN56" s="22"/>
      <c r="AO56" s="22"/>
      <c r="AP56" s="22"/>
    </row>
    <row r="57" ht="25.5" customHeight="1">
      <c r="A57" s="161">
        <f t="shared" si="3"/>
        <v>56</v>
      </c>
      <c r="B57" s="161" t="s">
        <v>32</v>
      </c>
      <c r="C57" s="161" t="s">
        <v>33</v>
      </c>
      <c r="D57" s="161" t="s">
        <v>64</v>
      </c>
      <c r="E57" s="162" t="str">
        <f t="shared" si="12"/>
        <v>SI</v>
      </c>
      <c r="F57" s="163" t="s">
        <v>87</v>
      </c>
      <c r="G57" s="163" t="s">
        <v>36</v>
      </c>
      <c r="H57" s="161" t="s">
        <v>94</v>
      </c>
      <c r="I57" s="161" t="s">
        <v>38</v>
      </c>
      <c r="J57" s="161" t="s">
        <v>716</v>
      </c>
      <c r="K57" s="161" t="s">
        <v>717</v>
      </c>
      <c r="L57" s="161" t="str">
        <f t="shared" si="13"/>
        <v>Calle 1D Oeste # 100 Bis-49, Altos de Santa Elena / Polvorines, Cali</v>
      </c>
      <c r="M57" s="164" t="s">
        <v>679</v>
      </c>
      <c r="N57" s="164" t="s">
        <v>642</v>
      </c>
      <c r="O57" s="161" t="s">
        <v>46</v>
      </c>
      <c r="P57" s="161"/>
      <c r="Q57" s="161" t="s">
        <v>81</v>
      </c>
      <c r="R57" s="163"/>
      <c r="S57" s="163"/>
      <c r="T57" s="163">
        <v>1.0</v>
      </c>
      <c r="U57" s="165"/>
      <c r="V57" s="166"/>
      <c r="W57" s="166"/>
      <c r="X57" s="165"/>
      <c r="Y57" s="165"/>
      <c r="Z57" s="161" t="s">
        <v>718</v>
      </c>
      <c r="AA57" s="167"/>
      <c r="AB57" s="167"/>
      <c r="AD57" s="22"/>
      <c r="AE57" s="22"/>
      <c r="AF57" s="22"/>
      <c r="AG57" s="22"/>
      <c r="AH57" s="22"/>
      <c r="AI57" s="22"/>
      <c r="AJ57" s="22"/>
      <c r="AK57" s="22"/>
      <c r="AL57" s="22"/>
      <c r="AM57" s="22"/>
      <c r="AN57" s="22"/>
      <c r="AO57" s="22"/>
      <c r="AP57" s="22"/>
    </row>
    <row r="58" ht="25.5" customHeight="1">
      <c r="A58" s="27">
        <f t="shared" si="3"/>
        <v>57</v>
      </c>
      <c r="B58" s="27" t="s">
        <v>61</v>
      </c>
      <c r="C58" s="27" t="s">
        <v>63</v>
      </c>
      <c r="D58" s="27" t="s">
        <v>64</v>
      </c>
      <c r="E58" s="28" t="str">
        <f t="shared" si="12"/>
        <v/>
      </c>
      <c r="F58" s="30" t="s">
        <v>76</v>
      </c>
      <c r="G58" s="30" t="s">
        <v>350</v>
      </c>
      <c r="H58" s="27" t="s">
        <v>321</v>
      </c>
      <c r="I58" s="27" t="s">
        <v>38</v>
      </c>
      <c r="J58" s="27" t="s">
        <v>719</v>
      </c>
      <c r="K58" s="27" t="s">
        <v>720</v>
      </c>
      <c r="L58" s="27" t="str">
        <f t="shared" si="13"/>
        <v>Avenida 7N # 56-120, La Flora, Cali</v>
      </c>
      <c r="M58" s="142" t="s">
        <v>679</v>
      </c>
      <c r="N58" s="142" t="s">
        <v>233</v>
      </c>
      <c r="O58" s="27"/>
      <c r="P58" s="27"/>
      <c r="Q58" s="27" t="s">
        <v>81</v>
      </c>
      <c r="R58" s="30"/>
      <c r="S58" s="30"/>
      <c r="T58" s="30">
        <v>1.0</v>
      </c>
      <c r="U58" s="157"/>
      <c r="V58" s="158"/>
      <c r="W58" s="158"/>
      <c r="X58" s="157"/>
      <c r="Y58" s="157"/>
      <c r="Z58" s="33"/>
      <c r="AA58" s="33"/>
      <c r="AB58" s="33"/>
      <c r="AD58" s="22"/>
      <c r="AE58" s="22"/>
      <c r="AF58" s="22"/>
      <c r="AG58" s="22"/>
      <c r="AH58" s="22"/>
      <c r="AI58" s="22"/>
      <c r="AJ58" s="22"/>
      <c r="AK58" s="22"/>
      <c r="AL58" s="22"/>
      <c r="AM58" s="22"/>
      <c r="AN58" s="22"/>
      <c r="AO58" s="22"/>
      <c r="AP58" s="22"/>
    </row>
    <row r="59" ht="25.5" customHeight="1">
      <c r="A59" s="27">
        <f t="shared" si="3"/>
        <v>58</v>
      </c>
      <c r="B59" s="27" t="s">
        <v>61</v>
      </c>
      <c r="C59" s="27" t="s">
        <v>63</v>
      </c>
      <c r="D59" s="27" t="s">
        <v>64</v>
      </c>
      <c r="E59" s="28" t="str">
        <f t="shared" si="12"/>
        <v/>
      </c>
      <c r="F59" s="30" t="s">
        <v>35</v>
      </c>
      <c r="G59" s="30" t="s">
        <v>36</v>
      </c>
      <c r="H59" s="27" t="s">
        <v>227</v>
      </c>
      <c r="I59" s="27" t="s">
        <v>286</v>
      </c>
      <c r="J59" s="27" t="s">
        <v>721</v>
      </c>
      <c r="K59" s="27"/>
      <c r="L59" s="27" t="str">
        <f t="shared" si="13"/>
        <v>Calle 9 con Carrera 45, Los Cámbulos, Cali</v>
      </c>
      <c r="M59" s="154" t="s">
        <v>679</v>
      </c>
      <c r="N59" s="154" t="s">
        <v>233</v>
      </c>
      <c r="O59" s="27"/>
      <c r="P59" s="27"/>
      <c r="Q59" s="27" t="s">
        <v>81</v>
      </c>
      <c r="R59" s="30"/>
      <c r="S59" s="30"/>
      <c r="T59" s="30">
        <v>1.0</v>
      </c>
      <c r="U59" s="157"/>
      <c r="V59" s="158"/>
      <c r="W59" s="158"/>
      <c r="X59" s="157"/>
      <c r="Y59" s="157"/>
      <c r="Z59" s="33"/>
      <c r="AA59" s="33"/>
      <c r="AB59" s="33"/>
      <c r="AD59" s="22"/>
      <c r="AE59" s="22"/>
      <c r="AF59" s="22"/>
      <c r="AG59" s="22"/>
      <c r="AH59" s="22"/>
      <c r="AI59" s="22"/>
      <c r="AJ59" s="22"/>
      <c r="AK59" s="22"/>
      <c r="AL59" s="22"/>
      <c r="AM59" s="22"/>
      <c r="AN59" s="22"/>
      <c r="AO59" s="22"/>
      <c r="AP59" s="22"/>
    </row>
    <row r="60" ht="25.5" customHeight="1">
      <c r="A60" s="84">
        <f t="shared" si="3"/>
        <v>59</v>
      </c>
      <c r="B60" s="84" t="s">
        <v>61</v>
      </c>
      <c r="C60" s="84" t="s">
        <v>33</v>
      </c>
      <c r="D60" s="84" t="s">
        <v>223</v>
      </c>
      <c r="E60" s="86" t="str">
        <f t="shared" si="12"/>
        <v>SI</v>
      </c>
      <c r="F60" s="88" t="s">
        <v>70</v>
      </c>
      <c r="G60" s="88" t="s">
        <v>36</v>
      </c>
      <c r="H60" s="84" t="s">
        <v>211</v>
      </c>
      <c r="I60" s="84" t="s">
        <v>38</v>
      </c>
      <c r="J60" s="84" t="s">
        <v>722</v>
      </c>
      <c r="K60" s="84" t="s">
        <v>723</v>
      </c>
      <c r="L60" s="84" t="str">
        <f t="shared" si="13"/>
        <v>Calle 12B # 33 45, Colseguros, Cali</v>
      </c>
      <c r="M60" s="84" t="s">
        <v>231</v>
      </c>
      <c r="N60" s="84" t="s">
        <v>233</v>
      </c>
      <c r="O60" s="168" t="s">
        <v>46</v>
      </c>
      <c r="P60" s="84"/>
      <c r="Q60" s="84" t="s">
        <v>81</v>
      </c>
      <c r="R60" s="88"/>
      <c r="S60" s="88"/>
      <c r="T60" s="88">
        <v>1.0</v>
      </c>
      <c r="U60" s="120">
        <v>0.0</v>
      </c>
      <c r="V60" s="120">
        <v>0.0</v>
      </c>
      <c r="W60" s="120">
        <v>0.0</v>
      </c>
      <c r="X60" s="120">
        <v>0.0</v>
      </c>
      <c r="Y60" s="159" t="s">
        <v>724</v>
      </c>
      <c r="Z60" s="84" t="s">
        <v>725</v>
      </c>
      <c r="AA60" s="84"/>
      <c r="AB60" s="84"/>
      <c r="AD60" s="22"/>
      <c r="AE60" s="22"/>
      <c r="AF60" s="22"/>
      <c r="AG60" s="22"/>
      <c r="AH60" s="22"/>
      <c r="AI60" s="22"/>
      <c r="AJ60" s="22"/>
      <c r="AK60" s="22"/>
      <c r="AL60" s="22"/>
      <c r="AM60" s="22"/>
      <c r="AN60" s="22"/>
      <c r="AO60" s="22"/>
      <c r="AP60" s="22"/>
    </row>
    <row r="61" ht="25.5" customHeight="1">
      <c r="A61" s="8">
        <f t="shared" si="3"/>
        <v>60</v>
      </c>
      <c r="B61" s="8" t="s">
        <v>32</v>
      </c>
      <c r="C61" s="8" t="s">
        <v>63</v>
      </c>
      <c r="D61" s="8" t="s">
        <v>34</v>
      </c>
      <c r="E61" s="81" t="str">
        <f t="shared" si="12"/>
        <v>SI</v>
      </c>
      <c r="F61" s="10" t="s">
        <v>35</v>
      </c>
      <c r="G61" s="30" t="s">
        <v>36</v>
      </c>
      <c r="H61" s="8" t="s">
        <v>227</v>
      </c>
      <c r="I61" s="8" t="s">
        <v>38</v>
      </c>
      <c r="J61" s="8" t="s">
        <v>726</v>
      </c>
      <c r="K61" s="8" t="s">
        <v>727</v>
      </c>
      <c r="L61" s="8" t="str">
        <f t="shared" si="13"/>
        <v>Calle 9 con Carrera 44, Los Cámbulos, Cali</v>
      </c>
      <c r="M61" s="169" t="s">
        <v>679</v>
      </c>
      <c r="N61" s="169" t="s">
        <v>233</v>
      </c>
      <c r="O61" s="7"/>
      <c r="P61" s="7"/>
      <c r="Q61" s="7" t="s">
        <v>212</v>
      </c>
      <c r="R61" s="13"/>
      <c r="S61" s="13"/>
      <c r="T61" s="13">
        <v>1.0</v>
      </c>
      <c r="U61" s="7" t="s">
        <v>46</v>
      </c>
      <c r="V61" s="118"/>
      <c r="W61" s="118"/>
      <c r="X61" s="16"/>
      <c r="Y61" s="16"/>
      <c r="Z61" s="8" t="s">
        <v>728</v>
      </c>
      <c r="AA61" s="8"/>
      <c r="AB61" s="8"/>
      <c r="AD61" s="39"/>
      <c r="AE61" s="39"/>
      <c r="AF61" s="39"/>
      <c r="AG61" s="39"/>
      <c r="AH61" s="39"/>
      <c r="AI61" s="39"/>
      <c r="AJ61" s="39"/>
      <c r="AK61" s="39"/>
      <c r="AL61" s="39"/>
      <c r="AM61" s="39"/>
      <c r="AN61" s="39"/>
      <c r="AO61" s="39"/>
      <c r="AP61" s="39"/>
    </row>
    <row r="62" ht="25.5" customHeight="1">
      <c r="A62" s="84">
        <f t="shared" si="3"/>
        <v>61</v>
      </c>
      <c r="B62" s="84" t="s">
        <v>61</v>
      </c>
      <c r="C62" s="84" t="s">
        <v>33</v>
      </c>
      <c r="D62" s="84" t="s">
        <v>223</v>
      </c>
      <c r="E62" s="86" t="str">
        <f t="shared" si="12"/>
        <v/>
      </c>
      <c r="F62" s="88" t="s">
        <v>35</v>
      </c>
      <c r="G62" s="88" t="s">
        <v>36</v>
      </c>
      <c r="H62" s="84" t="s">
        <v>455</v>
      </c>
      <c r="I62" s="84" t="s">
        <v>705</v>
      </c>
      <c r="J62" s="84" t="s">
        <v>729</v>
      </c>
      <c r="K62" s="84" t="s">
        <v>730</v>
      </c>
      <c r="L62" s="84" t="str">
        <f t="shared" si="13"/>
        <v>Calle 5B4 #36B-45, San Fernando Nuevo, Cali</v>
      </c>
      <c r="M62" s="168" t="s">
        <v>679</v>
      </c>
      <c r="N62" s="168" t="s">
        <v>233</v>
      </c>
      <c r="O62" s="84"/>
      <c r="P62" s="84"/>
      <c r="Q62" s="84" t="s">
        <v>284</v>
      </c>
      <c r="R62" s="88"/>
      <c r="S62" s="88"/>
      <c r="T62" s="88">
        <v>1.0</v>
      </c>
      <c r="U62" s="84" t="s">
        <v>731</v>
      </c>
      <c r="V62" s="88"/>
      <c r="W62" s="88"/>
      <c r="X62" s="93"/>
      <c r="Y62" s="84" t="s">
        <v>359</v>
      </c>
      <c r="Z62" s="84" t="s">
        <v>732</v>
      </c>
      <c r="AA62" s="84"/>
      <c r="AB62" s="84"/>
      <c r="AD62" s="39"/>
      <c r="AE62" s="39"/>
      <c r="AF62" s="39"/>
      <c r="AG62" s="39"/>
      <c r="AH62" s="39"/>
      <c r="AI62" s="39"/>
      <c r="AJ62" s="39"/>
      <c r="AK62" s="39"/>
      <c r="AL62" s="39"/>
      <c r="AM62" s="39"/>
      <c r="AN62" s="39"/>
      <c r="AO62" s="39"/>
      <c r="AP62" s="39"/>
    </row>
    <row r="63" ht="25.5" customHeight="1">
      <c r="A63" s="27">
        <f t="shared" si="3"/>
        <v>62</v>
      </c>
      <c r="B63" s="27" t="s">
        <v>61</v>
      </c>
      <c r="C63" s="27" t="s">
        <v>63</v>
      </c>
      <c r="D63" s="27" t="s">
        <v>64</v>
      </c>
      <c r="E63" s="28" t="str">
        <f t="shared" si="12"/>
        <v/>
      </c>
      <c r="F63" s="30" t="s">
        <v>110</v>
      </c>
      <c r="G63" s="30" t="s">
        <v>176</v>
      </c>
      <c r="H63" s="27" t="s">
        <v>466</v>
      </c>
      <c r="I63" s="27" t="s">
        <v>286</v>
      </c>
      <c r="J63" s="27" t="s">
        <v>733</v>
      </c>
      <c r="K63" s="27"/>
      <c r="L63" s="27" t="str">
        <f t="shared" si="13"/>
        <v>Calle 8 con Carrera 8, San Pedro, Cali</v>
      </c>
      <c r="M63" s="154" t="s">
        <v>679</v>
      </c>
      <c r="N63" s="154" t="s">
        <v>233</v>
      </c>
      <c r="O63" s="27"/>
      <c r="P63" s="27"/>
      <c r="Q63" s="27" t="s">
        <v>81</v>
      </c>
      <c r="R63" s="30"/>
      <c r="S63" s="30"/>
      <c r="T63" s="30">
        <v>1.0</v>
      </c>
      <c r="U63" s="33"/>
      <c r="V63" s="35"/>
      <c r="W63" s="35"/>
      <c r="X63" s="33"/>
      <c r="Y63" s="33"/>
      <c r="Z63" s="33"/>
      <c r="AA63" s="33"/>
      <c r="AB63" s="33"/>
      <c r="AD63" s="22"/>
      <c r="AE63" s="22"/>
      <c r="AF63" s="22"/>
      <c r="AG63" s="22"/>
      <c r="AH63" s="22"/>
      <c r="AI63" s="22"/>
      <c r="AJ63" s="22"/>
      <c r="AK63" s="22"/>
      <c r="AL63" s="22"/>
      <c r="AM63" s="22"/>
      <c r="AN63" s="22"/>
      <c r="AO63" s="22"/>
      <c r="AP63" s="22"/>
    </row>
    <row r="64" ht="25.5" customHeight="1">
      <c r="A64" s="27">
        <f t="shared" si="3"/>
        <v>63</v>
      </c>
      <c r="B64" s="27" t="s">
        <v>61</v>
      </c>
      <c r="C64" s="27" t="s">
        <v>63</v>
      </c>
      <c r="D64" s="27" t="s">
        <v>64</v>
      </c>
      <c r="E64" s="28" t="str">
        <f t="shared" si="12"/>
        <v/>
      </c>
      <c r="F64" s="30" t="s">
        <v>60</v>
      </c>
      <c r="G64" s="30" t="s">
        <v>36</v>
      </c>
      <c r="H64" s="27" t="s">
        <v>248</v>
      </c>
      <c r="I64" s="27" t="s">
        <v>38</v>
      </c>
      <c r="J64" s="27" t="s">
        <v>734</v>
      </c>
      <c r="K64" s="27"/>
      <c r="L64" s="27" t="str">
        <f t="shared" si="13"/>
        <v>Carrera 63 # 2A 3, El Limonar, Cali</v>
      </c>
      <c r="M64" s="154" t="s">
        <v>679</v>
      </c>
      <c r="N64" s="154" t="s">
        <v>233</v>
      </c>
      <c r="O64" s="27"/>
      <c r="P64" s="27"/>
      <c r="Q64" s="27" t="s">
        <v>81</v>
      </c>
      <c r="R64" s="30"/>
      <c r="S64" s="30"/>
      <c r="T64" s="30">
        <v>1.0</v>
      </c>
      <c r="U64" s="33"/>
      <c r="V64" s="35"/>
      <c r="W64" s="35"/>
      <c r="X64" s="33"/>
      <c r="Y64" s="33"/>
      <c r="Z64" s="33"/>
      <c r="AA64" s="33"/>
      <c r="AB64" s="33"/>
      <c r="AD64" s="22"/>
      <c r="AE64" s="22"/>
      <c r="AF64" s="22"/>
      <c r="AG64" s="22"/>
      <c r="AH64" s="22"/>
      <c r="AI64" s="22"/>
      <c r="AJ64" s="22"/>
      <c r="AK64" s="22"/>
      <c r="AL64" s="22"/>
      <c r="AM64" s="22"/>
      <c r="AN64" s="22"/>
      <c r="AO64" s="22"/>
      <c r="AP64" s="22"/>
    </row>
    <row r="65" ht="25.5" customHeight="1">
      <c r="A65" s="27">
        <f t="shared" si="3"/>
        <v>64</v>
      </c>
      <c r="B65" s="27" t="s">
        <v>32</v>
      </c>
      <c r="C65" s="27" t="s">
        <v>270</v>
      </c>
      <c r="D65" s="27" t="s">
        <v>297</v>
      </c>
      <c r="E65" s="28" t="str">
        <f t="shared" si="12"/>
        <v>SI</v>
      </c>
      <c r="F65" s="30" t="s">
        <v>60</v>
      </c>
      <c r="G65" s="30" t="s">
        <v>36</v>
      </c>
      <c r="H65" s="27" t="s">
        <v>142</v>
      </c>
      <c r="I65" s="27" t="s">
        <v>38</v>
      </c>
      <c r="J65" s="27" t="s">
        <v>735</v>
      </c>
      <c r="K65" s="27"/>
      <c r="L65" s="27" t="str">
        <f t="shared" si="13"/>
        <v>Carrera 66 # 13B 29, Bosques del Limonar, Cali</v>
      </c>
      <c r="M65" s="142" t="s">
        <v>679</v>
      </c>
      <c r="N65" s="142" t="s">
        <v>233</v>
      </c>
      <c r="O65" s="27"/>
      <c r="P65" s="27"/>
      <c r="Q65" s="27" t="s">
        <v>284</v>
      </c>
      <c r="R65" s="30"/>
      <c r="S65" s="30"/>
      <c r="T65" s="30">
        <v>1.0</v>
      </c>
      <c r="U65" s="27"/>
      <c r="V65" s="35"/>
      <c r="W65" s="35"/>
      <c r="X65" s="33"/>
      <c r="Y65" s="27" t="s">
        <v>736</v>
      </c>
      <c r="Z65" s="27" t="s">
        <v>737</v>
      </c>
      <c r="AA65" s="27"/>
      <c r="AB65" s="27"/>
      <c r="AC65" s="98"/>
      <c r="AD65" s="33"/>
      <c r="AE65" s="33"/>
      <c r="AF65" s="33"/>
      <c r="AG65" s="33"/>
      <c r="AH65" s="33"/>
      <c r="AI65" s="33"/>
      <c r="AJ65" s="33"/>
      <c r="AK65" s="33"/>
      <c r="AL65" s="33"/>
      <c r="AM65" s="33"/>
      <c r="AN65" s="33"/>
      <c r="AO65" s="33"/>
      <c r="AP65" s="33"/>
    </row>
    <row r="66" ht="25.5" customHeight="1">
      <c r="A66" s="27">
        <f t="shared" si="3"/>
        <v>65</v>
      </c>
      <c r="B66" s="27" t="s">
        <v>61</v>
      </c>
      <c r="C66" s="27" t="s">
        <v>63</v>
      </c>
      <c r="D66" s="27" t="s">
        <v>64</v>
      </c>
      <c r="E66" s="28" t="str">
        <f t="shared" si="12"/>
        <v/>
      </c>
      <c r="F66" s="30" t="s">
        <v>76</v>
      </c>
      <c r="G66" s="30" t="s">
        <v>350</v>
      </c>
      <c r="H66" s="27" t="s">
        <v>321</v>
      </c>
      <c r="I66" s="27" t="s">
        <v>38</v>
      </c>
      <c r="J66" s="27" t="s">
        <v>738</v>
      </c>
      <c r="K66" s="27" t="s">
        <v>739</v>
      </c>
      <c r="L66" s="27" t="str">
        <f t="shared" si="13"/>
        <v>Calle 41 Norte # 4N-170, La Flora, Cali</v>
      </c>
      <c r="M66" s="142" t="s">
        <v>679</v>
      </c>
      <c r="N66" s="142" t="s">
        <v>233</v>
      </c>
      <c r="O66" s="27"/>
      <c r="P66" s="27"/>
      <c r="Q66" s="27" t="s">
        <v>81</v>
      </c>
      <c r="R66" s="30"/>
      <c r="S66" s="30"/>
      <c r="T66" s="30">
        <v>1.0</v>
      </c>
      <c r="U66" s="33"/>
      <c r="V66" s="170"/>
      <c r="W66" s="35"/>
      <c r="X66" s="170"/>
      <c r="Y66" s="170"/>
      <c r="Z66" s="27" t="s">
        <v>740</v>
      </c>
      <c r="AA66" s="27"/>
      <c r="AB66" s="27"/>
      <c r="AD66" s="171"/>
      <c r="AE66" s="171"/>
      <c r="AF66" s="171"/>
      <c r="AG66" s="171"/>
      <c r="AH66" s="171"/>
      <c r="AI66" s="171"/>
      <c r="AJ66" s="171"/>
      <c r="AK66" s="171"/>
      <c r="AL66" s="171"/>
      <c r="AM66" s="171"/>
      <c r="AN66" s="171"/>
      <c r="AO66" s="171"/>
      <c r="AP66" s="171"/>
    </row>
    <row r="67" ht="25.5" customHeight="1">
      <c r="A67" s="27">
        <f t="shared" si="3"/>
        <v>66</v>
      </c>
      <c r="B67" s="27" t="s">
        <v>61</v>
      </c>
      <c r="C67" s="27" t="s">
        <v>63</v>
      </c>
      <c r="D67" s="27" t="s">
        <v>64</v>
      </c>
      <c r="E67" s="28" t="str">
        <f t="shared" si="12"/>
        <v/>
      </c>
      <c r="F67" s="30" t="s">
        <v>35</v>
      </c>
      <c r="G67" s="30" t="s">
        <v>36</v>
      </c>
      <c r="H67" s="27" t="s">
        <v>406</v>
      </c>
      <c r="I67" s="27" t="s">
        <v>38</v>
      </c>
      <c r="J67" s="27" t="s">
        <v>741</v>
      </c>
      <c r="K67" s="27"/>
      <c r="L67" s="27" t="str">
        <f t="shared" si="13"/>
        <v>Carrera 46 calle 8 b, Nuevo Tequendama, Cali</v>
      </c>
      <c r="M67" s="154" t="s">
        <v>679</v>
      </c>
      <c r="N67" s="154" t="s">
        <v>233</v>
      </c>
      <c r="O67" s="27"/>
      <c r="P67" s="27"/>
      <c r="Q67" s="27" t="s">
        <v>81</v>
      </c>
      <c r="R67" s="30"/>
      <c r="S67" s="30"/>
      <c r="T67" s="30">
        <v>1.0</v>
      </c>
      <c r="U67" s="33"/>
      <c r="V67" s="170"/>
      <c r="W67" s="35"/>
      <c r="X67" s="33"/>
      <c r="Y67" s="33"/>
      <c r="Z67" s="33"/>
      <c r="AA67" s="33"/>
      <c r="AB67" s="33"/>
      <c r="AD67" s="22"/>
      <c r="AE67" s="22"/>
      <c r="AF67" s="22"/>
      <c r="AG67" s="22"/>
      <c r="AH67" s="22"/>
      <c r="AI67" s="22"/>
      <c r="AJ67" s="22"/>
      <c r="AK67" s="22"/>
      <c r="AL67" s="22"/>
      <c r="AM67" s="22"/>
      <c r="AN67" s="22"/>
      <c r="AO67" s="22"/>
      <c r="AP67" s="22"/>
    </row>
    <row r="68" ht="25.5" customHeight="1">
      <c r="A68" s="27">
        <f t="shared" si="3"/>
        <v>67</v>
      </c>
      <c r="B68" s="27" t="s">
        <v>61</v>
      </c>
      <c r="C68" s="27" t="s">
        <v>63</v>
      </c>
      <c r="D68" s="27" t="s">
        <v>64</v>
      </c>
      <c r="E68" s="28" t="str">
        <f t="shared" si="12"/>
        <v/>
      </c>
      <c r="F68" s="30" t="s">
        <v>73</v>
      </c>
      <c r="G68" s="30" t="s">
        <v>176</v>
      </c>
      <c r="H68" s="27" t="s">
        <v>72</v>
      </c>
      <c r="I68" s="27" t="s">
        <v>38</v>
      </c>
      <c r="J68" s="27" t="s">
        <v>742</v>
      </c>
      <c r="K68" s="27"/>
      <c r="L68" s="27" t="str">
        <f t="shared" si="13"/>
        <v>Carrera 23 # 9 06, Alameda, Cali</v>
      </c>
      <c r="M68" s="154" t="s">
        <v>679</v>
      </c>
      <c r="N68" s="154" t="s">
        <v>233</v>
      </c>
      <c r="O68" s="27"/>
      <c r="P68" s="27"/>
      <c r="Q68" s="27" t="s">
        <v>81</v>
      </c>
      <c r="R68" s="30"/>
      <c r="S68" s="30"/>
      <c r="T68" s="30">
        <v>1.0</v>
      </c>
      <c r="U68" s="33" t="s">
        <v>83</v>
      </c>
      <c r="V68" s="170"/>
      <c r="W68" s="35"/>
      <c r="X68" s="33"/>
      <c r="Y68" s="33"/>
      <c r="Z68" s="33" t="s">
        <v>743</v>
      </c>
      <c r="AA68" s="33"/>
      <c r="AB68" s="33"/>
      <c r="AD68" s="22"/>
      <c r="AE68" s="22"/>
      <c r="AF68" s="22"/>
      <c r="AG68" s="22"/>
      <c r="AH68" s="22"/>
      <c r="AI68" s="22"/>
      <c r="AJ68" s="22"/>
      <c r="AK68" s="22"/>
      <c r="AL68" s="22"/>
      <c r="AM68" s="22"/>
      <c r="AN68" s="22"/>
      <c r="AO68" s="22"/>
      <c r="AP68" s="22"/>
    </row>
    <row r="69" ht="25.5" customHeight="1">
      <c r="A69" s="27">
        <f t="shared" si="3"/>
        <v>68</v>
      </c>
      <c r="B69" s="27" t="s">
        <v>61</v>
      </c>
      <c r="C69" s="27" t="s">
        <v>63</v>
      </c>
      <c r="D69" s="27" t="s">
        <v>64</v>
      </c>
      <c r="E69" s="28" t="str">
        <f t="shared" si="12"/>
        <v/>
      </c>
      <c r="F69" s="30" t="s">
        <v>35</v>
      </c>
      <c r="G69" s="30" t="s">
        <v>36</v>
      </c>
      <c r="H69" s="27" t="s">
        <v>744</v>
      </c>
      <c r="I69" s="27" t="s">
        <v>286</v>
      </c>
      <c r="J69" s="27" t="s">
        <v>745</v>
      </c>
      <c r="K69" s="27"/>
      <c r="L69" s="27" t="str">
        <f t="shared" si="13"/>
        <v>Carrera 65 # 2b -14, El refugio, Cali</v>
      </c>
      <c r="M69" s="154" t="s">
        <v>679</v>
      </c>
      <c r="N69" s="154" t="s">
        <v>233</v>
      </c>
      <c r="O69" s="27"/>
      <c r="P69" s="27"/>
      <c r="Q69" s="27" t="s">
        <v>81</v>
      </c>
      <c r="R69" s="30"/>
      <c r="S69" s="30"/>
      <c r="T69" s="30">
        <v>1.0</v>
      </c>
      <c r="U69" s="33"/>
      <c r="V69" s="35"/>
      <c r="W69" s="35"/>
      <c r="X69" s="33"/>
      <c r="Y69" s="27" t="s">
        <v>746</v>
      </c>
      <c r="Z69" s="33"/>
      <c r="AA69" s="33"/>
      <c r="AB69" s="33"/>
      <c r="AD69" s="22"/>
      <c r="AE69" s="22"/>
      <c r="AF69" s="22"/>
      <c r="AG69" s="22"/>
      <c r="AH69" s="22"/>
      <c r="AI69" s="22"/>
      <c r="AJ69" s="22"/>
      <c r="AK69" s="22"/>
      <c r="AL69" s="22"/>
      <c r="AM69" s="22"/>
      <c r="AN69" s="22"/>
      <c r="AO69" s="22"/>
      <c r="AP69" s="22"/>
    </row>
    <row r="70" ht="39.75" customHeight="1">
      <c r="A70" s="84">
        <f t="shared" si="3"/>
        <v>69</v>
      </c>
      <c r="B70" s="84" t="s">
        <v>61</v>
      </c>
      <c r="C70" s="84" t="s">
        <v>33</v>
      </c>
      <c r="D70" s="84" t="s">
        <v>223</v>
      </c>
      <c r="E70" s="86" t="str">
        <f t="shared" si="12"/>
        <v/>
      </c>
      <c r="F70" s="88" t="s">
        <v>35</v>
      </c>
      <c r="G70" s="88" t="s">
        <v>36</v>
      </c>
      <c r="H70" s="84" t="s">
        <v>278</v>
      </c>
      <c r="I70" s="84" t="s">
        <v>38</v>
      </c>
      <c r="J70" s="84" t="s">
        <v>747</v>
      </c>
      <c r="K70" s="84"/>
      <c r="L70" s="84" t="str">
        <f t="shared" si="13"/>
        <v>Calle 5B2 # 31 98, San Fernando, Cali</v>
      </c>
      <c r="M70" s="172" t="s">
        <v>679</v>
      </c>
      <c r="N70" s="90" t="s">
        <v>642</v>
      </c>
      <c r="O70" s="84"/>
      <c r="P70" s="84"/>
      <c r="Q70" s="84" t="s">
        <v>284</v>
      </c>
      <c r="R70" s="88"/>
      <c r="S70" s="88"/>
      <c r="T70" s="88">
        <v>1.0</v>
      </c>
      <c r="U70" s="84"/>
      <c r="V70" s="92"/>
      <c r="W70" s="92"/>
      <c r="X70" s="93"/>
      <c r="Y70" s="84" t="s">
        <v>748</v>
      </c>
      <c r="Z70" s="84" t="s">
        <v>749</v>
      </c>
      <c r="AA70" s="84"/>
      <c r="AB70" s="84"/>
      <c r="AD70" s="39"/>
      <c r="AE70" s="39"/>
      <c r="AF70" s="39"/>
      <c r="AG70" s="39"/>
      <c r="AH70" s="39"/>
      <c r="AI70" s="39"/>
      <c r="AJ70" s="39"/>
      <c r="AK70" s="39"/>
      <c r="AL70" s="39"/>
      <c r="AM70" s="39"/>
      <c r="AN70" s="39"/>
      <c r="AO70" s="39"/>
      <c r="AP70" s="39"/>
    </row>
    <row r="71" ht="25.5" customHeight="1">
      <c r="A71" s="63">
        <f t="shared" si="3"/>
        <v>70</v>
      </c>
      <c r="B71" s="63" t="s">
        <v>62</v>
      </c>
      <c r="C71" s="65" t="s">
        <v>133</v>
      </c>
      <c r="D71" s="108" t="s">
        <v>34</v>
      </c>
      <c r="E71" s="68" t="s">
        <v>62</v>
      </c>
      <c r="F71" s="70" t="s">
        <v>62</v>
      </c>
      <c r="G71" s="70" t="s">
        <v>62</v>
      </c>
      <c r="H71" s="71" t="s">
        <v>62</v>
      </c>
      <c r="I71" s="71" t="s">
        <v>62</v>
      </c>
      <c r="J71" s="68" t="s">
        <v>62</v>
      </c>
      <c r="K71" s="68" t="s">
        <v>62</v>
      </c>
      <c r="L71" s="68" t="s">
        <v>62</v>
      </c>
      <c r="M71" s="68" t="s">
        <v>62</v>
      </c>
      <c r="N71" s="68" t="s">
        <v>62</v>
      </c>
      <c r="O71" s="68" t="s">
        <v>62</v>
      </c>
      <c r="P71" s="68" t="s">
        <v>62</v>
      </c>
      <c r="Q71" s="68" t="s">
        <v>62</v>
      </c>
      <c r="R71" s="68" t="s">
        <v>62</v>
      </c>
      <c r="S71" s="68"/>
      <c r="T71" s="68" t="s">
        <v>62</v>
      </c>
      <c r="U71" s="68" t="s">
        <v>62</v>
      </c>
      <c r="V71" s="68" t="s">
        <v>62</v>
      </c>
      <c r="W71" s="68" t="s">
        <v>62</v>
      </c>
      <c r="X71" s="68" t="s">
        <v>62</v>
      </c>
      <c r="Y71" s="68" t="s">
        <v>62</v>
      </c>
      <c r="Z71" s="68" t="s">
        <v>62</v>
      </c>
      <c r="AA71" s="68" t="s">
        <v>62</v>
      </c>
      <c r="AB71" s="68" t="s">
        <v>62</v>
      </c>
      <c r="AD71" s="173"/>
      <c r="AE71" s="173"/>
      <c r="AF71" s="173"/>
      <c r="AG71" s="173"/>
      <c r="AH71" s="173"/>
      <c r="AI71" s="173"/>
      <c r="AJ71" s="173"/>
      <c r="AK71" s="173"/>
      <c r="AL71" s="173"/>
      <c r="AM71" s="173"/>
      <c r="AN71" s="173"/>
      <c r="AO71" s="173"/>
      <c r="AP71" s="173"/>
    </row>
    <row r="72" ht="25.5" customHeight="1">
      <c r="A72" s="84">
        <f t="shared" si="3"/>
        <v>71</v>
      </c>
      <c r="B72" s="84" t="s">
        <v>61</v>
      </c>
      <c r="C72" s="84" t="s">
        <v>33</v>
      </c>
      <c r="D72" s="84" t="s">
        <v>223</v>
      </c>
      <c r="E72" s="86" t="str">
        <f t="shared" ref="E72:E82" si="14">IF(OR($B72="ALTA",AND(ISNUMBER($W72),$W72&gt;0),AND($U72&lt;&gt;"",$U72&lt;&gt;"NO")),"SI","")</f>
        <v/>
      </c>
      <c r="F72" s="88" t="s">
        <v>110</v>
      </c>
      <c r="G72" s="88" t="s">
        <v>176</v>
      </c>
      <c r="H72" s="84" t="s">
        <v>466</v>
      </c>
      <c r="I72" s="84" t="s">
        <v>38</v>
      </c>
      <c r="J72" s="174" t="s">
        <v>750</v>
      </c>
      <c r="K72" s="174"/>
      <c r="L72" s="174" t="str">
        <f t="shared" ref="L72:L82" si="15">CONCATENATE(J72,", ",H72,", Cali")</f>
        <v>Calle 3 con Carrera 4, San Pedro, Cali</v>
      </c>
      <c r="M72" s="172" t="s">
        <v>679</v>
      </c>
      <c r="N72" s="172" t="s">
        <v>233</v>
      </c>
      <c r="O72" s="84" t="s">
        <v>46</v>
      </c>
      <c r="P72" s="93"/>
      <c r="Q72" s="84" t="s">
        <v>284</v>
      </c>
      <c r="R72" s="92"/>
      <c r="S72" s="92"/>
      <c r="T72" s="92">
        <v>1.0</v>
      </c>
      <c r="U72" s="93"/>
      <c r="V72" s="92"/>
      <c r="W72" s="92"/>
      <c r="X72" s="93"/>
      <c r="Y72" s="84"/>
      <c r="Z72" s="84" t="s">
        <v>751</v>
      </c>
      <c r="AA72" s="84"/>
      <c r="AB72" s="84"/>
      <c r="AD72" s="39"/>
      <c r="AE72" s="39"/>
      <c r="AF72" s="39"/>
      <c r="AG72" s="39"/>
      <c r="AH72" s="39"/>
      <c r="AI72" s="39"/>
      <c r="AJ72" s="39"/>
      <c r="AK72" s="39"/>
      <c r="AL72" s="39"/>
      <c r="AM72" s="39"/>
      <c r="AN72" s="39"/>
      <c r="AO72" s="39"/>
      <c r="AP72" s="39"/>
    </row>
    <row r="73" ht="25.5" customHeight="1">
      <c r="A73" s="144">
        <f t="shared" si="3"/>
        <v>72</v>
      </c>
      <c r="B73" s="144" t="s">
        <v>32</v>
      </c>
      <c r="C73" s="144" t="s">
        <v>63</v>
      </c>
      <c r="D73" s="8" t="s">
        <v>34</v>
      </c>
      <c r="E73" s="81" t="str">
        <f t="shared" si="14"/>
        <v>SI</v>
      </c>
      <c r="F73" s="10" t="s">
        <v>35</v>
      </c>
      <c r="G73" s="145" t="s">
        <v>36</v>
      </c>
      <c r="H73" s="144" t="s">
        <v>255</v>
      </c>
      <c r="I73" s="144" t="s">
        <v>286</v>
      </c>
      <c r="J73" s="144" t="s">
        <v>752</v>
      </c>
      <c r="K73" s="144"/>
      <c r="L73" s="144" t="str">
        <f t="shared" si="15"/>
        <v>Carrera 67 con calle 3 C, El Refugio, Cali</v>
      </c>
      <c r="M73" s="143" t="s">
        <v>679</v>
      </c>
      <c r="N73" s="143" t="s">
        <v>233</v>
      </c>
      <c r="O73" s="144"/>
      <c r="P73" s="144"/>
      <c r="Q73" s="144" t="s">
        <v>166</v>
      </c>
      <c r="R73" s="145"/>
      <c r="S73" s="145"/>
      <c r="T73" s="145">
        <v>1.0</v>
      </c>
      <c r="U73" s="144">
        <v>3.0</v>
      </c>
      <c r="V73" s="175"/>
      <c r="W73" s="175"/>
      <c r="X73" s="176"/>
      <c r="Y73" s="176"/>
      <c r="Z73" s="8" t="s">
        <v>753</v>
      </c>
      <c r="AA73" s="8"/>
      <c r="AB73" s="8"/>
      <c r="AD73" s="39"/>
      <c r="AE73" s="39"/>
      <c r="AF73" s="39"/>
      <c r="AG73" s="39"/>
      <c r="AH73" s="39"/>
      <c r="AI73" s="39"/>
      <c r="AJ73" s="39"/>
      <c r="AK73" s="39"/>
      <c r="AL73" s="39"/>
      <c r="AM73" s="39"/>
      <c r="AN73" s="39"/>
      <c r="AO73" s="39"/>
      <c r="AP73" s="39"/>
    </row>
    <row r="74" ht="25.5" customHeight="1">
      <c r="A74" s="27">
        <f t="shared" si="3"/>
        <v>73</v>
      </c>
      <c r="B74" s="27" t="s">
        <v>61</v>
      </c>
      <c r="C74" s="27" t="s">
        <v>63</v>
      </c>
      <c r="D74" s="27" t="s">
        <v>64</v>
      </c>
      <c r="E74" s="28" t="str">
        <f t="shared" si="14"/>
        <v/>
      </c>
      <c r="F74" s="30" t="s">
        <v>35</v>
      </c>
      <c r="G74" s="30" t="s">
        <v>36</v>
      </c>
      <c r="H74" s="27" t="s">
        <v>157</v>
      </c>
      <c r="I74" s="27" t="s">
        <v>639</v>
      </c>
      <c r="J74" s="27" t="s">
        <v>754</v>
      </c>
      <c r="K74" s="27" t="s">
        <v>755</v>
      </c>
      <c r="L74" s="27" t="str">
        <f t="shared" si="15"/>
        <v>Cra. 46 #9C-85, Cámbulos, Cali</v>
      </c>
      <c r="M74" s="142" t="s">
        <v>679</v>
      </c>
      <c r="N74" s="142" t="s">
        <v>233</v>
      </c>
      <c r="O74" s="27"/>
      <c r="P74" s="27"/>
      <c r="Q74" s="27" t="s">
        <v>81</v>
      </c>
      <c r="R74" s="30"/>
      <c r="S74" s="30"/>
      <c r="T74" s="30">
        <v>1.0</v>
      </c>
      <c r="U74" s="33"/>
      <c r="V74" s="35"/>
      <c r="W74" s="35"/>
      <c r="X74" s="35">
        <v>1.0</v>
      </c>
      <c r="Y74" s="33"/>
      <c r="Z74" s="33"/>
      <c r="AA74" s="33"/>
      <c r="AB74" s="33"/>
      <c r="AD74" s="22"/>
      <c r="AE74" s="22"/>
      <c r="AF74" s="22"/>
      <c r="AG74" s="22"/>
      <c r="AH74" s="22"/>
      <c r="AI74" s="22"/>
      <c r="AJ74" s="22"/>
      <c r="AK74" s="22"/>
      <c r="AL74" s="22"/>
      <c r="AM74" s="22"/>
      <c r="AN74" s="22"/>
      <c r="AO74" s="22"/>
      <c r="AP74" s="22"/>
    </row>
    <row r="75" ht="25.5" customHeight="1">
      <c r="A75" s="27">
        <f t="shared" si="3"/>
        <v>74</v>
      </c>
      <c r="B75" s="27" t="s">
        <v>61</v>
      </c>
      <c r="C75" s="27" t="s">
        <v>63</v>
      </c>
      <c r="D75" s="27" t="s">
        <v>64</v>
      </c>
      <c r="E75" s="28" t="str">
        <f t="shared" si="14"/>
        <v/>
      </c>
      <c r="F75" s="30" t="s">
        <v>76</v>
      </c>
      <c r="G75" s="30" t="s">
        <v>350</v>
      </c>
      <c r="H75" s="27" t="s">
        <v>512</v>
      </c>
      <c r="I75" s="27" t="s">
        <v>639</v>
      </c>
      <c r="J75" s="27" t="s">
        <v>756</v>
      </c>
      <c r="K75" s="27" t="s">
        <v>757</v>
      </c>
      <c r="L75" s="27" t="str">
        <f t="shared" si="15"/>
        <v>Av. 5A Norte #23N-46/57, Versalles, Cali</v>
      </c>
      <c r="M75" s="142" t="s">
        <v>679</v>
      </c>
      <c r="N75" s="142" t="s">
        <v>233</v>
      </c>
      <c r="O75" s="27"/>
      <c r="P75" s="27"/>
      <c r="Q75" s="27" t="s">
        <v>81</v>
      </c>
      <c r="R75" s="30"/>
      <c r="S75" s="30"/>
      <c r="T75" s="30">
        <v>1.0</v>
      </c>
      <c r="U75" s="33"/>
      <c r="V75" s="35"/>
      <c r="W75" s="35"/>
      <c r="X75" s="35">
        <v>1.0</v>
      </c>
      <c r="Y75" s="33"/>
      <c r="Z75" s="33"/>
      <c r="AA75" s="33"/>
      <c r="AB75" s="33"/>
      <c r="AD75" s="22"/>
      <c r="AE75" s="22"/>
      <c r="AF75" s="22"/>
      <c r="AG75" s="22"/>
      <c r="AH75" s="22"/>
      <c r="AI75" s="22"/>
      <c r="AJ75" s="22"/>
      <c r="AK75" s="22"/>
      <c r="AL75" s="22"/>
      <c r="AM75" s="22"/>
      <c r="AN75" s="22"/>
      <c r="AO75" s="22"/>
      <c r="AP75" s="22"/>
    </row>
    <row r="76" ht="25.5" customHeight="1">
      <c r="A76" s="177">
        <f t="shared" si="3"/>
        <v>75</v>
      </c>
      <c r="B76" s="177" t="s">
        <v>61</v>
      </c>
      <c r="C76" s="177" t="s">
        <v>33</v>
      </c>
      <c r="D76" s="177" t="s">
        <v>223</v>
      </c>
      <c r="E76" s="178" t="str">
        <f t="shared" si="14"/>
        <v>SI</v>
      </c>
      <c r="F76" s="179" t="s">
        <v>35</v>
      </c>
      <c r="G76" s="180" t="s">
        <v>36</v>
      </c>
      <c r="H76" s="177" t="s">
        <v>278</v>
      </c>
      <c r="I76" s="177" t="s">
        <v>428</v>
      </c>
      <c r="J76" s="181" t="s">
        <v>758</v>
      </c>
      <c r="K76" s="181" t="s">
        <v>759</v>
      </c>
      <c r="L76" s="181" t="str">
        <f t="shared" si="15"/>
        <v>Calle 5 # 36-08, San Fernando, Cali</v>
      </c>
      <c r="M76" s="182" t="s">
        <v>679</v>
      </c>
      <c r="N76" s="182" t="s">
        <v>233</v>
      </c>
      <c r="O76" s="183" t="s">
        <v>46</v>
      </c>
      <c r="P76" s="181"/>
      <c r="Q76" s="181" t="s">
        <v>760</v>
      </c>
      <c r="R76" s="184"/>
      <c r="S76" s="184"/>
      <c r="T76" s="184">
        <v>1.0</v>
      </c>
      <c r="U76" s="181"/>
      <c r="V76" s="181"/>
      <c r="W76" s="181">
        <v>1.0</v>
      </c>
      <c r="X76" s="181">
        <v>1.0</v>
      </c>
      <c r="Y76" s="177" t="s">
        <v>761</v>
      </c>
      <c r="Z76" s="177" t="s">
        <v>762</v>
      </c>
      <c r="AA76" s="20" t="s">
        <v>763</v>
      </c>
      <c r="AB76" s="20"/>
      <c r="AD76" s="185"/>
      <c r="AE76" s="185"/>
      <c r="AF76" s="185"/>
      <c r="AG76" s="185"/>
      <c r="AH76" s="185"/>
      <c r="AI76" s="185"/>
      <c r="AJ76" s="185"/>
      <c r="AK76" s="185"/>
      <c r="AL76" s="185"/>
      <c r="AM76" s="185"/>
      <c r="AN76" s="185"/>
      <c r="AO76" s="185"/>
      <c r="AP76" s="185"/>
    </row>
    <row r="77" ht="25.5" customHeight="1">
      <c r="A77" s="27">
        <f t="shared" si="3"/>
        <v>76</v>
      </c>
      <c r="B77" s="27" t="s">
        <v>32</v>
      </c>
      <c r="C77" s="27" t="s">
        <v>63</v>
      </c>
      <c r="D77" s="27" t="s">
        <v>34</v>
      </c>
      <c r="E77" s="28" t="str">
        <f t="shared" si="14"/>
        <v>SI</v>
      </c>
      <c r="F77" s="30" t="s">
        <v>35</v>
      </c>
      <c r="G77" s="30" t="s">
        <v>36</v>
      </c>
      <c r="H77" s="27" t="s">
        <v>202</v>
      </c>
      <c r="I77" s="27" t="s">
        <v>286</v>
      </c>
      <c r="J77" s="27" t="s">
        <v>764</v>
      </c>
      <c r="K77" s="27"/>
      <c r="L77" s="27" t="str">
        <f t="shared" si="15"/>
        <v>Carrera 62 # 2A 197, Pampalinda, Cali</v>
      </c>
      <c r="M77" s="154" t="s">
        <v>765</v>
      </c>
      <c r="N77" s="154" t="s">
        <v>642</v>
      </c>
      <c r="O77" s="27"/>
      <c r="P77" s="27"/>
      <c r="Q77" s="27" t="s">
        <v>166</v>
      </c>
      <c r="R77" s="30"/>
      <c r="S77" s="30"/>
      <c r="T77" s="30">
        <v>1.0</v>
      </c>
      <c r="U77" s="27" t="s">
        <v>46</v>
      </c>
      <c r="V77" s="35"/>
      <c r="W77" s="35"/>
      <c r="X77" s="33"/>
      <c r="Y77" s="27">
        <v>1.0</v>
      </c>
      <c r="Z77" s="27" t="s">
        <v>766</v>
      </c>
      <c r="AA77" s="27"/>
      <c r="AB77" s="27"/>
      <c r="AC77" s="98"/>
      <c r="AD77" s="97"/>
      <c r="AE77" s="97"/>
      <c r="AF77" s="97"/>
      <c r="AG77" s="97"/>
      <c r="AH77" s="97"/>
      <c r="AI77" s="97"/>
      <c r="AJ77" s="97"/>
      <c r="AK77" s="97"/>
      <c r="AL77" s="97"/>
      <c r="AM77" s="97"/>
      <c r="AN77" s="97"/>
      <c r="AO77" s="97"/>
      <c r="AP77" s="97"/>
    </row>
    <row r="78" ht="25.5" customHeight="1">
      <c r="A78" s="27">
        <f t="shared" si="3"/>
        <v>77</v>
      </c>
      <c r="B78" s="27" t="s">
        <v>61</v>
      </c>
      <c r="C78" s="27" t="s">
        <v>63</v>
      </c>
      <c r="D78" s="27" t="s">
        <v>34</v>
      </c>
      <c r="E78" s="28" t="str">
        <f t="shared" si="14"/>
        <v/>
      </c>
      <c r="F78" s="30" t="s">
        <v>76</v>
      </c>
      <c r="G78" s="30" t="s">
        <v>350</v>
      </c>
      <c r="H78" s="33" t="s">
        <v>321</v>
      </c>
      <c r="I78" s="33" t="s">
        <v>38</v>
      </c>
      <c r="J78" s="27" t="s">
        <v>767</v>
      </c>
      <c r="K78" s="27"/>
      <c r="L78" s="8" t="str">
        <f t="shared" si="15"/>
        <v>3 c norte con Calle 63, La Flora, Cali</v>
      </c>
      <c r="M78" s="143" t="s">
        <v>679</v>
      </c>
      <c r="N78" s="143" t="s">
        <v>233</v>
      </c>
      <c r="O78" s="18"/>
      <c r="P78" s="18"/>
      <c r="Q78" s="18" t="s">
        <v>625</v>
      </c>
      <c r="R78" s="82"/>
      <c r="S78" s="82"/>
      <c r="T78" s="82">
        <v>1.0</v>
      </c>
      <c r="U78" s="18"/>
      <c r="V78" s="82"/>
      <c r="W78" s="82"/>
      <c r="X78" s="18"/>
      <c r="Y78" s="18"/>
      <c r="Z78" s="8" t="s">
        <v>63</v>
      </c>
      <c r="AA78" s="8"/>
      <c r="AB78" s="8"/>
      <c r="AD78" s="39"/>
      <c r="AE78" s="39"/>
      <c r="AF78" s="39"/>
      <c r="AG78" s="39"/>
      <c r="AH78" s="39"/>
      <c r="AI78" s="39"/>
      <c r="AJ78" s="39"/>
      <c r="AK78" s="39"/>
      <c r="AL78" s="39"/>
      <c r="AM78" s="39"/>
      <c r="AN78" s="39"/>
      <c r="AO78" s="39"/>
      <c r="AP78" s="39"/>
    </row>
    <row r="79" ht="25.5" customHeight="1">
      <c r="A79" s="33">
        <f t="shared" si="3"/>
        <v>78</v>
      </c>
      <c r="B79" s="33" t="s">
        <v>61</v>
      </c>
      <c r="C79" s="33" t="s">
        <v>63</v>
      </c>
      <c r="D79" s="27" t="s">
        <v>34</v>
      </c>
      <c r="E79" s="95" t="str">
        <f t="shared" si="14"/>
        <v/>
      </c>
      <c r="F79" s="30" t="s">
        <v>76</v>
      </c>
      <c r="G79" s="30" t="s">
        <v>350</v>
      </c>
      <c r="H79" s="33" t="s">
        <v>321</v>
      </c>
      <c r="I79" s="33" t="s">
        <v>38</v>
      </c>
      <c r="J79" s="27" t="s">
        <v>768</v>
      </c>
      <c r="K79" s="27"/>
      <c r="L79" s="8" t="str">
        <f t="shared" si="15"/>
        <v>Avenida 3 Norte 59 125, La Flora, Cali</v>
      </c>
      <c r="M79" s="143" t="s">
        <v>679</v>
      </c>
      <c r="N79" s="143" t="s">
        <v>233</v>
      </c>
      <c r="O79" s="18"/>
      <c r="P79" s="18"/>
      <c r="Q79" s="18" t="s">
        <v>625</v>
      </c>
      <c r="R79" s="82"/>
      <c r="S79" s="82"/>
      <c r="T79" s="82">
        <v>1.0</v>
      </c>
      <c r="U79" s="18"/>
      <c r="V79" s="82"/>
      <c r="W79" s="82"/>
      <c r="X79" s="18"/>
      <c r="Y79" s="18"/>
      <c r="Z79" s="8" t="s">
        <v>769</v>
      </c>
      <c r="AA79" s="8"/>
      <c r="AB79" s="8"/>
      <c r="AD79" s="39"/>
      <c r="AE79" s="39"/>
      <c r="AF79" s="39"/>
      <c r="AG79" s="39"/>
      <c r="AH79" s="39"/>
      <c r="AI79" s="39"/>
      <c r="AJ79" s="39"/>
      <c r="AK79" s="39"/>
      <c r="AL79" s="39"/>
      <c r="AM79" s="39"/>
      <c r="AN79" s="39"/>
      <c r="AO79" s="39"/>
      <c r="AP79" s="39"/>
    </row>
    <row r="80" ht="25.5" customHeight="1">
      <c r="A80" s="27">
        <f t="shared" si="3"/>
        <v>79</v>
      </c>
      <c r="B80" s="27" t="s">
        <v>61</v>
      </c>
      <c r="C80" s="27" t="s">
        <v>63</v>
      </c>
      <c r="D80" s="27" t="s">
        <v>64</v>
      </c>
      <c r="E80" s="28" t="str">
        <f t="shared" si="14"/>
        <v/>
      </c>
      <c r="F80" s="30" t="s">
        <v>70</v>
      </c>
      <c r="G80" s="30" t="s">
        <v>36</v>
      </c>
      <c r="H80" s="27" t="s">
        <v>221</v>
      </c>
      <c r="I80" s="27" t="s">
        <v>639</v>
      </c>
      <c r="J80" s="27" t="s">
        <v>770</v>
      </c>
      <c r="K80" s="27" t="s">
        <v>771</v>
      </c>
      <c r="L80" s="27" t="str">
        <f t="shared" si="15"/>
        <v>Calle 15 # 33-71, Cristóbal Colón, Cali</v>
      </c>
      <c r="M80" s="142" t="s">
        <v>679</v>
      </c>
      <c r="N80" s="142" t="s">
        <v>233</v>
      </c>
      <c r="O80" s="27"/>
      <c r="P80" s="27"/>
      <c r="Q80" s="27" t="s">
        <v>81</v>
      </c>
      <c r="R80" s="30"/>
      <c r="S80" s="30"/>
      <c r="T80" s="30">
        <v>1.0</v>
      </c>
      <c r="U80" s="33"/>
      <c r="V80" s="35"/>
      <c r="W80" s="35"/>
      <c r="X80" s="35">
        <v>1.0</v>
      </c>
      <c r="Y80" s="33"/>
      <c r="Z80" s="33"/>
      <c r="AA80" s="33"/>
      <c r="AB80" s="33"/>
      <c r="AD80" s="22"/>
      <c r="AE80" s="22"/>
      <c r="AF80" s="22"/>
      <c r="AG80" s="22"/>
      <c r="AH80" s="22"/>
      <c r="AI80" s="22"/>
      <c r="AJ80" s="22"/>
      <c r="AK80" s="22"/>
      <c r="AL80" s="22"/>
      <c r="AM80" s="22"/>
      <c r="AN80" s="22"/>
      <c r="AO80" s="22"/>
      <c r="AP80" s="22"/>
    </row>
    <row r="81" ht="25.5" customHeight="1">
      <c r="A81" s="27">
        <f t="shared" si="3"/>
        <v>80</v>
      </c>
      <c r="B81" s="27" t="s">
        <v>61</v>
      </c>
      <c r="C81" s="27" t="s">
        <v>63</v>
      </c>
      <c r="D81" s="27" t="s">
        <v>64</v>
      </c>
      <c r="E81" s="28" t="str">
        <f t="shared" si="14"/>
        <v/>
      </c>
      <c r="F81" s="30" t="s">
        <v>35</v>
      </c>
      <c r="G81" s="30" t="s">
        <v>36</v>
      </c>
      <c r="H81" s="27" t="s">
        <v>369</v>
      </c>
      <c r="I81" s="27" t="s">
        <v>639</v>
      </c>
      <c r="J81" s="27" t="s">
        <v>772</v>
      </c>
      <c r="K81" s="27" t="s">
        <v>773</v>
      </c>
      <c r="L81" s="27" t="str">
        <f t="shared" si="15"/>
        <v>Calle 5D # 38A-35, Tequendama, Cali</v>
      </c>
      <c r="M81" s="142" t="s">
        <v>679</v>
      </c>
      <c r="N81" s="142" t="s">
        <v>233</v>
      </c>
      <c r="O81" s="27"/>
      <c r="P81" s="27"/>
      <c r="Q81" s="27" t="s">
        <v>81</v>
      </c>
      <c r="R81" s="30"/>
      <c r="S81" s="30"/>
      <c r="T81" s="30">
        <v>1.0</v>
      </c>
      <c r="U81" s="33"/>
      <c r="V81" s="35"/>
      <c r="W81" s="35"/>
      <c r="X81" s="35">
        <v>1.0</v>
      </c>
      <c r="Y81" s="33"/>
      <c r="Z81" s="33"/>
      <c r="AA81" s="33"/>
      <c r="AB81" s="33"/>
      <c r="AD81" s="22"/>
      <c r="AE81" s="22"/>
      <c r="AF81" s="22"/>
      <c r="AG81" s="22"/>
      <c r="AH81" s="22"/>
      <c r="AI81" s="22"/>
      <c r="AJ81" s="22"/>
      <c r="AK81" s="22"/>
      <c r="AL81" s="22"/>
      <c r="AM81" s="22"/>
      <c r="AN81" s="22"/>
      <c r="AO81" s="22"/>
      <c r="AP81" s="22"/>
    </row>
    <row r="82" ht="25.5" customHeight="1">
      <c r="A82" s="27">
        <f t="shared" si="3"/>
        <v>81</v>
      </c>
      <c r="B82" s="27" t="s">
        <v>61</v>
      </c>
      <c r="C82" s="27" t="s">
        <v>63</v>
      </c>
      <c r="D82" s="27" t="s">
        <v>64</v>
      </c>
      <c r="E82" s="28" t="str">
        <f t="shared" si="14"/>
        <v>SI</v>
      </c>
      <c r="F82" s="30" t="s">
        <v>119</v>
      </c>
      <c r="G82" s="30" t="s">
        <v>350</v>
      </c>
      <c r="H82" s="27" t="s">
        <v>273</v>
      </c>
      <c r="I82" s="27" t="s">
        <v>38</v>
      </c>
      <c r="J82" s="27" t="s">
        <v>774</v>
      </c>
      <c r="K82" s="27"/>
      <c r="L82" s="27" t="str">
        <f t="shared" si="15"/>
        <v>Carrera 5C con 43, Esmeralda, Cali</v>
      </c>
      <c r="M82" s="154" t="s">
        <v>775</v>
      </c>
      <c r="N82" s="154" t="s">
        <v>776</v>
      </c>
      <c r="O82" s="27"/>
      <c r="P82" s="27"/>
      <c r="Q82" s="27" t="s">
        <v>81</v>
      </c>
      <c r="R82" s="30"/>
      <c r="S82" s="30"/>
      <c r="T82" s="30"/>
      <c r="U82" s="33"/>
      <c r="V82" s="35"/>
      <c r="W82" s="30">
        <v>1.0</v>
      </c>
      <c r="X82" s="33"/>
      <c r="Y82" s="33"/>
      <c r="Z82" s="33"/>
      <c r="AA82" s="33"/>
      <c r="AB82" s="33"/>
      <c r="AD82" s="22"/>
      <c r="AE82" s="22"/>
      <c r="AF82" s="22"/>
      <c r="AG82" s="22"/>
      <c r="AH82" s="22"/>
      <c r="AI82" s="22"/>
      <c r="AJ82" s="22"/>
      <c r="AK82" s="22"/>
      <c r="AL82" s="22"/>
      <c r="AM82" s="22"/>
      <c r="AN82" s="22"/>
      <c r="AO82" s="22"/>
      <c r="AP82" s="22"/>
    </row>
    <row r="83" ht="25.5" customHeight="1">
      <c r="A83" s="63">
        <f t="shared" si="3"/>
        <v>82</v>
      </c>
      <c r="B83" s="63" t="s">
        <v>62</v>
      </c>
      <c r="C83" s="65" t="s">
        <v>133</v>
      </c>
      <c r="D83" s="108" t="s">
        <v>223</v>
      </c>
      <c r="E83" s="68" t="s">
        <v>62</v>
      </c>
      <c r="F83" s="70" t="s">
        <v>62</v>
      </c>
      <c r="G83" s="70" t="s">
        <v>62</v>
      </c>
      <c r="H83" s="71" t="s">
        <v>62</v>
      </c>
      <c r="I83" s="71" t="s">
        <v>62</v>
      </c>
      <c r="J83" s="68" t="s">
        <v>62</v>
      </c>
      <c r="K83" s="68" t="s">
        <v>62</v>
      </c>
      <c r="L83" s="68" t="s">
        <v>62</v>
      </c>
      <c r="M83" s="68" t="s">
        <v>62</v>
      </c>
      <c r="N83" s="68" t="s">
        <v>62</v>
      </c>
      <c r="O83" s="68" t="s">
        <v>62</v>
      </c>
      <c r="P83" s="68" t="s">
        <v>62</v>
      </c>
      <c r="Q83" s="68" t="s">
        <v>62</v>
      </c>
      <c r="R83" s="68" t="s">
        <v>62</v>
      </c>
      <c r="S83" s="68"/>
      <c r="T83" s="68" t="s">
        <v>62</v>
      </c>
      <c r="U83" s="68" t="s">
        <v>62</v>
      </c>
      <c r="V83" s="68" t="s">
        <v>62</v>
      </c>
      <c r="W83" s="68" t="s">
        <v>62</v>
      </c>
      <c r="X83" s="68" t="s">
        <v>62</v>
      </c>
      <c r="Y83" s="68" t="s">
        <v>62</v>
      </c>
      <c r="Z83" s="68" t="s">
        <v>62</v>
      </c>
      <c r="AA83" s="68" t="s">
        <v>62</v>
      </c>
      <c r="AB83" s="68" t="s">
        <v>62</v>
      </c>
      <c r="AD83" s="109"/>
      <c r="AE83" s="109"/>
      <c r="AF83" s="109"/>
      <c r="AG83" s="109"/>
      <c r="AH83" s="109"/>
      <c r="AI83" s="109"/>
      <c r="AJ83" s="109"/>
      <c r="AK83" s="109"/>
      <c r="AL83" s="109"/>
      <c r="AM83" s="109"/>
      <c r="AN83" s="109"/>
      <c r="AO83" s="109"/>
      <c r="AP83" s="109"/>
    </row>
    <row r="84" ht="25.5" customHeight="1">
      <c r="A84" s="84">
        <f t="shared" si="3"/>
        <v>83</v>
      </c>
      <c r="B84" s="84" t="s">
        <v>307</v>
      </c>
      <c r="C84" s="84" t="s">
        <v>33</v>
      </c>
      <c r="D84" s="84" t="s">
        <v>223</v>
      </c>
      <c r="E84" s="86" t="str">
        <f t="shared" ref="E84:E88" si="16">IF(OR($B84="ALTA",AND(ISNUMBER($W84),$W84&gt;0),AND($U84&lt;&gt;"",$U84&lt;&gt;"NO")),"SI","")</f>
        <v/>
      </c>
      <c r="F84" s="88" t="s">
        <v>35</v>
      </c>
      <c r="G84" s="88" t="s">
        <v>36</v>
      </c>
      <c r="H84" s="84" t="s">
        <v>278</v>
      </c>
      <c r="I84" s="84" t="s">
        <v>38</v>
      </c>
      <c r="J84" s="84" t="s">
        <v>777</v>
      </c>
      <c r="K84" s="84" t="s">
        <v>313</v>
      </c>
      <c r="L84" s="84" t="str">
        <f t="shared" ref="L84:L88" si="17">CONCATENATE(J84,", ",H84,", Cali")</f>
        <v>Carrera 37 # 5b1 - 37, San Fernando, Cali</v>
      </c>
      <c r="M84" s="168" t="s">
        <v>164</v>
      </c>
      <c r="N84" s="168" t="s">
        <v>164</v>
      </c>
      <c r="O84" s="186" t="s">
        <v>46</v>
      </c>
      <c r="P84" s="84"/>
      <c r="Q84" s="84"/>
      <c r="R84" s="88">
        <v>1.0</v>
      </c>
      <c r="S84" s="88"/>
      <c r="T84" s="88"/>
      <c r="U84" s="84"/>
      <c r="V84" s="92"/>
      <c r="W84" s="92"/>
      <c r="X84" s="93"/>
      <c r="Y84" s="84"/>
      <c r="Z84" s="84" t="s">
        <v>778</v>
      </c>
      <c r="AA84" s="84"/>
      <c r="AB84" s="84"/>
      <c r="AD84" s="39"/>
      <c r="AE84" s="39"/>
      <c r="AF84" s="39"/>
      <c r="AG84" s="39"/>
      <c r="AH84" s="39"/>
      <c r="AI84" s="39"/>
      <c r="AJ84" s="39"/>
      <c r="AK84" s="39"/>
      <c r="AL84" s="39"/>
      <c r="AM84" s="39"/>
      <c r="AN84" s="39"/>
      <c r="AO84" s="39"/>
      <c r="AP84" s="39"/>
    </row>
    <row r="85" ht="25.5" customHeight="1">
      <c r="A85" s="187">
        <f t="shared" si="3"/>
        <v>84</v>
      </c>
      <c r="B85" s="187" t="s">
        <v>307</v>
      </c>
      <c r="C85" s="187" t="s">
        <v>270</v>
      </c>
      <c r="D85" s="187" t="s">
        <v>297</v>
      </c>
      <c r="E85" s="188" t="str">
        <f t="shared" si="16"/>
        <v/>
      </c>
      <c r="F85" s="189" t="s">
        <v>102</v>
      </c>
      <c r="G85" s="189" t="s">
        <v>36</v>
      </c>
      <c r="H85" s="187" t="s">
        <v>343</v>
      </c>
      <c r="I85" s="187" t="s">
        <v>38</v>
      </c>
      <c r="J85" s="187" t="s">
        <v>779</v>
      </c>
      <c r="K85" s="187" t="s">
        <v>780</v>
      </c>
      <c r="L85" s="187" t="str">
        <f t="shared" si="17"/>
        <v>calle 2a # 78b-30, Las Vegas, Cali</v>
      </c>
      <c r="M85" s="187" t="s">
        <v>231</v>
      </c>
      <c r="N85" s="187" t="s">
        <v>233</v>
      </c>
      <c r="O85" s="186" t="s">
        <v>46</v>
      </c>
      <c r="P85" s="187"/>
      <c r="Q85" s="187" t="s">
        <v>284</v>
      </c>
      <c r="R85" s="189"/>
      <c r="S85" s="189"/>
      <c r="T85" s="189">
        <v>1.0</v>
      </c>
      <c r="U85" s="187"/>
      <c r="V85" s="190"/>
      <c r="W85" s="190"/>
      <c r="X85" s="191"/>
      <c r="Y85" s="187" t="s">
        <v>781</v>
      </c>
      <c r="Z85" s="187"/>
      <c r="AA85" s="187"/>
      <c r="AB85" s="187"/>
      <c r="AD85" s="39"/>
      <c r="AE85" s="39"/>
      <c r="AF85" s="39"/>
      <c r="AG85" s="39"/>
      <c r="AH85" s="39"/>
      <c r="AI85" s="39"/>
      <c r="AJ85" s="39"/>
      <c r="AK85" s="39"/>
      <c r="AL85" s="39"/>
      <c r="AM85" s="39"/>
      <c r="AN85" s="39"/>
      <c r="AO85" s="39"/>
      <c r="AP85" s="39"/>
    </row>
    <row r="86" ht="25.5" customHeight="1">
      <c r="A86" s="27">
        <f t="shared" si="3"/>
        <v>85</v>
      </c>
      <c r="B86" s="27" t="s">
        <v>61</v>
      </c>
      <c r="C86" s="27" t="s">
        <v>63</v>
      </c>
      <c r="D86" s="27" t="s">
        <v>64</v>
      </c>
      <c r="E86" s="28" t="str">
        <f t="shared" si="16"/>
        <v/>
      </c>
      <c r="F86" s="30" t="s">
        <v>76</v>
      </c>
      <c r="G86" s="30" t="s">
        <v>350</v>
      </c>
      <c r="H86" s="27" t="s">
        <v>782</v>
      </c>
      <c r="I86" s="27" t="s">
        <v>639</v>
      </c>
      <c r="J86" s="27" t="s">
        <v>783</v>
      </c>
      <c r="K86" s="27" t="s">
        <v>784</v>
      </c>
      <c r="L86" s="27" t="str">
        <f t="shared" si="17"/>
        <v>calle 19Norte con Avenida 4 Norte, San vicente, Cali</v>
      </c>
      <c r="M86" s="142" t="s">
        <v>679</v>
      </c>
      <c r="N86" s="142" t="s">
        <v>233</v>
      </c>
      <c r="O86" s="27"/>
      <c r="P86" s="27"/>
      <c r="Q86" s="27" t="s">
        <v>81</v>
      </c>
      <c r="R86" s="30"/>
      <c r="S86" s="30"/>
      <c r="T86" s="30">
        <v>1.0</v>
      </c>
      <c r="U86" s="27"/>
      <c r="V86" s="35"/>
      <c r="W86" s="35"/>
      <c r="X86" s="35">
        <v>1.0</v>
      </c>
      <c r="Y86" s="33"/>
      <c r="Z86" s="33"/>
      <c r="AA86" s="33"/>
      <c r="AB86" s="33"/>
      <c r="AD86" s="22"/>
      <c r="AE86" s="22"/>
      <c r="AF86" s="22"/>
      <c r="AG86" s="22"/>
      <c r="AH86" s="22"/>
      <c r="AI86" s="22"/>
      <c r="AJ86" s="22"/>
      <c r="AK86" s="22"/>
      <c r="AL86" s="22"/>
      <c r="AM86" s="22"/>
      <c r="AN86" s="22"/>
      <c r="AO86" s="22"/>
      <c r="AP86" s="22"/>
    </row>
    <row r="87" ht="25.5" customHeight="1">
      <c r="A87" s="27">
        <f t="shared" si="3"/>
        <v>86</v>
      </c>
      <c r="B87" s="27" t="s">
        <v>61</v>
      </c>
      <c r="C87" s="27" t="s">
        <v>33</v>
      </c>
      <c r="D87" s="27" t="s">
        <v>223</v>
      </c>
      <c r="E87" s="28" t="str">
        <f t="shared" si="16"/>
        <v/>
      </c>
      <c r="F87" s="30" t="s">
        <v>35</v>
      </c>
      <c r="G87" s="30" t="s">
        <v>36</v>
      </c>
      <c r="H87" s="27" t="s">
        <v>202</v>
      </c>
      <c r="I87" s="27" t="s">
        <v>38</v>
      </c>
      <c r="J87" s="27" t="s">
        <v>785</v>
      </c>
      <c r="K87" s="27" t="s">
        <v>786</v>
      </c>
      <c r="L87" s="27" t="str">
        <f t="shared" si="17"/>
        <v>carrera 59 #1e -43, Pampalinda, Cali</v>
      </c>
      <c r="M87" s="27" t="s">
        <v>231</v>
      </c>
      <c r="N87" s="27" t="s">
        <v>233</v>
      </c>
      <c r="O87" s="192" t="s">
        <v>46</v>
      </c>
      <c r="P87" s="27"/>
      <c r="Q87" s="27" t="s">
        <v>787</v>
      </c>
      <c r="R87" s="30"/>
      <c r="S87" s="30"/>
      <c r="T87" s="30">
        <v>1.0</v>
      </c>
      <c r="U87" s="27"/>
      <c r="V87" s="35"/>
      <c r="W87" s="35"/>
      <c r="X87" s="33"/>
      <c r="Y87" s="27" t="s">
        <v>788</v>
      </c>
      <c r="Z87" s="27" t="s">
        <v>789</v>
      </c>
      <c r="AA87" s="27"/>
      <c r="AB87" s="27"/>
      <c r="AC87" s="98"/>
      <c r="AD87" s="33"/>
      <c r="AE87" s="33"/>
      <c r="AF87" s="33"/>
      <c r="AG87" s="33"/>
      <c r="AH87" s="33"/>
      <c r="AI87" s="33"/>
      <c r="AJ87" s="33"/>
      <c r="AK87" s="33"/>
      <c r="AL87" s="33"/>
      <c r="AM87" s="33"/>
      <c r="AN87" s="33"/>
      <c r="AO87" s="33"/>
      <c r="AP87" s="33"/>
    </row>
    <row r="88" ht="25.5" customHeight="1">
      <c r="A88" s="84">
        <f t="shared" si="3"/>
        <v>87</v>
      </c>
      <c r="B88" s="84" t="s">
        <v>61</v>
      </c>
      <c r="C88" s="84" t="s">
        <v>33</v>
      </c>
      <c r="D88" s="84" t="s">
        <v>223</v>
      </c>
      <c r="E88" s="86" t="str">
        <f t="shared" si="16"/>
        <v/>
      </c>
      <c r="F88" s="88" t="s">
        <v>35</v>
      </c>
      <c r="G88" s="88" t="s">
        <v>36</v>
      </c>
      <c r="H88" s="84" t="s">
        <v>278</v>
      </c>
      <c r="I88" s="84" t="s">
        <v>38</v>
      </c>
      <c r="J88" s="84" t="s">
        <v>790</v>
      </c>
      <c r="K88" s="84"/>
      <c r="L88" s="84" t="str">
        <f t="shared" si="17"/>
        <v>Calle 5b1 con carrera 36b, San Fernando, Cali</v>
      </c>
      <c r="M88" s="172" t="s">
        <v>679</v>
      </c>
      <c r="N88" s="172" t="s">
        <v>233</v>
      </c>
      <c r="O88" s="84"/>
      <c r="P88" s="84"/>
      <c r="Q88" s="84" t="s">
        <v>284</v>
      </c>
      <c r="R88" s="88"/>
      <c r="S88" s="88"/>
      <c r="T88" s="88">
        <v>1.0</v>
      </c>
      <c r="U88" s="84"/>
      <c r="V88" s="92"/>
      <c r="W88" s="92"/>
      <c r="X88" s="93"/>
      <c r="Y88" s="84" t="s">
        <v>791</v>
      </c>
      <c r="Z88" s="84" t="s">
        <v>792</v>
      </c>
      <c r="AA88" s="84"/>
      <c r="AB88" s="84"/>
      <c r="AD88" s="39"/>
      <c r="AE88" s="39"/>
      <c r="AF88" s="39"/>
      <c r="AG88" s="39"/>
      <c r="AH88" s="39"/>
      <c r="AI88" s="39"/>
      <c r="AJ88" s="39"/>
      <c r="AK88" s="39"/>
      <c r="AL88" s="39"/>
      <c r="AM88" s="39"/>
      <c r="AN88" s="39"/>
      <c r="AO88" s="39"/>
      <c r="AP88" s="39"/>
    </row>
    <row r="89" ht="25.5" customHeight="1">
      <c r="A89" s="63">
        <f t="shared" si="3"/>
        <v>88</v>
      </c>
      <c r="B89" s="63" t="s">
        <v>62</v>
      </c>
      <c r="C89" s="65" t="s">
        <v>133</v>
      </c>
      <c r="D89" s="108" t="s">
        <v>223</v>
      </c>
      <c r="E89" s="68" t="s">
        <v>62</v>
      </c>
      <c r="F89" s="70" t="s">
        <v>62</v>
      </c>
      <c r="G89" s="70" t="s">
        <v>62</v>
      </c>
      <c r="H89" s="71" t="s">
        <v>62</v>
      </c>
      <c r="I89" s="71" t="s">
        <v>62</v>
      </c>
      <c r="J89" s="68" t="s">
        <v>62</v>
      </c>
      <c r="K89" s="68" t="s">
        <v>62</v>
      </c>
      <c r="L89" s="68" t="s">
        <v>62</v>
      </c>
      <c r="M89" s="68" t="s">
        <v>62</v>
      </c>
      <c r="N89" s="68" t="s">
        <v>62</v>
      </c>
      <c r="O89" s="68" t="s">
        <v>62</v>
      </c>
      <c r="P89" s="68" t="s">
        <v>62</v>
      </c>
      <c r="Q89" s="68" t="s">
        <v>62</v>
      </c>
      <c r="R89" s="68" t="s">
        <v>62</v>
      </c>
      <c r="S89" s="68"/>
      <c r="T89" s="68" t="s">
        <v>62</v>
      </c>
      <c r="U89" s="68" t="s">
        <v>62</v>
      </c>
      <c r="V89" s="68" t="s">
        <v>62</v>
      </c>
      <c r="W89" s="68" t="s">
        <v>62</v>
      </c>
      <c r="X89" s="68" t="s">
        <v>62</v>
      </c>
      <c r="Y89" s="68" t="s">
        <v>62</v>
      </c>
      <c r="Z89" s="68" t="s">
        <v>62</v>
      </c>
      <c r="AA89" s="68" t="s">
        <v>62</v>
      </c>
      <c r="AB89" s="68" t="s">
        <v>62</v>
      </c>
      <c r="AD89" s="109"/>
      <c r="AE89" s="109"/>
      <c r="AF89" s="109"/>
      <c r="AG89" s="109"/>
      <c r="AH89" s="109"/>
      <c r="AI89" s="109"/>
      <c r="AJ89" s="109"/>
      <c r="AK89" s="109"/>
      <c r="AL89" s="109"/>
      <c r="AM89" s="109"/>
      <c r="AN89" s="109"/>
      <c r="AO89" s="109"/>
      <c r="AP89" s="109"/>
    </row>
    <row r="90" ht="25.5" customHeight="1">
      <c r="A90" s="27">
        <f t="shared" si="3"/>
        <v>89</v>
      </c>
      <c r="B90" s="27" t="s">
        <v>61</v>
      </c>
      <c r="C90" s="27" t="s">
        <v>279</v>
      </c>
      <c r="D90" s="27" t="s">
        <v>297</v>
      </c>
      <c r="E90" s="28" t="str">
        <f t="shared" ref="E90:E94" si="18">IF(OR($B90="ALTA",AND(ISNUMBER($W90),$W90&gt;0),AND($U90&lt;&gt;"",$U90&lt;&gt;"NO")),"SI","")</f>
        <v>SI</v>
      </c>
      <c r="F90" s="30" t="s">
        <v>35</v>
      </c>
      <c r="G90" s="30" t="s">
        <v>36</v>
      </c>
      <c r="H90" s="27" t="s">
        <v>278</v>
      </c>
      <c r="I90" s="27" t="s">
        <v>38</v>
      </c>
      <c r="J90" s="27" t="s">
        <v>793</v>
      </c>
      <c r="K90" s="27" t="s">
        <v>794</v>
      </c>
      <c r="L90" s="27" t="str">
        <f t="shared" ref="L90:L94" si="19">CONCATENATE(J90,", ",H90,", Cali")</f>
        <v>calle 5b1 # 36b-06, San Fernando, Cali</v>
      </c>
      <c r="M90" s="142" t="s">
        <v>679</v>
      </c>
      <c r="N90" s="142" t="s">
        <v>233</v>
      </c>
      <c r="O90" s="33"/>
      <c r="P90" s="33"/>
      <c r="Q90" s="33"/>
      <c r="R90" s="35"/>
      <c r="S90" s="35"/>
      <c r="T90" s="35">
        <v>1.0</v>
      </c>
      <c r="U90" s="33"/>
      <c r="V90" s="35"/>
      <c r="W90" s="30">
        <v>1.0</v>
      </c>
      <c r="X90" s="33"/>
      <c r="Y90" s="27" t="s">
        <v>795</v>
      </c>
      <c r="Z90" s="146" t="s">
        <v>796</v>
      </c>
      <c r="AA90" s="146"/>
      <c r="AB90" s="146"/>
      <c r="AC90" s="98"/>
      <c r="AD90" s="193"/>
      <c r="AE90" s="193"/>
      <c r="AF90" s="193"/>
      <c r="AG90" s="193"/>
      <c r="AH90" s="193"/>
      <c r="AI90" s="193"/>
      <c r="AJ90" s="193"/>
      <c r="AK90" s="193"/>
      <c r="AL90" s="193"/>
      <c r="AM90" s="193"/>
      <c r="AN90" s="193"/>
      <c r="AO90" s="193"/>
      <c r="AP90" s="193"/>
    </row>
    <row r="91" ht="25.5" customHeight="1">
      <c r="A91" s="27">
        <f t="shared" si="3"/>
        <v>90</v>
      </c>
      <c r="B91" s="27" t="s">
        <v>61</v>
      </c>
      <c r="C91" s="27" t="s">
        <v>63</v>
      </c>
      <c r="D91" s="27" t="s">
        <v>64</v>
      </c>
      <c r="E91" s="28" t="str">
        <f t="shared" si="18"/>
        <v/>
      </c>
      <c r="F91" s="30" t="s">
        <v>119</v>
      </c>
      <c r="G91" s="30" t="s">
        <v>350</v>
      </c>
      <c r="H91" s="27" t="s">
        <v>445</v>
      </c>
      <c r="I91" s="27" t="s">
        <v>38</v>
      </c>
      <c r="J91" s="27" t="s">
        <v>797</v>
      </c>
      <c r="K91" s="27" t="s">
        <v>798</v>
      </c>
      <c r="L91" s="27" t="str">
        <f t="shared" si="19"/>
        <v>Calle 48 #4D-11, Salomia, Cali</v>
      </c>
      <c r="M91" s="142" t="s">
        <v>679</v>
      </c>
      <c r="N91" s="142" t="s">
        <v>233</v>
      </c>
      <c r="O91" s="27"/>
      <c r="P91" s="27"/>
      <c r="Q91" s="27" t="s">
        <v>81</v>
      </c>
      <c r="R91" s="30"/>
      <c r="S91" s="30"/>
      <c r="T91" s="30">
        <v>1.0</v>
      </c>
      <c r="U91" s="33"/>
      <c r="V91" s="35"/>
      <c r="W91" s="35"/>
      <c r="X91" s="33"/>
      <c r="Y91" s="33"/>
      <c r="Z91" s="33"/>
      <c r="AA91" s="33"/>
      <c r="AB91" s="33"/>
      <c r="AD91" s="22"/>
      <c r="AE91" s="22"/>
      <c r="AF91" s="22"/>
      <c r="AG91" s="22"/>
      <c r="AH91" s="22"/>
      <c r="AI91" s="22"/>
      <c r="AJ91" s="22"/>
      <c r="AK91" s="22"/>
      <c r="AL91" s="22"/>
      <c r="AM91" s="22"/>
      <c r="AN91" s="22"/>
      <c r="AO91" s="22"/>
      <c r="AP91" s="22"/>
    </row>
    <row r="92" ht="25.5" customHeight="1">
      <c r="A92" s="27">
        <f t="shared" si="3"/>
        <v>91</v>
      </c>
      <c r="B92" s="27" t="s">
        <v>61</v>
      </c>
      <c r="C92" s="27" t="s">
        <v>63</v>
      </c>
      <c r="D92" s="27" t="s">
        <v>64</v>
      </c>
      <c r="E92" s="28" t="str">
        <f t="shared" si="18"/>
        <v>SI</v>
      </c>
      <c r="F92" s="30" t="s">
        <v>87</v>
      </c>
      <c r="G92" s="30" t="s">
        <v>36</v>
      </c>
      <c r="H92" s="27" t="s">
        <v>149</v>
      </c>
      <c r="I92" s="27" t="s">
        <v>38</v>
      </c>
      <c r="J92" s="194" t="s">
        <v>799</v>
      </c>
      <c r="K92" s="194"/>
      <c r="L92" s="194" t="str">
        <f t="shared" si="19"/>
        <v>Calle 3d con carrera 67, Buenos Aires, Cali</v>
      </c>
      <c r="M92" s="154" t="s">
        <v>679</v>
      </c>
      <c r="N92" s="154" t="s">
        <v>233</v>
      </c>
      <c r="O92" s="27"/>
      <c r="P92" s="27"/>
      <c r="Q92" s="27" t="s">
        <v>81</v>
      </c>
      <c r="R92" s="30"/>
      <c r="S92" s="30"/>
      <c r="T92" s="30">
        <v>1.0</v>
      </c>
      <c r="U92" s="33"/>
      <c r="V92" s="35"/>
      <c r="W92" s="30">
        <v>3.0</v>
      </c>
      <c r="X92" s="33"/>
      <c r="Y92" s="33"/>
      <c r="Z92" s="33"/>
      <c r="AA92" s="33"/>
      <c r="AB92" s="33"/>
      <c r="AD92" s="22"/>
      <c r="AE92" s="22"/>
      <c r="AF92" s="22"/>
      <c r="AG92" s="22"/>
      <c r="AH92" s="22"/>
      <c r="AI92" s="22"/>
      <c r="AJ92" s="22"/>
      <c r="AK92" s="22"/>
      <c r="AL92" s="22"/>
      <c r="AM92" s="22"/>
      <c r="AN92" s="22"/>
      <c r="AO92" s="22"/>
      <c r="AP92" s="22"/>
    </row>
    <row r="93" ht="25.5" customHeight="1">
      <c r="A93" s="27">
        <f t="shared" si="3"/>
        <v>92</v>
      </c>
      <c r="B93" s="27" t="s">
        <v>307</v>
      </c>
      <c r="C93" s="27" t="s">
        <v>270</v>
      </c>
      <c r="D93" s="27" t="s">
        <v>297</v>
      </c>
      <c r="E93" s="28" t="str">
        <f t="shared" si="18"/>
        <v>SI</v>
      </c>
      <c r="F93" s="30" t="s">
        <v>116</v>
      </c>
      <c r="G93" s="30" t="s">
        <v>350</v>
      </c>
      <c r="H93" s="27" t="s">
        <v>115</v>
      </c>
      <c r="I93" s="27" t="s">
        <v>38</v>
      </c>
      <c r="J93" s="27" t="s">
        <v>800</v>
      </c>
      <c r="K93" s="27"/>
      <c r="L93" s="187" t="str">
        <f t="shared" si="19"/>
        <v>Calle 56 # 3 -88, Barranquilla, Cali</v>
      </c>
      <c r="M93" s="195" t="s">
        <v>679</v>
      </c>
      <c r="N93" s="195" t="s">
        <v>233</v>
      </c>
      <c r="O93" s="187"/>
      <c r="P93" s="187"/>
      <c r="Q93" s="187" t="s">
        <v>284</v>
      </c>
      <c r="R93" s="189"/>
      <c r="S93" s="189"/>
      <c r="T93" s="189">
        <v>1.0</v>
      </c>
      <c r="U93" s="187"/>
      <c r="V93" s="190"/>
      <c r="W93" s="190">
        <v>6.0</v>
      </c>
      <c r="X93" s="191"/>
      <c r="Y93" s="187" t="s">
        <v>801</v>
      </c>
      <c r="Z93" s="187" t="s">
        <v>802</v>
      </c>
      <c r="AA93" s="187"/>
      <c r="AB93" s="187"/>
      <c r="AD93" s="39"/>
      <c r="AE93" s="39"/>
      <c r="AF93" s="39"/>
      <c r="AG93" s="39"/>
      <c r="AH93" s="39"/>
      <c r="AI93" s="39"/>
      <c r="AJ93" s="39"/>
      <c r="AK93" s="39"/>
      <c r="AL93" s="39"/>
      <c r="AM93" s="39"/>
      <c r="AN93" s="39"/>
      <c r="AO93" s="39"/>
      <c r="AP93" s="39"/>
    </row>
    <row r="94" ht="25.5" customHeight="1">
      <c r="A94" s="84">
        <f t="shared" si="3"/>
        <v>93</v>
      </c>
      <c r="B94" s="84" t="s">
        <v>307</v>
      </c>
      <c r="C94" s="84" t="s">
        <v>33</v>
      </c>
      <c r="D94" s="84" t="s">
        <v>297</v>
      </c>
      <c r="E94" s="86" t="str">
        <f t="shared" si="18"/>
        <v/>
      </c>
      <c r="F94" s="88" t="s">
        <v>35</v>
      </c>
      <c r="G94" s="88" t="s">
        <v>36</v>
      </c>
      <c r="H94" s="84" t="s">
        <v>158</v>
      </c>
      <c r="I94" s="84" t="s">
        <v>38</v>
      </c>
      <c r="J94" s="84" t="s">
        <v>803</v>
      </c>
      <c r="K94" s="84" t="s">
        <v>804</v>
      </c>
      <c r="L94" s="84" t="str">
        <f t="shared" si="19"/>
        <v>Calle 1f carrera 59, Cuarto de Legua, Cali</v>
      </c>
      <c r="M94" s="84" t="s">
        <v>231</v>
      </c>
      <c r="N94" s="84" t="s">
        <v>233</v>
      </c>
      <c r="O94" s="186" t="s">
        <v>46</v>
      </c>
      <c r="P94" s="84"/>
      <c r="Q94" s="84" t="s">
        <v>284</v>
      </c>
      <c r="R94" s="88"/>
      <c r="S94" s="88"/>
      <c r="T94" s="88">
        <v>1.0</v>
      </c>
      <c r="U94" s="84"/>
      <c r="V94" s="92"/>
      <c r="W94" s="92"/>
      <c r="X94" s="93"/>
      <c r="Y94" s="84" t="s">
        <v>781</v>
      </c>
      <c r="Z94" s="84" t="s">
        <v>805</v>
      </c>
      <c r="AA94" s="84"/>
      <c r="AB94" s="84"/>
      <c r="AD94" s="39"/>
      <c r="AE94" s="39"/>
      <c r="AF94" s="39"/>
      <c r="AG94" s="39"/>
      <c r="AH94" s="39"/>
      <c r="AI94" s="39"/>
      <c r="AJ94" s="39"/>
      <c r="AK94" s="39"/>
      <c r="AL94" s="39"/>
      <c r="AM94" s="39"/>
      <c r="AN94" s="39"/>
      <c r="AO94" s="39"/>
      <c r="AP94" s="39"/>
    </row>
    <row r="95" ht="25.5" customHeight="1">
      <c r="A95" s="63">
        <f t="shared" si="3"/>
        <v>94</v>
      </c>
      <c r="B95" s="63" t="s">
        <v>62</v>
      </c>
      <c r="C95" s="65" t="s">
        <v>133</v>
      </c>
      <c r="D95" s="108" t="s">
        <v>34</v>
      </c>
      <c r="E95" s="68" t="s">
        <v>62</v>
      </c>
      <c r="F95" s="70" t="s">
        <v>62</v>
      </c>
      <c r="G95" s="70" t="s">
        <v>62</v>
      </c>
      <c r="H95" s="71" t="s">
        <v>62</v>
      </c>
      <c r="I95" s="71" t="s">
        <v>62</v>
      </c>
      <c r="J95" s="68" t="s">
        <v>62</v>
      </c>
      <c r="K95" s="68" t="s">
        <v>62</v>
      </c>
      <c r="L95" s="68" t="s">
        <v>62</v>
      </c>
      <c r="M95" s="68" t="s">
        <v>62</v>
      </c>
      <c r="N95" s="68" t="s">
        <v>62</v>
      </c>
      <c r="O95" s="68" t="s">
        <v>62</v>
      </c>
      <c r="P95" s="68" t="s">
        <v>62</v>
      </c>
      <c r="Q95" s="68" t="s">
        <v>62</v>
      </c>
      <c r="R95" s="68" t="s">
        <v>62</v>
      </c>
      <c r="S95" s="68"/>
      <c r="T95" s="68" t="s">
        <v>62</v>
      </c>
      <c r="U95" s="68" t="s">
        <v>62</v>
      </c>
      <c r="V95" s="68" t="s">
        <v>62</v>
      </c>
      <c r="W95" s="68" t="s">
        <v>62</v>
      </c>
      <c r="X95" s="68" t="s">
        <v>62</v>
      </c>
      <c r="Y95" s="68" t="s">
        <v>62</v>
      </c>
      <c r="Z95" s="68" t="s">
        <v>62</v>
      </c>
      <c r="AA95" s="68" t="s">
        <v>62</v>
      </c>
      <c r="AB95" s="68" t="s">
        <v>62</v>
      </c>
      <c r="AD95" s="196"/>
      <c r="AE95" s="196"/>
      <c r="AF95" s="196"/>
      <c r="AG95" s="196"/>
      <c r="AH95" s="196"/>
      <c r="AI95" s="196"/>
      <c r="AJ95" s="196"/>
      <c r="AK95" s="196"/>
      <c r="AL95" s="196"/>
      <c r="AM95" s="196"/>
      <c r="AN95" s="196"/>
      <c r="AO95" s="196"/>
      <c r="AP95" s="196"/>
    </row>
    <row r="96" ht="25.5" customHeight="1">
      <c r="A96" s="27">
        <f t="shared" si="3"/>
        <v>95</v>
      </c>
      <c r="B96" s="27" t="s">
        <v>61</v>
      </c>
      <c r="C96" s="27" t="s">
        <v>63</v>
      </c>
      <c r="D96" s="27" t="s">
        <v>64</v>
      </c>
      <c r="E96" s="28" t="str">
        <f t="shared" ref="E96:E110" si="20">IF(OR($B96="ALTA",AND(ISNUMBER($W96),$W96&gt;0),AND($U96&lt;&gt;"",$U96&lt;&gt;"NO")),"SI","")</f>
        <v/>
      </c>
      <c r="F96" s="30" t="s">
        <v>110</v>
      </c>
      <c r="G96" s="30" t="s">
        <v>176</v>
      </c>
      <c r="H96" s="197" t="s">
        <v>466</v>
      </c>
      <c r="I96" s="197" t="s">
        <v>38</v>
      </c>
      <c r="J96" s="27" t="s">
        <v>806</v>
      </c>
      <c r="K96" s="27" t="s">
        <v>807</v>
      </c>
      <c r="L96" s="27" t="str">
        <f t="shared" ref="L96:L110" si="21">CONCATENATE(J96,", ",H96,", Cali")</f>
        <v>Cra. 7 # 10-19, San Pedro, Cali</v>
      </c>
      <c r="M96" s="142" t="s">
        <v>679</v>
      </c>
      <c r="N96" s="142" t="s">
        <v>233</v>
      </c>
      <c r="O96" s="27"/>
      <c r="P96" s="27"/>
      <c r="Q96" s="27" t="s">
        <v>81</v>
      </c>
      <c r="R96" s="30"/>
      <c r="S96" s="30"/>
      <c r="T96" s="30">
        <v>1.0</v>
      </c>
      <c r="U96" s="33"/>
      <c r="V96" s="35"/>
      <c r="W96" s="35"/>
      <c r="X96" s="33"/>
      <c r="Y96" s="33"/>
      <c r="Z96" s="33"/>
      <c r="AA96" s="33"/>
      <c r="AB96" s="33"/>
      <c r="AD96" s="22"/>
      <c r="AE96" s="22"/>
      <c r="AF96" s="22"/>
      <c r="AG96" s="22"/>
      <c r="AH96" s="22"/>
      <c r="AI96" s="22"/>
      <c r="AJ96" s="22"/>
      <c r="AK96" s="22"/>
      <c r="AL96" s="22"/>
      <c r="AM96" s="22"/>
      <c r="AN96" s="22"/>
      <c r="AO96" s="22"/>
      <c r="AP96" s="22"/>
    </row>
    <row r="97" ht="25.5" customHeight="1">
      <c r="A97" s="27">
        <f t="shared" si="3"/>
        <v>96</v>
      </c>
      <c r="B97" s="27" t="s">
        <v>61</v>
      </c>
      <c r="C97" s="27" t="s">
        <v>63</v>
      </c>
      <c r="D97" s="27" t="s">
        <v>64</v>
      </c>
      <c r="E97" s="28" t="str">
        <f t="shared" si="20"/>
        <v/>
      </c>
      <c r="F97" s="30" t="s">
        <v>35</v>
      </c>
      <c r="G97" s="30" t="s">
        <v>36</v>
      </c>
      <c r="H97" s="27" t="s">
        <v>808</v>
      </c>
      <c r="I97" s="27" t="s">
        <v>286</v>
      </c>
      <c r="J97" s="198" t="s">
        <v>809</v>
      </c>
      <c r="K97" s="198"/>
      <c r="L97" s="198" t="str">
        <f t="shared" si="21"/>
        <v>Calle 4 con carrera 44, El lido, Cali</v>
      </c>
      <c r="M97" s="154" t="s">
        <v>679</v>
      </c>
      <c r="N97" s="154" t="s">
        <v>233</v>
      </c>
      <c r="O97" s="27"/>
      <c r="P97" s="27"/>
      <c r="Q97" s="27" t="s">
        <v>81</v>
      </c>
      <c r="R97" s="30"/>
      <c r="S97" s="30"/>
      <c r="T97" s="30">
        <v>1.0</v>
      </c>
      <c r="U97" s="33"/>
      <c r="V97" s="35"/>
      <c r="W97" s="35"/>
      <c r="X97" s="33"/>
      <c r="Y97" s="33"/>
      <c r="Z97" s="33"/>
      <c r="AA97" s="33"/>
      <c r="AB97" s="33"/>
      <c r="AD97" s="22"/>
      <c r="AE97" s="22"/>
      <c r="AF97" s="22"/>
      <c r="AG97" s="22"/>
      <c r="AH97" s="22"/>
      <c r="AI97" s="22"/>
      <c r="AJ97" s="22"/>
      <c r="AK97" s="22"/>
      <c r="AL97" s="22"/>
      <c r="AM97" s="22"/>
      <c r="AN97" s="22"/>
      <c r="AO97" s="22"/>
      <c r="AP97" s="22"/>
    </row>
    <row r="98" ht="25.5" customHeight="1">
      <c r="A98" s="27">
        <f t="shared" si="3"/>
        <v>97</v>
      </c>
      <c r="B98" s="27" t="s">
        <v>61</v>
      </c>
      <c r="C98" s="27" t="s">
        <v>270</v>
      </c>
      <c r="D98" s="27" t="s">
        <v>297</v>
      </c>
      <c r="E98" s="28" t="str">
        <f t="shared" si="20"/>
        <v/>
      </c>
      <c r="F98" s="30" t="s">
        <v>110</v>
      </c>
      <c r="G98" s="30" t="s">
        <v>176</v>
      </c>
      <c r="H98" s="27" t="s">
        <v>466</v>
      </c>
      <c r="I98" s="27" t="s">
        <v>38</v>
      </c>
      <c r="J98" s="27" t="s">
        <v>810</v>
      </c>
      <c r="K98" s="27"/>
      <c r="L98" s="187" t="str">
        <f t="shared" si="21"/>
        <v>Carrera 7 con calle 12, San Pedro, Cali</v>
      </c>
      <c r="M98" s="195" t="s">
        <v>679</v>
      </c>
      <c r="N98" s="195" t="s">
        <v>233</v>
      </c>
      <c r="O98" s="187"/>
      <c r="P98" s="187"/>
      <c r="Q98" s="187" t="s">
        <v>284</v>
      </c>
      <c r="R98" s="189"/>
      <c r="S98" s="189"/>
      <c r="T98" s="189">
        <v>1.0</v>
      </c>
      <c r="U98" s="187"/>
      <c r="V98" s="190"/>
      <c r="W98" s="190"/>
      <c r="X98" s="191"/>
      <c r="Y98" s="187" t="s">
        <v>781</v>
      </c>
      <c r="Z98" s="187" t="s">
        <v>811</v>
      </c>
      <c r="AA98" s="187"/>
      <c r="AB98" s="187"/>
      <c r="AD98" s="39"/>
      <c r="AE98" s="39"/>
      <c r="AF98" s="39"/>
      <c r="AG98" s="39"/>
      <c r="AH98" s="39"/>
      <c r="AI98" s="39"/>
      <c r="AJ98" s="39"/>
      <c r="AK98" s="39"/>
      <c r="AL98" s="39"/>
      <c r="AM98" s="39"/>
      <c r="AN98" s="39"/>
      <c r="AO98" s="39"/>
      <c r="AP98" s="39"/>
    </row>
    <row r="99" ht="25.5" customHeight="1">
      <c r="A99" s="27">
        <f t="shared" si="3"/>
        <v>98</v>
      </c>
      <c r="B99" s="27" t="s">
        <v>32</v>
      </c>
      <c r="C99" s="27" t="s">
        <v>270</v>
      </c>
      <c r="D99" s="27" t="s">
        <v>297</v>
      </c>
      <c r="E99" s="28" t="str">
        <f t="shared" si="20"/>
        <v>SI</v>
      </c>
      <c r="F99" s="30" t="s">
        <v>35</v>
      </c>
      <c r="G99" s="30" t="s">
        <v>36</v>
      </c>
      <c r="H99" s="27" t="s">
        <v>278</v>
      </c>
      <c r="I99" s="27" t="s">
        <v>286</v>
      </c>
      <c r="J99" s="27" t="s">
        <v>368</v>
      </c>
      <c r="K99" s="27"/>
      <c r="L99" s="27" t="str">
        <f t="shared" si="21"/>
        <v>Carrera 39/38A # 5d - 09, San Fernando, Cali</v>
      </c>
      <c r="M99" s="27" t="s">
        <v>41</v>
      </c>
      <c r="N99" s="27" t="s">
        <v>41</v>
      </c>
      <c r="O99" s="27"/>
      <c r="P99" s="27"/>
      <c r="Q99" s="27" t="s">
        <v>377</v>
      </c>
      <c r="R99" s="30">
        <v>1.0</v>
      </c>
      <c r="S99" s="30"/>
      <c r="T99" s="30"/>
      <c r="U99" s="27" t="s">
        <v>46</v>
      </c>
      <c r="V99" s="35"/>
      <c r="W99" s="35"/>
      <c r="X99" s="33"/>
      <c r="Y99" s="27" t="s">
        <v>812</v>
      </c>
      <c r="Z99" s="27" t="s">
        <v>384</v>
      </c>
      <c r="AA99" s="27"/>
      <c r="AB99" s="27"/>
      <c r="AC99" s="98"/>
      <c r="AD99" s="97"/>
      <c r="AE99" s="97"/>
      <c r="AF99" s="97"/>
      <c r="AG99" s="97"/>
      <c r="AH99" s="97"/>
      <c r="AI99" s="97"/>
      <c r="AJ99" s="97"/>
      <c r="AK99" s="97"/>
      <c r="AL99" s="97"/>
      <c r="AM99" s="97"/>
      <c r="AN99" s="97"/>
      <c r="AO99" s="97"/>
      <c r="AP99" s="97"/>
    </row>
    <row r="100" ht="25.5" customHeight="1">
      <c r="A100" s="27">
        <f t="shared" si="3"/>
        <v>99</v>
      </c>
      <c r="B100" s="27" t="s">
        <v>61</v>
      </c>
      <c r="C100" s="27" t="s">
        <v>63</v>
      </c>
      <c r="D100" s="27" t="s">
        <v>64</v>
      </c>
      <c r="E100" s="28" t="str">
        <f t="shared" si="20"/>
        <v>SI</v>
      </c>
      <c r="F100" s="30" t="s">
        <v>35</v>
      </c>
      <c r="G100" s="30" t="s">
        <v>36</v>
      </c>
      <c r="H100" s="27" t="s">
        <v>278</v>
      </c>
      <c r="I100" s="27" t="s">
        <v>38</v>
      </c>
      <c r="J100" s="27" t="s">
        <v>813</v>
      </c>
      <c r="K100" s="27" t="s">
        <v>814</v>
      </c>
      <c r="L100" s="27" t="str">
        <f t="shared" si="21"/>
        <v>calle 36 # 5 - 145, San Fernando, Cali</v>
      </c>
      <c r="M100" s="27" t="s">
        <v>41</v>
      </c>
      <c r="N100" s="27" t="s">
        <v>41</v>
      </c>
      <c r="O100" s="27"/>
      <c r="P100" s="27"/>
      <c r="Q100" s="27" t="s">
        <v>81</v>
      </c>
      <c r="R100" s="30">
        <v>1.0</v>
      </c>
      <c r="S100" s="30"/>
      <c r="T100" s="30"/>
      <c r="U100" s="33"/>
      <c r="V100" s="35"/>
      <c r="W100" s="30">
        <v>1.0</v>
      </c>
      <c r="X100" s="33"/>
      <c r="Y100" s="33"/>
      <c r="Z100" s="27" t="s">
        <v>815</v>
      </c>
      <c r="AA100" s="27"/>
      <c r="AB100" s="27"/>
      <c r="AD100" s="22"/>
      <c r="AE100" s="22"/>
      <c r="AF100" s="22"/>
      <c r="AG100" s="22"/>
      <c r="AH100" s="22"/>
      <c r="AI100" s="22"/>
      <c r="AJ100" s="22"/>
      <c r="AK100" s="22"/>
      <c r="AL100" s="22"/>
      <c r="AM100" s="22"/>
      <c r="AN100" s="22"/>
      <c r="AO100" s="22"/>
      <c r="AP100" s="22"/>
    </row>
    <row r="101" ht="25.5" customHeight="1">
      <c r="A101" s="27">
        <f t="shared" si="3"/>
        <v>100</v>
      </c>
      <c r="B101" s="27" t="s">
        <v>61</v>
      </c>
      <c r="C101" s="27" t="s">
        <v>63</v>
      </c>
      <c r="D101" s="27" t="s">
        <v>64</v>
      </c>
      <c r="E101" s="28" t="str">
        <f t="shared" si="20"/>
        <v>SI</v>
      </c>
      <c r="F101" s="30" t="s">
        <v>35</v>
      </c>
      <c r="G101" s="30" t="s">
        <v>36</v>
      </c>
      <c r="H101" s="27" t="s">
        <v>255</v>
      </c>
      <c r="I101" s="27" t="s">
        <v>38</v>
      </c>
      <c r="J101" s="27" t="s">
        <v>816</v>
      </c>
      <c r="K101" s="27"/>
      <c r="L101" s="27" t="str">
        <f t="shared" si="21"/>
        <v>Calle 3 # 58-135, El Refugio, Cali</v>
      </c>
      <c r="M101" s="154" t="s">
        <v>679</v>
      </c>
      <c r="N101" s="154" t="s">
        <v>233</v>
      </c>
      <c r="O101" s="27"/>
      <c r="P101" s="27"/>
      <c r="Q101" s="27" t="s">
        <v>81</v>
      </c>
      <c r="R101" s="30"/>
      <c r="S101" s="30"/>
      <c r="T101" s="30">
        <v>1.0</v>
      </c>
      <c r="U101" s="33"/>
      <c r="V101" s="35"/>
      <c r="W101" s="30">
        <v>4.0</v>
      </c>
      <c r="X101" s="33"/>
      <c r="Y101" s="33"/>
      <c r="Z101" s="27" t="s">
        <v>817</v>
      </c>
      <c r="AA101" s="27" t="s">
        <v>818</v>
      </c>
      <c r="AB101" s="27"/>
      <c r="AD101" s="39"/>
      <c r="AE101" s="39"/>
      <c r="AF101" s="39"/>
      <c r="AG101" s="39"/>
      <c r="AH101" s="39"/>
      <c r="AI101" s="39"/>
      <c r="AJ101" s="39"/>
      <c r="AK101" s="39"/>
      <c r="AL101" s="39"/>
      <c r="AM101" s="39"/>
      <c r="AN101" s="39"/>
      <c r="AO101" s="39"/>
      <c r="AP101" s="39"/>
    </row>
    <row r="102" ht="25.5" customHeight="1">
      <c r="A102" s="27">
        <f t="shared" si="3"/>
        <v>101</v>
      </c>
      <c r="B102" s="27" t="s">
        <v>61</v>
      </c>
      <c r="C102" s="27" t="s">
        <v>63</v>
      </c>
      <c r="D102" s="27" t="s">
        <v>64</v>
      </c>
      <c r="E102" s="28" t="str">
        <f t="shared" si="20"/>
        <v/>
      </c>
      <c r="F102" s="30" t="s">
        <v>35</v>
      </c>
      <c r="G102" s="30" t="s">
        <v>36</v>
      </c>
      <c r="H102" s="27" t="s">
        <v>255</v>
      </c>
      <c r="I102" s="27" t="s">
        <v>38</v>
      </c>
      <c r="J102" s="27" t="s">
        <v>819</v>
      </c>
      <c r="K102" s="27"/>
      <c r="L102" s="27" t="str">
        <f t="shared" si="21"/>
        <v>Carrera 63 # 3c - 76, El Refugio, Cali</v>
      </c>
      <c r="M102" s="154" t="s">
        <v>679</v>
      </c>
      <c r="N102" s="154" t="s">
        <v>233</v>
      </c>
      <c r="O102" s="27"/>
      <c r="P102" s="27"/>
      <c r="Q102" s="27" t="s">
        <v>81</v>
      </c>
      <c r="R102" s="30"/>
      <c r="S102" s="30"/>
      <c r="T102" s="30">
        <v>1.0</v>
      </c>
      <c r="U102" s="33"/>
      <c r="V102" s="35"/>
      <c r="W102" s="30"/>
      <c r="X102" s="33"/>
      <c r="Y102" s="33"/>
      <c r="Z102" s="27"/>
      <c r="AA102" s="27"/>
      <c r="AB102" s="27"/>
      <c r="AD102" s="22"/>
      <c r="AE102" s="22"/>
      <c r="AF102" s="22"/>
      <c r="AG102" s="22"/>
      <c r="AH102" s="22"/>
      <c r="AI102" s="22"/>
      <c r="AJ102" s="22"/>
      <c r="AK102" s="22"/>
      <c r="AL102" s="22"/>
      <c r="AM102" s="22"/>
      <c r="AN102" s="22"/>
      <c r="AO102" s="22"/>
      <c r="AP102" s="22"/>
    </row>
    <row r="103" ht="25.5" customHeight="1">
      <c r="A103" s="84">
        <f t="shared" si="3"/>
        <v>102</v>
      </c>
      <c r="B103" s="84" t="s">
        <v>61</v>
      </c>
      <c r="C103" s="84" t="s">
        <v>33</v>
      </c>
      <c r="D103" s="84" t="s">
        <v>223</v>
      </c>
      <c r="E103" s="86" t="str">
        <f t="shared" si="20"/>
        <v/>
      </c>
      <c r="F103" s="88" t="s">
        <v>76</v>
      </c>
      <c r="G103" s="88" t="s">
        <v>350</v>
      </c>
      <c r="H103" s="84" t="s">
        <v>432</v>
      </c>
      <c r="I103" s="84" t="s">
        <v>38</v>
      </c>
      <c r="J103" s="84" t="s">
        <v>820</v>
      </c>
      <c r="K103" s="84"/>
      <c r="L103" s="84" t="str">
        <f t="shared" si="21"/>
        <v>Calle 36 Norte # 3GN-93, Prados del Norte, Cali</v>
      </c>
      <c r="M103" s="172" t="s">
        <v>679</v>
      </c>
      <c r="N103" s="172" t="s">
        <v>233</v>
      </c>
      <c r="O103" s="84"/>
      <c r="P103" s="84"/>
      <c r="Q103" s="84" t="s">
        <v>284</v>
      </c>
      <c r="R103" s="88"/>
      <c r="S103" s="88"/>
      <c r="T103" s="88">
        <v>1.0</v>
      </c>
      <c r="U103" s="84" t="s">
        <v>83</v>
      </c>
      <c r="V103" s="92"/>
      <c r="W103" s="92"/>
      <c r="X103" s="93"/>
      <c r="Y103" s="84" t="s">
        <v>821</v>
      </c>
      <c r="Z103" s="84" t="s">
        <v>822</v>
      </c>
      <c r="AA103" s="84"/>
      <c r="AB103" s="84"/>
      <c r="AD103" s="39"/>
      <c r="AE103" s="39"/>
      <c r="AF103" s="39"/>
      <c r="AG103" s="39"/>
      <c r="AH103" s="39"/>
      <c r="AI103" s="39"/>
      <c r="AJ103" s="39"/>
      <c r="AK103" s="39"/>
      <c r="AL103" s="39"/>
      <c r="AM103" s="39"/>
      <c r="AN103" s="39"/>
      <c r="AO103" s="39"/>
      <c r="AP103" s="39"/>
    </row>
    <row r="104" ht="25.5" customHeight="1">
      <c r="A104" s="27">
        <f t="shared" si="3"/>
        <v>103</v>
      </c>
      <c r="B104" s="27" t="s">
        <v>61</v>
      </c>
      <c r="C104" s="27" t="s">
        <v>63</v>
      </c>
      <c r="D104" s="27" t="s">
        <v>64</v>
      </c>
      <c r="E104" s="28" t="str">
        <f t="shared" si="20"/>
        <v/>
      </c>
      <c r="F104" s="30" t="s">
        <v>35</v>
      </c>
      <c r="G104" s="30" t="s">
        <v>36</v>
      </c>
      <c r="H104" s="197" t="s">
        <v>227</v>
      </c>
      <c r="I104" s="197" t="s">
        <v>38</v>
      </c>
      <c r="J104" s="27" t="s">
        <v>823</v>
      </c>
      <c r="K104" s="27" t="s">
        <v>824</v>
      </c>
      <c r="L104" s="27" t="str">
        <f t="shared" si="21"/>
        <v>Calle 8 #39-120, Los Cámbulos, Cali</v>
      </c>
      <c r="M104" s="142" t="s">
        <v>679</v>
      </c>
      <c r="N104" s="142" t="s">
        <v>233</v>
      </c>
      <c r="O104" s="27"/>
      <c r="P104" s="27"/>
      <c r="Q104" s="27" t="s">
        <v>81</v>
      </c>
      <c r="R104" s="30"/>
      <c r="S104" s="30"/>
      <c r="T104" s="30">
        <v>1.0</v>
      </c>
      <c r="U104" s="33" t="s">
        <v>83</v>
      </c>
      <c r="V104" s="35"/>
      <c r="W104" s="30"/>
      <c r="X104" s="33"/>
      <c r="Y104" s="33"/>
      <c r="Z104" s="27"/>
      <c r="AA104" s="27"/>
      <c r="AB104" s="27"/>
      <c r="AD104" s="39"/>
      <c r="AE104" s="39"/>
      <c r="AF104" s="39"/>
      <c r="AG104" s="39"/>
      <c r="AH104" s="39"/>
      <c r="AI104" s="39"/>
      <c r="AJ104" s="39"/>
      <c r="AK104" s="39"/>
      <c r="AL104" s="39"/>
      <c r="AM104" s="39"/>
      <c r="AN104" s="39"/>
      <c r="AO104" s="39"/>
      <c r="AP104" s="39"/>
    </row>
    <row r="105" ht="25.5" customHeight="1">
      <c r="A105" s="27">
        <f t="shared" si="3"/>
        <v>104</v>
      </c>
      <c r="B105" s="27" t="s">
        <v>61</v>
      </c>
      <c r="C105" s="27" t="s">
        <v>63</v>
      </c>
      <c r="D105" s="27" t="s">
        <v>64</v>
      </c>
      <c r="E105" s="199" t="str">
        <f t="shared" si="20"/>
        <v/>
      </c>
      <c r="F105" s="30" t="s">
        <v>76</v>
      </c>
      <c r="G105" s="30" t="s">
        <v>350</v>
      </c>
      <c r="H105" s="197" t="s">
        <v>481</v>
      </c>
      <c r="I105" s="197" t="s">
        <v>38</v>
      </c>
      <c r="J105" s="146" t="s">
        <v>825</v>
      </c>
      <c r="K105" s="146" t="s">
        <v>826</v>
      </c>
      <c r="L105" s="146" t="str">
        <f t="shared" si="21"/>
        <v>Calle 22 Bis Norte # 9-11, Santa Mónica Residencial, Cali</v>
      </c>
      <c r="M105" s="148" t="s">
        <v>679</v>
      </c>
      <c r="N105" s="148" t="s">
        <v>233</v>
      </c>
      <c r="O105" s="27"/>
      <c r="P105" s="27"/>
      <c r="Q105" s="27" t="s">
        <v>81</v>
      </c>
      <c r="R105" s="30"/>
      <c r="S105" s="30"/>
      <c r="T105" s="30">
        <v>1.0</v>
      </c>
      <c r="U105" s="33" t="s">
        <v>83</v>
      </c>
      <c r="V105" s="35"/>
      <c r="W105" s="30"/>
      <c r="X105" s="33"/>
      <c r="Y105" s="33"/>
      <c r="Z105" s="200"/>
      <c r="AA105" s="200"/>
      <c r="AB105" s="200"/>
      <c r="AD105" s="39"/>
      <c r="AE105" s="39"/>
      <c r="AF105" s="39"/>
      <c r="AG105" s="39"/>
      <c r="AH105" s="39"/>
      <c r="AI105" s="39"/>
      <c r="AJ105" s="39"/>
      <c r="AK105" s="39"/>
      <c r="AL105" s="39"/>
      <c r="AM105" s="39"/>
      <c r="AN105" s="39"/>
      <c r="AO105" s="39"/>
      <c r="AP105" s="39"/>
    </row>
    <row r="106" ht="25.5" customHeight="1">
      <c r="A106" s="27">
        <f t="shared" si="3"/>
        <v>105</v>
      </c>
      <c r="B106" s="27" t="s">
        <v>61</v>
      </c>
      <c r="C106" s="27" t="s">
        <v>63</v>
      </c>
      <c r="D106" s="27" t="s">
        <v>64</v>
      </c>
      <c r="E106" s="28" t="str">
        <f t="shared" si="20"/>
        <v/>
      </c>
      <c r="F106" s="30" t="s">
        <v>105</v>
      </c>
      <c r="G106" s="30" t="s">
        <v>426</v>
      </c>
      <c r="H106" s="27" t="s">
        <v>189</v>
      </c>
      <c r="I106" s="27" t="s">
        <v>38</v>
      </c>
      <c r="J106" s="27" t="s">
        <v>827</v>
      </c>
      <c r="K106" s="27"/>
      <c r="L106" s="27" t="str">
        <f t="shared" si="21"/>
        <v>Carrera 54 # 33B - 07, Ciudad 2000, Cali</v>
      </c>
      <c r="M106" s="154" t="s">
        <v>679</v>
      </c>
      <c r="N106" s="154" t="s">
        <v>233</v>
      </c>
      <c r="O106" s="27"/>
      <c r="P106" s="27"/>
      <c r="Q106" s="27" t="s">
        <v>81</v>
      </c>
      <c r="R106" s="30"/>
      <c r="S106" s="30"/>
      <c r="T106" s="30">
        <v>1.0</v>
      </c>
      <c r="U106" s="33" t="s">
        <v>83</v>
      </c>
      <c r="V106" s="35"/>
      <c r="W106" s="30"/>
      <c r="X106" s="33"/>
      <c r="Y106" s="33"/>
      <c r="Z106" s="27"/>
      <c r="AA106" s="27"/>
      <c r="AB106" s="27"/>
      <c r="AD106" s="39"/>
      <c r="AE106" s="39"/>
      <c r="AF106" s="39"/>
      <c r="AG106" s="39"/>
      <c r="AH106" s="39"/>
      <c r="AI106" s="39"/>
      <c r="AJ106" s="39"/>
      <c r="AK106" s="39"/>
      <c r="AL106" s="39"/>
      <c r="AM106" s="39"/>
      <c r="AN106" s="39"/>
      <c r="AO106" s="39"/>
      <c r="AP106" s="39"/>
    </row>
    <row r="107" ht="25.5" customHeight="1">
      <c r="A107" s="27">
        <f t="shared" si="3"/>
        <v>106</v>
      </c>
      <c r="B107" s="27" t="s">
        <v>61</v>
      </c>
      <c r="C107" s="27" t="s">
        <v>63</v>
      </c>
      <c r="D107" s="27" t="s">
        <v>64</v>
      </c>
      <c r="E107" s="28" t="str">
        <f t="shared" si="20"/>
        <v/>
      </c>
      <c r="F107" s="30" t="s">
        <v>105</v>
      </c>
      <c r="G107" s="30" t="s">
        <v>426</v>
      </c>
      <c r="H107" s="197" t="s">
        <v>499</v>
      </c>
      <c r="I107" s="197" t="s">
        <v>286</v>
      </c>
      <c r="J107" s="27" t="s">
        <v>828</v>
      </c>
      <c r="K107" s="27"/>
      <c r="L107" s="27" t="str">
        <f t="shared" si="21"/>
        <v>Calle 40 # 41 H - 15, Unión de Vivienda Popular, Cali</v>
      </c>
      <c r="M107" s="27" t="s">
        <v>41</v>
      </c>
      <c r="N107" s="27" t="s">
        <v>41</v>
      </c>
      <c r="O107" s="27"/>
      <c r="P107" s="27"/>
      <c r="Q107" s="27" t="s">
        <v>81</v>
      </c>
      <c r="R107" s="30">
        <v>1.0</v>
      </c>
      <c r="S107" s="30"/>
      <c r="T107" s="30"/>
      <c r="U107" s="33"/>
      <c r="V107" s="35"/>
      <c r="W107" s="30"/>
      <c r="X107" s="33"/>
      <c r="Y107" s="33"/>
      <c r="Z107" s="27"/>
      <c r="AA107" s="27"/>
      <c r="AB107" s="27"/>
      <c r="AD107" s="39"/>
      <c r="AE107" s="39"/>
      <c r="AF107" s="39"/>
      <c r="AG107" s="39"/>
      <c r="AH107" s="39"/>
      <c r="AI107" s="39"/>
      <c r="AJ107" s="39"/>
      <c r="AK107" s="39"/>
      <c r="AL107" s="39"/>
      <c r="AM107" s="39"/>
      <c r="AN107" s="39"/>
      <c r="AO107" s="39"/>
      <c r="AP107" s="39"/>
    </row>
    <row r="108" ht="25.5" customHeight="1">
      <c r="A108" s="27">
        <f t="shared" si="3"/>
        <v>107</v>
      </c>
      <c r="B108" s="27" t="s">
        <v>61</v>
      </c>
      <c r="C108" s="27" t="s">
        <v>63</v>
      </c>
      <c r="D108" s="27" t="s">
        <v>64</v>
      </c>
      <c r="E108" s="28" t="str">
        <f t="shared" si="20"/>
        <v/>
      </c>
      <c r="F108" s="30" t="s">
        <v>105</v>
      </c>
      <c r="G108" s="30" t="s">
        <v>426</v>
      </c>
      <c r="H108" s="27" t="s">
        <v>378</v>
      </c>
      <c r="I108" s="27" t="s">
        <v>286</v>
      </c>
      <c r="J108" s="27" t="s">
        <v>829</v>
      </c>
      <c r="K108" s="27"/>
      <c r="L108" s="27" t="str">
        <f t="shared" si="21"/>
        <v>Carrera 49a # 43-19, Mariano ramos, Cali</v>
      </c>
      <c r="M108" s="154" t="s">
        <v>679</v>
      </c>
      <c r="N108" s="154" t="s">
        <v>233</v>
      </c>
      <c r="O108" s="27"/>
      <c r="P108" s="27"/>
      <c r="Q108" s="27" t="s">
        <v>81</v>
      </c>
      <c r="R108" s="30"/>
      <c r="S108" s="30"/>
      <c r="T108" s="30">
        <v>1.0</v>
      </c>
      <c r="U108" s="27"/>
      <c r="V108" s="27"/>
      <c r="W108" s="27"/>
      <c r="X108" s="27"/>
      <c r="Y108" s="27" t="s">
        <v>830</v>
      </c>
      <c r="Z108" s="27" t="s">
        <v>831</v>
      </c>
      <c r="AA108" s="27"/>
      <c r="AB108" s="27"/>
      <c r="AD108" s="39"/>
      <c r="AE108" s="39"/>
      <c r="AF108" s="39"/>
      <c r="AG108" s="39"/>
      <c r="AH108" s="39"/>
      <c r="AI108" s="39"/>
      <c r="AJ108" s="39"/>
      <c r="AK108" s="39"/>
      <c r="AL108" s="39"/>
      <c r="AM108" s="39"/>
      <c r="AN108" s="39"/>
      <c r="AO108" s="39"/>
      <c r="AP108" s="39"/>
    </row>
    <row r="109" ht="25.5" customHeight="1">
      <c r="A109" s="84">
        <f t="shared" si="3"/>
        <v>108</v>
      </c>
      <c r="B109" s="84" t="s">
        <v>307</v>
      </c>
      <c r="C109" s="84" t="s">
        <v>33</v>
      </c>
      <c r="D109" s="84" t="s">
        <v>223</v>
      </c>
      <c r="E109" s="86" t="str">
        <f t="shared" si="20"/>
        <v>SI</v>
      </c>
      <c r="F109" s="88" t="s">
        <v>35</v>
      </c>
      <c r="G109" s="88" t="s">
        <v>36</v>
      </c>
      <c r="H109" s="84" t="s">
        <v>455</v>
      </c>
      <c r="I109" s="84" t="s">
        <v>705</v>
      </c>
      <c r="J109" s="84" t="s">
        <v>832</v>
      </c>
      <c r="K109" s="84"/>
      <c r="L109" s="84" t="str">
        <f t="shared" si="21"/>
        <v>Carrera 36B # 5B3-46, San Fernando Nuevo, Cali</v>
      </c>
      <c r="M109" s="84" t="s">
        <v>231</v>
      </c>
      <c r="N109" s="84" t="s">
        <v>233</v>
      </c>
      <c r="O109" s="84"/>
      <c r="P109" s="84"/>
      <c r="Q109" s="84" t="s">
        <v>284</v>
      </c>
      <c r="R109" s="88"/>
      <c r="S109" s="88"/>
      <c r="T109" s="88">
        <v>1.0</v>
      </c>
      <c r="U109" s="84"/>
      <c r="V109" s="92"/>
      <c r="W109" s="92">
        <v>1.0</v>
      </c>
      <c r="X109" s="93"/>
      <c r="Y109" s="84" t="s">
        <v>833</v>
      </c>
      <c r="Z109" s="84" t="s">
        <v>834</v>
      </c>
      <c r="AA109" s="84"/>
      <c r="AB109" s="84"/>
      <c r="AD109" s="39"/>
      <c r="AE109" s="39"/>
      <c r="AF109" s="39"/>
      <c r="AG109" s="39"/>
      <c r="AH109" s="39"/>
      <c r="AI109" s="39"/>
      <c r="AJ109" s="39"/>
      <c r="AK109" s="39"/>
      <c r="AL109" s="39"/>
      <c r="AM109" s="39"/>
      <c r="AN109" s="39"/>
      <c r="AO109" s="39"/>
      <c r="AP109" s="39"/>
    </row>
    <row r="110" ht="25.5" customHeight="1">
      <c r="A110" s="84">
        <f t="shared" si="3"/>
        <v>109</v>
      </c>
      <c r="B110" s="84" t="s">
        <v>61</v>
      </c>
      <c r="C110" s="84" t="s">
        <v>33</v>
      </c>
      <c r="D110" s="84" t="s">
        <v>223</v>
      </c>
      <c r="E110" s="86" t="str">
        <f t="shared" si="20"/>
        <v/>
      </c>
      <c r="F110" s="88" t="s">
        <v>60</v>
      </c>
      <c r="G110" s="88" t="s">
        <v>36</v>
      </c>
      <c r="H110" s="84" t="s">
        <v>142</v>
      </c>
      <c r="I110" s="84" t="s">
        <v>38</v>
      </c>
      <c r="J110" s="84" t="s">
        <v>835</v>
      </c>
      <c r="K110" s="84"/>
      <c r="L110" s="84" t="str">
        <f t="shared" si="21"/>
        <v>Carrera 64a # 13c -65, Bosques del Limonar, Cali</v>
      </c>
      <c r="M110" s="84" t="s">
        <v>231</v>
      </c>
      <c r="N110" s="84" t="s">
        <v>233</v>
      </c>
      <c r="O110" s="84"/>
      <c r="P110" s="84"/>
      <c r="Q110" s="84" t="s">
        <v>284</v>
      </c>
      <c r="R110" s="88"/>
      <c r="S110" s="88"/>
      <c r="T110" s="88">
        <v>1.0</v>
      </c>
      <c r="U110" s="84"/>
      <c r="V110" s="92"/>
      <c r="W110" s="92"/>
      <c r="X110" s="92"/>
      <c r="Y110" s="92" t="s">
        <v>836</v>
      </c>
      <c r="Z110" s="84" t="s">
        <v>837</v>
      </c>
      <c r="AA110" s="84"/>
      <c r="AB110" s="84"/>
      <c r="AD110" s="22"/>
      <c r="AE110" s="22"/>
      <c r="AF110" s="22"/>
      <c r="AG110" s="22"/>
      <c r="AH110" s="22"/>
      <c r="AI110" s="22"/>
      <c r="AJ110" s="22"/>
      <c r="AK110" s="22"/>
      <c r="AL110" s="22"/>
      <c r="AM110" s="22"/>
      <c r="AN110" s="22"/>
      <c r="AO110" s="22"/>
      <c r="AP110" s="22"/>
    </row>
    <row r="111" ht="25.5" customHeight="1">
      <c r="A111" s="63">
        <f t="shared" si="3"/>
        <v>110</v>
      </c>
      <c r="B111" s="63" t="s">
        <v>62</v>
      </c>
      <c r="C111" s="65" t="s">
        <v>133</v>
      </c>
      <c r="D111" s="108" t="s">
        <v>223</v>
      </c>
      <c r="E111" s="68" t="s">
        <v>62</v>
      </c>
      <c r="F111" s="70" t="s">
        <v>62</v>
      </c>
      <c r="G111" s="70" t="s">
        <v>62</v>
      </c>
      <c r="H111" s="71" t="s">
        <v>62</v>
      </c>
      <c r="I111" s="71" t="s">
        <v>62</v>
      </c>
      <c r="J111" s="68" t="s">
        <v>62</v>
      </c>
      <c r="K111" s="68" t="s">
        <v>62</v>
      </c>
      <c r="L111" s="68" t="s">
        <v>62</v>
      </c>
      <c r="M111" s="68" t="s">
        <v>62</v>
      </c>
      <c r="N111" s="68" t="s">
        <v>62</v>
      </c>
      <c r="O111" s="68" t="s">
        <v>62</v>
      </c>
      <c r="P111" s="68" t="s">
        <v>62</v>
      </c>
      <c r="Q111" s="68" t="s">
        <v>62</v>
      </c>
      <c r="R111" s="68" t="s">
        <v>62</v>
      </c>
      <c r="S111" s="68"/>
      <c r="T111" s="68" t="s">
        <v>62</v>
      </c>
      <c r="U111" s="68" t="s">
        <v>62</v>
      </c>
      <c r="V111" s="68" t="s">
        <v>62</v>
      </c>
      <c r="W111" s="68" t="s">
        <v>62</v>
      </c>
      <c r="X111" s="68" t="s">
        <v>62</v>
      </c>
      <c r="Y111" s="68" t="s">
        <v>62</v>
      </c>
      <c r="Z111" s="68" t="s">
        <v>62</v>
      </c>
      <c r="AA111" s="68" t="s">
        <v>62</v>
      </c>
      <c r="AB111" s="68" t="s">
        <v>62</v>
      </c>
      <c r="AD111" s="196"/>
      <c r="AE111" s="196"/>
      <c r="AF111" s="196"/>
      <c r="AG111" s="196"/>
      <c r="AH111" s="196"/>
      <c r="AI111" s="196"/>
      <c r="AJ111" s="196"/>
      <c r="AK111" s="196"/>
      <c r="AL111" s="196"/>
      <c r="AM111" s="196"/>
      <c r="AN111" s="196"/>
      <c r="AO111" s="196"/>
      <c r="AP111" s="196"/>
    </row>
    <row r="112" ht="25.5" customHeight="1">
      <c r="A112" s="27">
        <f t="shared" si="3"/>
        <v>111</v>
      </c>
      <c r="B112" s="27" t="s">
        <v>307</v>
      </c>
      <c r="C112" s="27" t="s">
        <v>270</v>
      </c>
      <c r="D112" s="27" t="s">
        <v>297</v>
      </c>
      <c r="E112" s="28" t="str">
        <f t="shared" ref="E112:E128" si="22">IF(OR($B112="ALTA",AND(ISNUMBER($W112),$W112&gt;0),AND($U112&lt;&gt;"",$U112&lt;&gt;"NO")),"SI","")</f>
        <v/>
      </c>
      <c r="F112" s="30" t="s">
        <v>35</v>
      </c>
      <c r="G112" s="30" t="s">
        <v>36</v>
      </c>
      <c r="H112" s="197" t="s">
        <v>234</v>
      </c>
      <c r="I112" s="197" t="s">
        <v>286</v>
      </c>
      <c r="J112" s="27" t="s">
        <v>838</v>
      </c>
      <c r="K112" s="27"/>
      <c r="L112" s="27" t="str">
        <f t="shared" ref="L112:L128" si="23">CONCATENATE(J112,", ",H112,", Cali")</f>
        <v>Carrera 30a # 6 -07, El Cedro, Cali</v>
      </c>
      <c r="M112" s="154" t="s">
        <v>679</v>
      </c>
      <c r="N112" s="154" t="s">
        <v>233</v>
      </c>
      <c r="O112" s="27"/>
      <c r="P112" s="27"/>
      <c r="Q112" s="27" t="s">
        <v>284</v>
      </c>
      <c r="R112" s="30"/>
      <c r="S112" s="30"/>
      <c r="T112" s="30">
        <v>1.0</v>
      </c>
      <c r="U112" s="27"/>
      <c r="V112" s="35"/>
      <c r="W112" s="35"/>
      <c r="X112" s="35"/>
      <c r="Y112" s="30" t="s">
        <v>839</v>
      </c>
      <c r="Z112" s="27"/>
      <c r="AA112" s="27"/>
      <c r="AB112" s="27"/>
      <c r="AC112" s="98"/>
      <c r="AD112" s="33"/>
      <c r="AE112" s="33"/>
      <c r="AF112" s="33"/>
      <c r="AG112" s="33"/>
      <c r="AH112" s="33"/>
      <c r="AI112" s="33"/>
      <c r="AJ112" s="33"/>
      <c r="AK112" s="33"/>
      <c r="AL112" s="33"/>
      <c r="AM112" s="33"/>
      <c r="AN112" s="33"/>
      <c r="AO112" s="33"/>
      <c r="AP112" s="33"/>
    </row>
    <row r="113" ht="25.5" customHeight="1">
      <c r="A113" s="27">
        <f t="shared" si="3"/>
        <v>112</v>
      </c>
      <c r="B113" s="27" t="s">
        <v>61</v>
      </c>
      <c r="C113" s="27" t="s">
        <v>63</v>
      </c>
      <c r="D113" s="27" t="s">
        <v>64</v>
      </c>
      <c r="E113" s="28" t="str">
        <f t="shared" si="22"/>
        <v/>
      </c>
      <c r="F113" s="30" t="s">
        <v>35</v>
      </c>
      <c r="G113" s="30" t="s">
        <v>36</v>
      </c>
      <c r="H113" s="27" t="s">
        <v>278</v>
      </c>
      <c r="I113" s="27" t="s">
        <v>38</v>
      </c>
      <c r="J113" s="146" t="s">
        <v>840</v>
      </c>
      <c r="K113" s="146" t="s">
        <v>841</v>
      </c>
      <c r="L113" s="146" t="str">
        <f t="shared" si="23"/>
        <v>Calle 4C # 35A-16, San Fernando, Cali</v>
      </c>
      <c r="M113" s="148" t="s">
        <v>679</v>
      </c>
      <c r="N113" s="148" t="s">
        <v>233</v>
      </c>
      <c r="O113" s="27"/>
      <c r="P113" s="27"/>
      <c r="Q113" s="27" t="s">
        <v>81</v>
      </c>
      <c r="R113" s="30"/>
      <c r="S113" s="30"/>
      <c r="T113" s="30">
        <v>1.0</v>
      </c>
      <c r="U113" s="33"/>
      <c r="V113" s="35"/>
      <c r="W113" s="35"/>
      <c r="X113" s="35"/>
      <c r="Y113" s="35"/>
      <c r="Z113" s="27"/>
      <c r="AA113" s="27"/>
      <c r="AB113" s="27"/>
      <c r="AD113" s="22"/>
      <c r="AE113" s="22"/>
      <c r="AF113" s="22"/>
      <c r="AG113" s="22"/>
      <c r="AH113" s="22"/>
      <c r="AI113" s="22"/>
      <c r="AJ113" s="22"/>
      <c r="AK113" s="22"/>
      <c r="AL113" s="22"/>
      <c r="AM113" s="22"/>
      <c r="AN113" s="22"/>
      <c r="AO113" s="22"/>
      <c r="AP113" s="22"/>
    </row>
    <row r="114" ht="25.5" customHeight="1">
      <c r="A114" s="187">
        <f t="shared" si="3"/>
        <v>113</v>
      </c>
      <c r="B114" s="187" t="s">
        <v>307</v>
      </c>
      <c r="C114" s="187" t="s">
        <v>270</v>
      </c>
      <c r="D114" s="187" t="s">
        <v>297</v>
      </c>
      <c r="E114" s="188" t="str">
        <f t="shared" si="22"/>
        <v/>
      </c>
      <c r="F114" s="189" t="s">
        <v>87</v>
      </c>
      <c r="G114" s="189" t="s">
        <v>36</v>
      </c>
      <c r="H114" s="201" t="s">
        <v>86</v>
      </c>
      <c r="I114" s="201" t="s">
        <v>38</v>
      </c>
      <c r="J114" s="187" t="s">
        <v>402</v>
      </c>
      <c r="K114" s="187"/>
      <c r="L114" s="187" t="str">
        <f t="shared" si="23"/>
        <v>Carrera 94d # calle 2 a bis - entre carreras 94c1 y 94b1, Alto Jordan, Cali</v>
      </c>
      <c r="M114" s="187" t="s">
        <v>164</v>
      </c>
      <c r="N114" s="187" t="s">
        <v>41</v>
      </c>
      <c r="O114" s="187"/>
      <c r="P114" s="187"/>
      <c r="Q114" s="187" t="s">
        <v>407</v>
      </c>
      <c r="R114" s="189">
        <v>1.0</v>
      </c>
      <c r="S114" s="189"/>
      <c r="T114" s="189"/>
      <c r="U114" s="187"/>
      <c r="V114" s="190"/>
      <c r="W114" s="190"/>
      <c r="X114" s="190"/>
      <c r="Y114" s="189" t="s">
        <v>410</v>
      </c>
      <c r="Z114" s="187"/>
      <c r="AA114" s="187"/>
      <c r="AB114" s="187"/>
      <c r="AD114" s="22"/>
      <c r="AE114" s="22"/>
      <c r="AF114" s="22"/>
      <c r="AG114" s="22"/>
      <c r="AH114" s="22"/>
      <c r="AI114" s="22"/>
      <c r="AJ114" s="22"/>
      <c r="AK114" s="22"/>
      <c r="AL114" s="22"/>
      <c r="AM114" s="22"/>
      <c r="AN114" s="22"/>
      <c r="AO114" s="22"/>
      <c r="AP114" s="22"/>
    </row>
    <row r="115" ht="25.5" customHeight="1">
      <c r="A115" s="27">
        <f t="shared" si="3"/>
        <v>114</v>
      </c>
      <c r="B115" s="27" t="s">
        <v>32</v>
      </c>
      <c r="C115" s="27" t="s">
        <v>63</v>
      </c>
      <c r="D115" s="27" t="s">
        <v>34</v>
      </c>
      <c r="E115" s="28" t="str">
        <f t="shared" si="22"/>
        <v>SI</v>
      </c>
      <c r="F115" s="30" t="s">
        <v>60</v>
      </c>
      <c r="G115" s="30" t="s">
        <v>36</v>
      </c>
      <c r="H115" s="197" t="s">
        <v>238</v>
      </c>
      <c r="I115" s="197" t="s">
        <v>38</v>
      </c>
      <c r="J115" s="27" t="s">
        <v>842</v>
      </c>
      <c r="K115" s="27"/>
      <c r="L115" s="27" t="str">
        <f t="shared" si="23"/>
        <v>Carrera 67 con Calle 13D, El Gran Limonar, Cali</v>
      </c>
      <c r="M115" s="27" t="s">
        <v>164</v>
      </c>
      <c r="N115" s="27" t="s">
        <v>41</v>
      </c>
      <c r="O115" s="27"/>
      <c r="P115" s="27"/>
      <c r="Q115" s="27" t="s">
        <v>625</v>
      </c>
      <c r="R115" s="30">
        <v>1.0</v>
      </c>
      <c r="S115" s="30"/>
      <c r="T115" s="30"/>
      <c r="U115" s="33" t="s">
        <v>46</v>
      </c>
      <c r="V115" s="30">
        <v>3.0</v>
      </c>
      <c r="W115" s="35"/>
      <c r="X115" s="35"/>
      <c r="Y115" s="30" t="s">
        <v>843</v>
      </c>
      <c r="Z115" s="27"/>
      <c r="AA115" s="27"/>
      <c r="AB115" s="27"/>
      <c r="AC115" s="98"/>
      <c r="AD115" s="33"/>
      <c r="AE115" s="33"/>
      <c r="AF115" s="33"/>
      <c r="AG115" s="33"/>
      <c r="AH115" s="33"/>
      <c r="AI115" s="33"/>
      <c r="AJ115" s="33"/>
      <c r="AK115" s="33"/>
      <c r="AL115" s="33"/>
      <c r="AM115" s="33"/>
      <c r="AN115" s="33"/>
      <c r="AO115" s="33"/>
      <c r="AP115" s="33"/>
    </row>
    <row r="116" ht="25.5" customHeight="1">
      <c r="A116" s="27">
        <f t="shared" si="3"/>
        <v>115</v>
      </c>
      <c r="B116" s="27" t="s">
        <v>61</v>
      </c>
      <c r="C116" s="27" t="s">
        <v>63</v>
      </c>
      <c r="D116" s="27" t="s">
        <v>64</v>
      </c>
      <c r="E116" s="28" t="str">
        <f t="shared" si="22"/>
        <v>SI</v>
      </c>
      <c r="F116" s="30" t="s">
        <v>35</v>
      </c>
      <c r="G116" s="53" t="s">
        <v>36</v>
      </c>
      <c r="H116" s="110" t="s">
        <v>442</v>
      </c>
      <c r="I116" s="110" t="s">
        <v>38</v>
      </c>
      <c r="J116" s="110" t="s">
        <v>844</v>
      </c>
      <c r="K116" s="110" t="s">
        <v>845</v>
      </c>
      <c r="L116" s="110" t="str">
        <f t="shared" si="23"/>
        <v>Calle 4 # 66B - 52, Refugio, Cali</v>
      </c>
      <c r="M116" s="110" t="s">
        <v>41</v>
      </c>
      <c r="N116" s="110" t="s">
        <v>41</v>
      </c>
      <c r="O116" s="27"/>
      <c r="P116" s="27"/>
      <c r="Q116" s="27" t="s">
        <v>81</v>
      </c>
      <c r="R116" s="30">
        <v>1.0</v>
      </c>
      <c r="S116" s="30"/>
      <c r="T116" s="30"/>
      <c r="U116" s="112" t="s">
        <v>46</v>
      </c>
      <c r="V116" s="111"/>
      <c r="W116" s="111"/>
      <c r="X116" s="111"/>
      <c r="Y116" s="111"/>
      <c r="Z116" s="110" t="s">
        <v>846</v>
      </c>
      <c r="AA116" s="110"/>
      <c r="AB116" s="110"/>
      <c r="AD116" s="22"/>
      <c r="AE116" s="22"/>
      <c r="AF116" s="22"/>
      <c r="AG116" s="22"/>
      <c r="AH116" s="22"/>
      <c r="AI116" s="22"/>
      <c r="AJ116" s="22"/>
      <c r="AK116" s="22"/>
      <c r="AL116" s="22"/>
      <c r="AM116" s="22"/>
      <c r="AN116" s="22"/>
      <c r="AO116" s="22"/>
      <c r="AP116" s="22"/>
    </row>
    <row r="117" ht="25.5" customHeight="1">
      <c r="A117" s="27">
        <f t="shared" si="3"/>
        <v>116</v>
      </c>
      <c r="B117" s="27" t="s">
        <v>61</v>
      </c>
      <c r="C117" s="27" t="s">
        <v>279</v>
      </c>
      <c r="D117" s="27" t="s">
        <v>297</v>
      </c>
      <c r="E117" s="28" t="str">
        <f t="shared" si="22"/>
        <v/>
      </c>
      <c r="F117" s="30" t="s">
        <v>60</v>
      </c>
      <c r="G117" s="30" t="s">
        <v>36</v>
      </c>
      <c r="H117" s="27" t="s">
        <v>385</v>
      </c>
      <c r="I117" s="27" t="s">
        <v>38</v>
      </c>
      <c r="J117" s="27" t="s">
        <v>847</v>
      </c>
      <c r="K117" s="27" t="s">
        <v>848</v>
      </c>
      <c r="L117" s="27" t="str">
        <f t="shared" si="23"/>
        <v>Carrera 83 # 6-50, Mayapan, Cali</v>
      </c>
      <c r="M117" s="142" t="s">
        <v>679</v>
      </c>
      <c r="N117" s="142" t="s">
        <v>233</v>
      </c>
      <c r="O117" s="33"/>
      <c r="P117" s="33"/>
      <c r="Q117" s="33"/>
      <c r="R117" s="35"/>
      <c r="S117" s="35"/>
      <c r="T117" s="35">
        <v>1.0</v>
      </c>
      <c r="U117" s="33" t="s">
        <v>83</v>
      </c>
      <c r="V117" s="35"/>
      <c r="W117" s="35"/>
      <c r="X117" s="35"/>
      <c r="Y117" s="35"/>
      <c r="Z117" s="27"/>
      <c r="AA117" s="27"/>
      <c r="AB117" s="27"/>
      <c r="AC117" s="98"/>
      <c r="AD117" s="33"/>
      <c r="AE117" s="33"/>
      <c r="AF117" s="33"/>
      <c r="AG117" s="33"/>
      <c r="AH117" s="33"/>
      <c r="AI117" s="33"/>
      <c r="AJ117" s="33"/>
      <c r="AK117" s="33"/>
      <c r="AL117" s="33"/>
      <c r="AM117" s="33"/>
      <c r="AN117" s="33"/>
      <c r="AO117" s="33"/>
      <c r="AP117" s="33"/>
    </row>
    <row r="118" ht="25.5" customHeight="1">
      <c r="A118" s="84">
        <f t="shared" si="3"/>
        <v>117</v>
      </c>
      <c r="B118" s="84" t="s">
        <v>32</v>
      </c>
      <c r="C118" s="84" t="s">
        <v>287</v>
      </c>
      <c r="D118" s="84" t="s">
        <v>223</v>
      </c>
      <c r="E118" s="86" t="str">
        <f t="shared" si="22"/>
        <v>SI</v>
      </c>
      <c r="F118" s="88" t="s">
        <v>35</v>
      </c>
      <c r="G118" s="88" t="s">
        <v>36</v>
      </c>
      <c r="H118" s="84" t="s">
        <v>158</v>
      </c>
      <c r="I118" s="84" t="s">
        <v>38</v>
      </c>
      <c r="J118" s="84" t="s">
        <v>849</v>
      </c>
      <c r="K118" s="84"/>
      <c r="L118" s="84" t="str">
        <f t="shared" si="23"/>
        <v>Calle 1F #56-206, Cuarto de Legua, Cali</v>
      </c>
      <c r="M118" s="84" t="s">
        <v>231</v>
      </c>
      <c r="N118" s="84" t="s">
        <v>233</v>
      </c>
      <c r="O118" s="84" t="s">
        <v>46</v>
      </c>
      <c r="P118" s="84"/>
      <c r="Q118" s="84" t="s">
        <v>284</v>
      </c>
      <c r="R118" s="88"/>
      <c r="S118" s="88"/>
      <c r="T118" s="88">
        <v>1.0</v>
      </c>
      <c r="U118" s="84" t="s">
        <v>83</v>
      </c>
      <c r="V118" s="92"/>
      <c r="W118" s="88"/>
      <c r="X118" s="92"/>
      <c r="Y118" s="202" t="s">
        <v>850</v>
      </c>
      <c r="Z118" s="84" t="s">
        <v>851</v>
      </c>
      <c r="AA118" s="84"/>
      <c r="AB118" s="84"/>
      <c r="AD118" s="22"/>
      <c r="AE118" s="22"/>
      <c r="AF118" s="22"/>
      <c r="AG118" s="22"/>
      <c r="AH118" s="22"/>
      <c r="AI118" s="22"/>
      <c r="AJ118" s="22"/>
      <c r="AK118" s="22"/>
      <c r="AL118" s="22"/>
      <c r="AM118" s="22"/>
      <c r="AN118" s="22"/>
      <c r="AO118" s="22"/>
      <c r="AP118" s="22"/>
    </row>
    <row r="119" ht="25.5" customHeight="1">
      <c r="A119" s="27">
        <f t="shared" si="3"/>
        <v>118</v>
      </c>
      <c r="B119" s="27" t="s">
        <v>32</v>
      </c>
      <c r="C119" s="27" t="s">
        <v>279</v>
      </c>
      <c r="D119" s="27" t="s">
        <v>297</v>
      </c>
      <c r="E119" s="28" t="str">
        <f t="shared" si="22"/>
        <v>SI</v>
      </c>
      <c r="F119" s="30" t="s">
        <v>35</v>
      </c>
      <c r="G119" s="30" t="s">
        <v>36</v>
      </c>
      <c r="H119" s="27" t="s">
        <v>442</v>
      </c>
      <c r="I119" s="27" t="s">
        <v>286</v>
      </c>
      <c r="J119" s="27" t="s">
        <v>852</v>
      </c>
      <c r="K119" s="27"/>
      <c r="L119" s="27" t="str">
        <f t="shared" si="23"/>
        <v>Calle 2 BIS # 66B 88, Refugio, Cali</v>
      </c>
      <c r="M119" s="27" t="s">
        <v>231</v>
      </c>
      <c r="N119" s="27" t="s">
        <v>233</v>
      </c>
      <c r="O119" s="27"/>
      <c r="P119" s="27"/>
      <c r="Q119" s="27"/>
      <c r="R119" s="30"/>
      <c r="S119" s="30"/>
      <c r="T119" s="30">
        <v>1.0</v>
      </c>
      <c r="U119" s="33" t="s">
        <v>83</v>
      </c>
      <c r="V119" s="35"/>
      <c r="W119" s="35"/>
      <c r="X119" s="35"/>
      <c r="Y119" s="35"/>
      <c r="Z119" s="27" t="s">
        <v>853</v>
      </c>
      <c r="AA119" s="27"/>
      <c r="AB119" s="27"/>
      <c r="AC119" s="98"/>
      <c r="AD119" s="33"/>
      <c r="AE119" s="33"/>
      <c r="AF119" s="33"/>
      <c r="AG119" s="33"/>
      <c r="AH119" s="33"/>
      <c r="AI119" s="33"/>
      <c r="AJ119" s="33"/>
      <c r="AK119" s="33"/>
      <c r="AL119" s="33"/>
      <c r="AM119" s="33"/>
      <c r="AN119" s="33"/>
      <c r="AO119" s="33"/>
      <c r="AP119" s="33"/>
    </row>
    <row r="120" ht="25.5" customHeight="1">
      <c r="A120" s="39">
        <f t="shared" si="3"/>
        <v>119</v>
      </c>
      <c r="B120" s="39" t="s">
        <v>307</v>
      </c>
      <c r="C120" s="39" t="s">
        <v>279</v>
      </c>
      <c r="D120" s="39" t="s">
        <v>297</v>
      </c>
      <c r="E120" s="203" t="str">
        <f t="shared" si="22"/>
        <v/>
      </c>
      <c r="F120" s="204" t="s">
        <v>35</v>
      </c>
      <c r="G120" s="204" t="s">
        <v>36</v>
      </c>
      <c r="H120" s="39" t="s">
        <v>369</v>
      </c>
      <c r="I120" s="39" t="s">
        <v>639</v>
      </c>
      <c r="J120" s="39" t="s">
        <v>854</v>
      </c>
      <c r="K120" s="39" t="s">
        <v>855</v>
      </c>
      <c r="L120" s="39" t="str">
        <f t="shared" si="23"/>
        <v>Carrera 41 # 5B-82, Tequendama, Cali</v>
      </c>
      <c r="M120" s="39" t="s">
        <v>231</v>
      </c>
      <c r="N120" s="39" t="s">
        <v>233</v>
      </c>
      <c r="O120" s="39"/>
      <c r="P120" s="39"/>
      <c r="Q120" s="39"/>
      <c r="R120" s="204"/>
      <c r="S120" s="204"/>
      <c r="T120" s="204">
        <v>1.0</v>
      </c>
      <c r="U120" s="22"/>
      <c r="V120" s="122"/>
      <c r="W120" s="122"/>
      <c r="X120" s="122">
        <v>1.0</v>
      </c>
      <c r="Y120" s="122"/>
      <c r="Z120" s="39" t="s">
        <v>853</v>
      </c>
      <c r="AA120" s="39"/>
      <c r="AB120" s="39"/>
      <c r="AD120" s="22"/>
      <c r="AE120" s="22"/>
      <c r="AF120" s="22"/>
      <c r="AG120" s="22"/>
      <c r="AH120" s="22"/>
      <c r="AI120" s="22"/>
      <c r="AJ120" s="22"/>
      <c r="AK120" s="22"/>
      <c r="AL120" s="22"/>
      <c r="AM120" s="22"/>
      <c r="AN120" s="22"/>
      <c r="AO120" s="22"/>
      <c r="AP120" s="22"/>
    </row>
    <row r="121" ht="25.5" customHeight="1">
      <c r="A121" s="27">
        <f t="shared" si="3"/>
        <v>120</v>
      </c>
      <c r="B121" s="27" t="s">
        <v>61</v>
      </c>
      <c r="C121" s="27" t="s">
        <v>63</v>
      </c>
      <c r="D121" s="27" t="s">
        <v>64</v>
      </c>
      <c r="E121" s="28" t="str">
        <f t="shared" si="22"/>
        <v/>
      </c>
      <c r="F121" s="30" t="s">
        <v>35</v>
      </c>
      <c r="G121" s="30" t="s">
        <v>36</v>
      </c>
      <c r="H121" s="27" t="s">
        <v>442</v>
      </c>
      <c r="I121" s="27" t="s">
        <v>38</v>
      </c>
      <c r="J121" s="121" t="s">
        <v>856</v>
      </c>
      <c r="K121" s="121"/>
      <c r="L121" s="121" t="str">
        <f t="shared" si="23"/>
        <v>Calle 3 #66-87, Refugio, Cali</v>
      </c>
      <c r="M121" s="154" t="s">
        <v>679</v>
      </c>
      <c r="N121" s="154" t="s">
        <v>233</v>
      </c>
      <c r="O121" s="27"/>
      <c r="P121" s="27"/>
      <c r="Q121" s="27" t="s">
        <v>81</v>
      </c>
      <c r="R121" s="30"/>
      <c r="S121" s="30"/>
      <c r="T121" s="30">
        <v>1.0</v>
      </c>
      <c r="U121" s="205"/>
      <c r="V121" s="206"/>
      <c r="W121" s="207"/>
      <c r="X121" s="208"/>
      <c r="Y121" s="208"/>
      <c r="Z121" s="209"/>
      <c r="AA121" s="209"/>
      <c r="AB121" s="209"/>
      <c r="AD121" s="210"/>
      <c r="AE121" s="211"/>
      <c r="AF121" s="210"/>
      <c r="AG121" s="210"/>
      <c r="AH121" s="210"/>
      <c r="AI121" s="210"/>
      <c r="AJ121" s="210"/>
      <c r="AK121" s="210"/>
      <c r="AL121" s="210"/>
      <c r="AM121" s="210"/>
      <c r="AN121" s="210"/>
      <c r="AO121" s="210"/>
      <c r="AP121" s="210"/>
    </row>
    <row r="122" ht="25.5" customHeight="1">
      <c r="A122" s="27">
        <f t="shared" si="3"/>
        <v>121</v>
      </c>
      <c r="B122" s="27" t="s">
        <v>61</v>
      </c>
      <c r="C122" s="27" t="s">
        <v>63</v>
      </c>
      <c r="D122" s="27" t="s">
        <v>64</v>
      </c>
      <c r="E122" s="28" t="str">
        <f t="shared" si="22"/>
        <v/>
      </c>
      <c r="F122" s="30" t="s">
        <v>76</v>
      </c>
      <c r="G122" s="30" t="s">
        <v>350</v>
      </c>
      <c r="H122" s="27" t="s">
        <v>470</v>
      </c>
      <c r="I122" s="27" t="s">
        <v>38</v>
      </c>
      <c r="J122" s="121" t="s">
        <v>857</v>
      </c>
      <c r="K122" s="121" t="s">
        <v>858</v>
      </c>
      <c r="L122" s="121" t="str">
        <f t="shared" si="23"/>
        <v>Calle 24A Norte # 6N-27, San Vicente, Cali</v>
      </c>
      <c r="M122" s="142" t="s">
        <v>679</v>
      </c>
      <c r="N122" s="142" t="s">
        <v>233</v>
      </c>
      <c r="O122" s="27"/>
      <c r="P122" s="27"/>
      <c r="Q122" s="27" t="s">
        <v>81</v>
      </c>
      <c r="R122" s="30"/>
      <c r="S122" s="30"/>
      <c r="T122" s="30">
        <v>1.0</v>
      </c>
      <c r="U122" s="205"/>
      <c r="V122" s="206"/>
      <c r="W122" s="207"/>
      <c r="X122" s="208"/>
      <c r="Y122" s="208"/>
      <c r="Z122" s="209"/>
      <c r="AA122" s="209"/>
      <c r="AB122" s="209"/>
      <c r="AD122" s="210"/>
      <c r="AE122" s="211"/>
      <c r="AF122" s="210"/>
      <c r="AG122" s="210"/>
      <c r="AH122" s="210"/>
      <c r="AI122" s="210"/>
      <c r="AJ122" s="210"/>
      <c r="AK122" s="210"/>
      <c r="AL122" s="210"/>
      <c r="AM122" s="210"/>
      <c r="AN122" s="210"/>
      <c r="AO122" s="210"/>
      <c r="AP122" s="210"/>
    </row>
    <row r="123" ht="25.5" customHeight="1">
      <c r="A123" s="84">
        <f t="shared" si="3"/>
        <v>122</v>
      </c>
      <c r="B123" s="84" t="s">
        <v>61</v>
      </c>
      <c r="C123" s="84" t="s">
        <v>33</v>
      </c>
      <c r="D123" s="84" t="s">
        <v>223</v>
      </c>
      <c r="E123" s="86" t="str">
        <f t="shared" si="22"/>
        <v>SI</v>
      </c>
      <c r="F123" s="88" t="s">
        <v>35</v>
      </c>
      <c r="G123" s="88" t="s">
        <v>36</v>
      </c>
      <c r="H123" s="84" t="s">
        <v>278</v>
      </c>
      <c r="I123" s="84" t="s">
        <v>286</v>
      </c>
      <c r="J123" s="84" t="s">
        <v>859</v>
      </c>
      <c r="K123" s="84"/>
      <c r="L123" s="84" t="str">
        <f t="shared" si="23"/>
        <v>Cra. 30 # 5A-57, San Fernando, Cali</v>
      </c>
      <c r="M123" s="172" t="s">
        <v>860</v>
      </c>
      <c r="N123" s="172" t="s">
        <v>776</v>
      </c>
      <c r="O123" s="84"/>
      <c r="P123" s="84"/>
      <c r="Q123" s="84" t="s">
        <v>284</v>
      </c>
      <c r="R123" s="88">
        <v>1.0</v>
      </c>
      <c r="S123" s="88"/>
      <c r="T123" s="88"/>
      <c r="U123" s="84"/>
      <c r="V123" s="92"/>
      <c r="W123" s="88">
        <v>1.0</v>
      </c>
      <c r="X123" s="92"/>
      <c r="Y123" s="212"/>
      <c r="Z123" s="84" t="s">
        <v>861</v>
      </c>
      <c r="AA123" s="84"/>
      <c r="AB123" s="84"/>
      <c r="AD123" s="22"/>
      <c r="AE123" s="22"/>
      <c r="AF123" s="22"/>
      <c r="AG123" s="22"/>
      <c r="AH123" s="22"/>
      <c r="AI123" s="22"/>
      <c r="AJ123" s="22"/>
      <c r="AK123" s="22"/>
      <c r="AL123" s="22"/>
      <c r="AM123" s="22"/>
      <c r="AN123" s="22"/>
      <c r="AO123" s="22"/>
      <c r="AP123" s="22"/>
    </row>
    <row r="124" ht="25.5" customHeight="1">
      <c r="A124" s="27">
        <f t="shared" si="3"/>
        <v>123</v>
      </c>
      <c r="B124" s="27" t="s">
        <v>61</v>
      </c>
      <c r="C124" s="27" t="s">
        <v>270</v>
      </c>
      <c r="D124" s="27" t="s">
        <v>223</v>
      </c>
      <c r="E124" s="28" t="str">
        <f t="shared" si="22"/>
        <v/>
      </c>
      <c r="F124" s="30" t="s">
        <v>128</v>
      </c>
      <c r="G124" s="30" t="s">
        <v>176</v>
      </c>
      <c r="H124" s="27" t="s">
        <v>263</v>
      </c>
      <c r="I124" s="27" t="s">
        <v>286</v>
      </c>
      <c r="J124" s="121" t="s">
        <v>862</v>
      </c>
      <c r="K124" s="121"/>
      <c r="L124" s="159" t="str">
        <f t="shared" si="23"/>
        <v>Carrera 22 #11a - 44, Junin, Cali</v>
      </c>
      <c r="M124" s="172" t="s">
        <v>679</v>
      </c>
      <c r="N124" s="172" t="s">
        <v>233</v>
      </c>
      <c r="O124" s="213"/>
      <c r="P124" s="213"/>
      <c r="Q124" s="213" t="s">
        <v>284</v>
      </c>
      <c r="R124" s="214"/>
      <c r="S124" s="214"/>
      <c r="T124" s="214">
        <v>1.0</v>
      </c>
      <c r="U124" s="215"/>
      <c r="V124" s="216"/>
      <c r="W124" s="217"/>
      <c r="X124" s="218"/>
      <c r="Y124" s="219" t="s">
        <v>863</v>
      </c>
      <c r="Z124" s="159" t="s">
        <v>864</v>
      </c>
      <c r="AA124" s="159"/>
      <c r="AB124" s="159"/>
      <c r="AD124" s="210"/>
      <c r="AE124" s="211"/>
      <c r="AF124" s="210"/>
      <c r="AG124" s="210"/>
      <c r="AH124" s="210"/>
      <c r="AI124" s="210"/>
      <c r="AJ124" s="210"/>
      <c r="AK124" s="210"/>
      <c r="AL124" s="210"/>
      <c r="AM124" s="210"/>
      <c r="AN124" s="210"/>
      <c r="AO124" s="210"/>
      <c r="AP124" s="210"/>
    </row>
    <row r="125" ht="25.5" customHeight="1">
      <c r="A125" s="8">
        <f t="shared" si="3"/>
        <v>124</v>
      </c>
      <c r="B125" s="8" t="s">
        <v>32</v>
      </c>
      <c r="C125" s="8" t="s">
        <v>63</v>
      </c>
      <c r="D125" s="8" t="s">
        <v>34</v>
      </c>
      <c r="E125" s="220" t="str">
        <f t="shared" si="22"/>
        <v>SI</v>
      </c>
      <c r="F125" s="10" t="s">
        <v>35</v>
      </c>
      <c r="G125" s="10" t="s">
        <v>36</v>
      </c>
      <c r="H125" s="8" t="s">
        <v>369</v>
      </c>
      <c r="I125" s="8" t="s">
        <v>38</v>
      </c>
      <c r="J125" s="7" t="s">
        <v>865</v>
      </c>
      <c r="K125" s="7" t="s">
        <v>866</v>
      </c>
      <c r="L125" s="7" t="str">
        <f t="shared" si="23"/>
        <v>Carrera 46 # 8 -20, Tequendama, Cali</v>
      </c>
      <c r="M125" s="7" t="s">
        <v>164</v>
      </c>
      <c r="N125" s="7" t="s">
        <v>41</v>
      </c>
      <c r="O125" s="221"/>
      <c r="P125" s="221"/>
      <c r="Q125" s="221" t="s">
        <v>867</v>
      </c>
      <c r="R125" s="222">
        <v>1.0</v>
      </c>
      <c r="S125" s="222"/>
      <c r="T125" s="222"/>
      <c r="U125" s="221">
        <v>2.0</v>
      </c>
      <c r="V125" s="223"/>
      <c r="W125" s="13">
        <v>1.0</v>
      </c>
      <c r="X125" s="224"/>
      <c r="Y125" s="224"/>
      <c r="Z125" s="7" t="s">
        <v>868</v>
      </c>
      <c r="AA125" s="20" t="s">
        <v>52</v>
      </c>
      <c r="AB125" s="7"/>
      <c r="AD125" s="225"/>
      <c r="AE125" s="226"/>
      <c r="AF125" s="225"/>
      <c r="AG125" s="225"/>
      <c r="AH125" s="225"/>
      <c r="AI125" s="225"/>
      <c r="AJ125" s="225"/>
      <c r="AK125" s="225"/>
      <c r="AL125" s="225"/>
      <c r="AM125" s="225"/>
      <c r="AN125" s="225"/>
      <c r="AO125" s="225"/>
      <c r="AP125" s="225"/>
    </row>
    <row r="126" ht="25.5" customHeight="1">
      <c r="A126" s="84">
        <f t="shared" si="3"/>
        <v>125</v>
      </c>
      <c r="B126" s="84" t="s">
        <v>61</v>
      </c>
      <c r="C126" s="84" t="s">
        <v>33</v>
      </c>
      <c r="D126" s="84" t="s">
        <v>223</v>
      </c>
      <c r="E126" s="86" t="str">
        <f t="shared" si="22"/>
        <v/>
      </c>
      <c r="F126" s="88" t="s">
        <v>76</v>
      </c>
      <c r="G126" s="88" t="s">
        <v>350</v>
      </c>
      <c r="H126" s="84" t="s">
        <v>470</v>
      </c>
      <c r="I126" s="84" t="s">
        <v>38</v>
      </c>
      <c r="J126" s="84" t="s">
        <v>869</v>
      </c>
      <c r="K126" s="84"/>
      <c r="L126" s="84" t="str">
        <f t="shared" si="23"/>
        <v>Calle 19 Norte #4N-15, San Vicente, Cali</v>
      </c>
      <c r="M126" s="172" t="s">
        <v>679</v>
      </c>
      <c r="N126" s="172" t="s">
        <v>233</v>
      </c>
      <c r="O126" s="84"/>
      <c r="P126" s="84"/>
      <c r="Q126" s="84" t="s">
        <v>284</v>
      </c>
      <c r="R126" s="88"/>
      <c r="S126" s="88"/>
      <c r="T126" s="88">
        <v>1.0</v>
      </c>
      <c r="U126" s="84" t="s">
        <v>83</v>
      </c>
      <c r="V126" s="92"/>
      <c r="W126" s="88"/>
      <c r="X126" s="92"/>
      <c r="Y126" s="212"/>
      <c r="Z126" s="84" t="s">
        <v>870</v>
      </c>
      <c r="AA126" s="84"/>
      <c r="AB126" s="84"/>
      <c r="AD126" s="22"/>
      <c r="AE126" s="22"/>
      <c r="AF126" s="22"/>
      <c r="AG126" s="22"/>
      <c r="AH126" s="22"/>
      <c r="AI126" s="22"/>
      <c r="AJ126" s="22"/>
      <c r="AK126" s="22"/>
      <c r="AL126" s="22"/>
      <c r="AM126" s="22"/>
      <c r="AN126" s="22"/>
      <c r="AO126" s="22"/>
      <c r="AP126" s="22"/>
    </row>
    <row r="127" ht="25.5" customHeight="1">
      <c r="A127" s="27">
        <f t="shared" si="3"/>
        <v>126</v>
      </c>
      <c r="B127" s="27" t="s">
        <v>61</v>
      </c>
      <c r="C127" s="27" t="s">
        <v>63</v>
      </c>
      <c r="D127" s="27" t="s">
        <v>64</v>
      </c>
      <c r="E127" s="28" t="str">
        <f t="shared" si="22"/>
        <v/>
      </c>
      <c r="F127" s="30" t="s">
        <v>60</v>
      </c>
      <c r="G127" s="30" t="s">
        <v>36</v>
      </c>
      <c r="H127" s="27" t="s">
        <v>71</v>
      </c>
      <c r="I127" s="27" t="s">
        <v>38</v>
      </c>
      <c r="J127" s="121" t="s">
        <v>871</v>
      </c>
      <c r="K127" s="121" t="s">
        <v>872</v>
      </c>
      <c r="L127" s="121" t="str">
        <f t="shared" si="23"/>
        <v>Calle 13A #64-50, La Hacienda, Cali</v>
      </c>
      <c r="M127" s="142" t="s">
        <v>679</v>
      </c>
      <c r="N127" s="142" t="s">
        <v>233</v>
      </c>
      <c r="O127" s="27"/>
      <c r="P127" s="27"/>
      <c r="Q127" s="27" t="s">
        <v>81</v>
      </c>
      <c r="R127" s="30"/>
      <c r="S127" s="30"/>
      <c r="T127" s="30">
        <v>1.0</v>
      </c>
      <c r="U127" s="194" t="s">
        <v>83</v>
      </c>
      <c r="V127" s="206"/>
      <c r="W127" s="207"/>
      <c r="X127" s="208"/>
      <c r="Y127" s="227" t="s">
        <v>873</v>
      </c>
      <c r="Z127" s="121" t="s">
        <v>874</v>
      </c>
      <c r="AA127" s="121"/>
      <c r="AB127" s="121"/>
      <c r="AD127" s="210"/>
      <c r="AE127" s="211"/>
      <c r="AF127" s="210"/>
      <c r="AG127" s="210"/>
      <c r="AH127" s="210"/>
      <c r="AI127" s="210"/>
      <c r="AJ127" s="210"/>
      <c r="AK127" s="210"/>
      <c r="AL127" s="210"/>
      <c r="AM127" s="210"/>
      <c r="AN127" s="210"/>
      <c r="AO127" s="210"/>
      <c r="AP127" s="210"/>
    </row>
    <row r="128" ht="25.5" customHeight="1">
      <c r="A128" s="27">
        <f t="shared" si="3"/>
        <v>127</v>
      </c>
      <c r="B128" s="27" t="s">
        <v>61</v>
      </c>
      <c r="C128" s="27" t="s">
        <v>63</v>
      </c>
      <c r="D128" s="27" t="s">
        <v>64</v>
      </c>
      <c r="E128" s="28" t="str">
        <f t="shared" si="22"/>
        <v/>
      </c>
      <c r="F128" s="30" t="s">
        <v>76</v>
      </c>
      <c r="G128" s="30" t="s">
        <v>350</v>
      </c>
      <c r="H128" s="27" t="s">
        <v>481</v>
      </c>
      <c r="I128" s="27" t="s">
        <v>38</v>
      </c>
      <c r="J128" s="121" t="s">
        <v>875</v>
      </c>
      <c r="K128" s="121"/>
      <c r="L128" s="121" t="str">
        <f t="shared" si="23"/>
        <v>Calle 23N # 6A - 65, Santa Mónica Residencial, Cali</v>
      </c>
      <c r="M128" s="154" t="s">
        <v>679</v>
      </c>
      <c r="N128" s="154" t="s">
        <v>233</v>
      </c>
      <c r="O128" s="27"/>
      <c r="P128" s="27"/>
      <c r="Q128" s="27" t="s">
        <v>81</v>
      </c>
      <c r="R128" s="30"/>
      <c r="S128" s="30"/>
      <c r="T128" s="30">
        <v>1.0</v>
      </c>
      <c r="U128" s="194" t="s">
        <v>83</v>
      </c>
      <c r="V128" s="206"/>
      <c r="W128" s="207"/>
      <c r="X128" s="208"/>
      <c r="Y128" s="208"/>
      <c r="Z128" s="121" t="s">
        <v>874</v>
      </c>
      <c r="AA128" s="121"/>
      <c r="AB128" s="121"/>
      <c r="AD128" s="210"/>
      <c r="AE128" s="211"/>
      <c r="AF128" s="210"/>
      <c r="AG128" s="210"/>
      <c r="AH128" s="210"/>
      <c r="AI128" s="210"/>
      <c r="AJ128" s="210"/>
      <c r="AK128" s="210"/>
      <c r="AL128" s="210"/>
      <c r="AM128" s="210"/>
      <c r="AN128" s="210"/>
      <c r="AO128" s="210"/>
      <c r="AP128" s="210"/>
    </row>
    <row r="129" ht="25.5" customHeight="1">
      <c r="A129" s="63">
        <f t="shared" si="3"/>
        <v>128</v>
      </c>
      <c r="B129" s="63" t="s">
        <v>62</v>
      </c>
      <c r="C129" s="65" t="s">
        <v>133</v>
      </c>
      <c r="D129" s="108" t="s">
        <v>297</v>
      </c>
      <c r="E129" s="68" t="s">
        <v>62</v>
      </c>
      <c r="F129" s="70" t="s">
        <v>62</v>
      </c>
      <c r="G129" s="70" t="s">
        <v>62</v>
      </c>
      <c r="H129" s="71" t="s">
        <v>62</v>
      </c>
      <c r="I129" s="71" t="s">
        <v>62</v>
      </c>
      <c r="J129" s="68" t="s">
        <v>62</v>
      </c>
      <c r="K129" s="68" t="s">
        <v>62</v>
      </c>
      <c r="L129" s="68" t="s">
        <v>62</v>
      </c>
      <c r="M129" s="68" t="s">
        <v>62</v>
      </c>
      <c r="N129" s="68" t="s">
        <v>62</v>
      </c>
      <c r="O129" s="68" t="s">
        <v>62</v>
      </c>
      <c r="P129" s="68" t="s">
        <v>62</v>
      </c>
      <c r="Q129" s="68" t="s">
        <v>62</v>
      </c>
      <c r="R129" s="68" t="s">
        <v>62</v>
      </c>
      <c r="S129" s="68"/>
      <c r="T129" s="68" t="s">
        <v>62</v>
      </c>
      <c r="U129" s="68" t="s">
        <v>62</v>
      </c>
      <c r="V129" s="68" t="s">
        <v>62</v>
      </c>
      <c r="W129" s="68" t="s">
        <v>62</v>
      </c>
      <c r="X129" s="68" t="s">
        <v>62</v>
      </c>
      <c r="Y129" s="68" t="s">
        <v>62</v>
      </c>
      <c r="Z129" s="68" t="s">
        <v>62</v>
      </c>
      <c r="AA129" s="68" t="s">
        <v>62</v>
      </c>
      <c r="AB129" s="68" t="s">
        <v>62</v>
      </c>
      <c r="AC129" s="51"/>
      <c r="AD129" s="228"/>
      <c r="AE129" s="229"/>
      <c r="AF129" s="228"/>
      <c r="AG129" s="228"/>
      <c r="AH129" s="228"/>
      <c r="AI129" s="228"/>
      <c r="AJ129" s="228"/>
      <c r="AK129" s="228"/>
      <c r="AL129" s="228"/>
      <c r="AM129" s="228"/>
      <c r="AN129" s="228"/>
      <c r="AO129" s="228"/>
      <c r="AP129" s="228"/>
    </row>
    <row r="130" ht="25.5" customHeight="1">
      <c r="A130" s="27">
        <f t="shared" si="3"/>
        <v>129</v>
      </c>
      <c r="B130" s="27" t="s">
        <v>61</v>
      </c>
      <c r="C130" s="27" t="s">
        <v>63</v>
      </c>
      <c r="D130" s="27" t="s">
        <v>64</v>
      </c>
      <c r="E130" s="28" t="str">
        <f t="shared" ref="E130:E133" si="24">IF(OR($B130="ALTA",AND(ISNUMBER($W130),$W130&gt;0),AND($U130&lt;&gt;"",$U130&lt;&gt;"NO")),"SI","")</f>
        <v>SI</v>
      </c>
      <c r="F130" s="30" t="s">
        <v>35</v>
      </c>
      <c r="G130" s="53" t="s">
        <v>36</v>
      </c>
      <c r="H130" s="230" t="s">
        <v>278</v>
      </c>
      <c r="I130" s="230" t="s">
        <v>38</v>
      </c>
      <c r="J130" s="230" t="s">
        <v>876</v>
      </c>
      <c r="K130" s="230"/>
      <c r="L130" s="230" t="str">
        <f t="shared" ref="L130:L133" si="25">CONCATENATE(J130,", ",H130,", Cali")</f>
        <v>Calle 5B # 29 - 17, San Fernando, Cali</v>
      </c>
      <c r="M130" s="154" t="s">
        <v>877</v>
      </c>
      <c r="N130" s="154" t="s">
        <v>233</v>
      </c>
      <c r="O130" s="27"/>
      <c r="P130" s="27"/>
      <c r="Q130" s="27" t="s">
        <v>81</v>
      </c>
      <c r="R130" s="30"/>
      <c r="S130" s="30"/>
      <c r="T130" s="30">
        <v>1.0</v>
      </c>
      <c r="U130" s="198">
        <v>2.0</v>
      </c>
      <c r="V130" s="231"/>
      <c r="W130" s="232"/>
      <c r="X130" s="233"/>
      <c r="Y130" s="233"/>
      <c r="Z130" s="234" t="s">
        <v>878</v>
      </c>
      <c r="AA130" s="234"/>
      <c r="AB130" s="234"/>
      <c r="AD130" s="210"/>
      <c r="AE130" s="211"/>
      <c r="AF130" s="210"/>
      <c r="AG130" s="210"/>
      <c r="AH130" s="210"/>
      <c r="AI130" s="210"/>
      <c r="AJ130" s="210"/>
      <c r="AK130" s="210"/>
      <c r="AL130" s="210"/>
      <c r="AM130" s="210"/>
      <c r="AN130" s="210"/>
      <c r="AO130" s="210"/>
      <c r="AP130" s="210"/>
    </row>
    <row r="131" ht="25.5" customHeight="1">
      <c r="A131" s="8">
        <f t="shared" si="3"/>
        <v>130</v>
      </c>
      <c r="B131" s="8" t="s">
        <v>32</v>
      </c>
      <c r="C131" s="8" t="s">
        <v>63</v>
      </c>
      <c r="D131" s="8" t="s">
        <v>34</v>
      </c>
      <c r="E131" s="81" t="str">
        <f t="shared" si="24"/>
        <v>SI</v>
      </c>
      <c r="F131" s="10" t="s">
        <v>60</v>
      </c>
      <c r="G131" s="10" t="s">
        <v>36</v>
      </c>
      <c r="H131" s="235" t="s">
        <v>248</v>
      </c>
      <c r="I131" s="235" t="s">
        <v>38</v>
      </c>
      <c r="J131" s="235" t="s">
        <v>879</v>
      </c>
      <c r="K131" s="235" t="s">
        <v>880</v>
      </c>
      <c r="L131" s="235" t="str">
        <f t="shared" si="25"/>
        <v>Carrera 66–70, El Limonar, Cali</v>
      </c>
      <c r="M131" s="236" t="s">
        <v>881</v>
      </c>
      <c r="N131" s="236" t="s">
        <v>233</v>
      </c>
      <c r="O131" s="221"/>
      <c r="P131" s="221"/>
      <c r="Q131" s="221" t="s">
        <v>625</v>
      </c>
      <c r="R131" s="222"/>
      <c r="S131" s="222"/>
      <c r="T131" s="222">
        <v>1.0</v>
      </c>
      <c r="U131" s="221">
        <v>1.0</v>
      </c>
      <c r="V131" s="223"/>
      <c r="W131" s="237"/>
      <c r="X131" s="224"/>
      <c r="Y131" s="224"/>
      <c r="Z131" s="7" t="s">
        <v>882</v>
      </c>
      <c r="AA131" s="7"/>
      <c r="AB131" s="7"/>
      <c r="AD131" s="210"/>
      <c r="AE131" s="211"/>
      <c r="AF131" s="210"/>
      <c r="AG131" s="210"/>
      <c r="AH131" s="210"/>
      <c r="AI131" s="210"/>
      <c r="AJ131" s="210"/>
      <c r="AK131" s="210"/>
      <c r="AL131" s="210"/>
      <c r="AM131" s="210"/>
      <c r="AN131" s="210"/>
      <c r="AO131" s="210"/>
      <c r="AP131" s="210"/>
    </row>
    <row r="132" ht="25.5" customHeight="1">
      <c r="A132" s="84">
        <f t="shared" si="3"/>
        <v>131</v>
      </c>
      <c r="B132" s="84" t="s">
        <v>61</v>
      </c>
      <c r="C132" s="84" t="s">
        <v>33</v>
      </c>
      <c r="D132" s="84" t="s">
        <v>223</v>
      </c>
      <c r="E132" s="86" t="str">
        <f t="shared" si="24"/>
        <v/>
      </c>
      <c r="F132" s="88" t="s">
        <v>35</v>
      </c>
      <c r="G132" s="88" t="s">
        <v>36</v>
      </c>
      <c r="H132" s="84" t="s">
        <v>158</v>
      </c>
      <c r="I132" s="84" t="s">
        <v>38</v>
      </c>
      <c r="J132" s="84" t="s">
        <v>883</v>
      </c>
      <c r="K132" s="84" t="s">
        <v>884</v>
      </c>
      <c r="L132" s="84" t="str">
        <f t="shared" si="25"/>
        <v>Carrera 61a # 2a-197, Cuarto de Legua, Cali</v>
      </c>
      <c r="M132" s="168" t="s">
        <v>679</v>
      </c>
      <c r="N132" s="168" t="s">
        <v>233</v>
      </c>
      <c r="O132" s="84"/>
      <c r="P132" s="84"/>
      <c r="Q132" s="84" t="s">
        <v>284</v>
      </c>
      <c r="R132" s="88"/>
      <c r="S132" s="88"/>
      <c r="T132" s="88">
        <v>1.0</v>
      </c>
      <c r="U132" s="84"/>
      <c r="V132" s="92"/>
      <c r="W132" s="88"/>
      <c r="X132" s="92"/>
      <c r="Y132" s="212"/>
      <c r="Z132" s="84" t="s">
        <v>885</v>
      </c>
      <c r="AA132" s="84"/>
      <c r="AB132" s="84"/>
      <c r="AD132" s="22"/>
      <c r="AE132" s="22"/>
      <c r="AF132" s="22"/>
      <c r="AG132" s="22"/>
      <c r="AH132" s="22"/>
      <c r="AI132" s="22"/>
      <c r="AJ132" s="22"/>
      <c r="AK132" s="22"/>
      <c r="AL132" s="22"/>
      <c r="AM132" s="22"/>
      <c r="AN132" s="22"/>
      <c r="AO132" s="22"/>
      <c r="AP132" s="22"/>
    </row>
    <row r="133" ht="25.5" customHeight="1">
      <c r="A133" s="84">
        <f t="shared" si="3"/>
        <v>132</v>
      </c>
      <c r="B133" s="84" t="s">
        <v>61</v>
      </c>
      <c r="C133" s="84" t="s">
        <v>33</v>
      </c>
      <c r="D133" s="84" t="s">
        <v>223</v>
      </c>
      <c r="E133" s="86" t="str">
        <f t="shared" si="24"/>
        <v/>
      </c>
      <c r="F133" s="88" t="s">
        <v>35</v>
      </c>
      <c r="G133" s="88" t="s">
        <v>36</v>
      </c>
      <c r="H133" s="84" t="s">
        <v>158</v>
      </c>
      <c r="I133" s="84" t="s">
        <v>38</v>
      </c>
      <c r="J133" s="84" t="s">
        <v>886</v>
      </c>
      <c r="K133" s="84" t="s">
        <v>887</v>
      </c>
      <c r="L133" s="84" t="str">
        <f t="shared" si="25"/>
        <v>Calle 1F #59-199, Cuarto de Legua, Cali</v>
      </c>
      <c r="M133" s="168" t="s">
        <v>679</v>
      </c>
      <c r="N133" s="168" t="s">
        <v>233</v>
      </c>
      <c r="O133" s="84"/>
      <c r="P133" s="84"/>
      <c r="Q133" s="84" t="s">
        <v>284</v>
      </c>
      <c r="R133" s="88"/>
      <c r="S133" s="88"/>
      <c r="T133" s="88">
        <v>1.0</v>
      </c>
      <c r="U133" s="84"/>
      <c r="V133" s="92"/>
      <c r="W133" s="88"/>
      <c r="X133" s="92"/>
      <c r="Y133" s="212" t="s">
        <v>888</v>
      </c>
      <c r="Z133" s="84" t="s">
        <v>889</v>
      </c>
      <c r="AA133" s="84"/>
      <c r="AB133" s="84"/>
      <c r="AD133" s="22"/>
      <c r="AE133" s="22"/>
      <c r="AF133" s="22"/>
      <c r="AG133" s="22"/>
      <c r="AH133" s="22"/>
      <c r="AI133" s="22"/>
      <c r="AJ133" s="22"/>
      <c r="AK133" s="22"/>
      <c r="AL133" s="22"/>
      <c r="AM133" s="22"/>
      <c r="AN133" s="22"/>
      <c r="AO133" s="22"/>
      <c r="AP133" s="22"/>
    </row>
    <row r="134" ht="25.5" customHeight="1">
      <c r="A134" s="63">
        <f t="shared" si="3"/>
        <v>133</v>
      </c>
      <c r="B134" s="63" t="s">
        <v>62</v>
      </c>
      <c r="C134" s="65" t="s">
        <v>133</v>
      </c>
      <c r="D134" s="108" t="s">
        <v>223</v>
      </c>
      <c r="E134" s="68" t="s">
        <v>62</v>
      </c>
      <c r="F134" s="70" t="s">
        <v>62</v>
      </c>
      <c r="G134" s="70" t="s">
        <v>62</v>
      </c>
      <c r="H134" s="71" t="s">
        <v>62</v>
      </c>
      <c r="I134" s="71" t="s">
        <v>62</v>
      </c>
      <c r="J134" s="68" t="s">
        <v>62</v>
      </c>
      <c r="K134" s="68" t="s">
        <v>62</v>
      </c>
      <c r="L134" s="68" t="s">
        <v>62</v>
      </c>
      <c r="M134" s="68" t="s">
        <v>62</v>
      </c>
      <c r="N134" s="68" t="s">
        <v>62</v>
      </c>
      <c r="O134" s="68" t="s">
        <v>62</v>
      </c>
      <c r="P134" s="68" t="s">
        <v>62</v>
      </c>
      <c r="Q134" s="68" t="s">
        <v>62</v>
      </c>
      <c r="R134" s="68" t="s">
        <v>62</v>
      </c>
      <c r="S134" s="68"/>
      <c r="T134" s="68" t="s">
        <v>62</v>
      </c>
      <c r="U134" s="68" t="s">
        <v>62</v>
      </c>
      <c r="V134" s="68" t="s">
        <v>62</v>
      </c>
      <c r="W134" s="68" t="s">
        <v>62</v>
      </c>
      <c r="X134" s="68" t="s">
        <v>62</v>
      </c>
      <c r="Y134" s="68" t="s">
        <v>62</v>
      </c>
      <c r="Z134" s="68" t="s">
        <v>62</v>
      </c>
      <c r="AA134" s="68" t="s">
        <v>62</v>
      </c>
      <c r="AB134" s="68" t="s">
        <v>62</v>
      </c>
      <c r="AD134" s="196"/>
      <c r="AE134" s="196"/>
      <c r="AF134" s="196"/>
      <c r="AG134" s="196"/>
      <c r="AH134" s="196"/>
      <c r="AI134" s="196"/>
      <c r="AJ134" s="196"/>
      <c r="AK134" s="196"/>
      <c r="AL134" s="196"/>
      <c r="AM134" s="196"/>
      <c r="AN134" s="196"/>
      <c r="AO134" s="196"/>
      <c r="AP134" s="196"/>
    </row>
    <row r="135" ht="25.5" customHeight="1">
      <c r="A135" s="84">
        <f t="shared" si="3"/>
        <v>134</v>
      </c>
      <c r="B135" s="84" t="s">
        <v>61</v>
      </c>
      <c r="C135" s="84" t="s">
        <v>33</v>
      </c>
      <c r="D135" s="84" t="s">
        <v>223</v>
      </c>
      <c r="E135" s="86" t="str">
        <f t="shared" ref="E135:E136" si="26">IF(OR($B135="ALTA",AND(ISNUMBER($W135),$W135&gt;0),AND($U135&lt;&gt;"",$U135&lt;&gt;"NO")),"SI","")</f>
        <v/>
      </c>
      <c r="F135" s="88" t="s">
        <v>60</v>
      </c>
      <c r="G135" s="88" t="s">
        <v>36</v>
      </c>
      <c r="H135" s="84" t="s">
        <v>248</v>
      </c>
      <c r="I135" s="84" t="s">
        <v>38</v>
      </c>
      <c r="J135" s="159" t="s">
        <v>890</v>
      </c>
      <c r="K135" s="159"/>
      <c r="L135" s="159" t="str">
        <f t="shared" ref="L135:L136" si="27">CONCATENATE(J135,", ",H135,", Cali")</f>
        <v>Carrera 13A # 66B 16, El Limonar, Cali</v>
      </c>
      <c r="M135" s="159" t="s">
        <v>231</v>
      </c>
      <c r="N135" s="159" t="s">
        <v>233</v>
      </c>
      <c r="O135" s="238"/>
      <c r="P135" s="238"/>
      <c r="Q135" s="238" t="s">
        <v>166</v>
      </c>
      <c r="R135" s="239"/>
      <c r="S135" s="239"/>
      <c r="T135" s="239">
        <v>1.0</v>
      </c>
      <c r="U135" s="238" t="s">
        <v>83</v>
      </c>
      <c r="V135" s="216"/>
      <c r="W135" s="217"/>
      <c r="X135" s="218"/>
      <c r="Y135" s="240" t="s">
        <v>891</v>
      </c>
      <c r="Z135" s="159" t="s">
        <v>892</v>
      </c>
      <c r="AA135" s="159"/>
      <c r="AB135" s="159"/>
      <c r="AD135" s="210"/>
      <c r="AE135" s="211"/>
      <c r="AF135" s="210"/>
      <c r="AG135" s="210"/>
      <c r="AH135" s="210"/>
      <c r="AI135" s="210"/>
      <c r="AJ135" s="210"/>
      <c r="AK135" s="210"/>
      <c r="AL135" s="210"/>
      <c r="AM135" s="210"/>
      <c r="AN135" s="210"/>
      <c r="AO135" s="210"/>
      <c r="AP135" s="210"/>
    </row>
    <row r="136" ht="25.5" customHeight="1">
      <c r="A136" s="8">
        <f t="shared" si="3"/>
        <v>135</v>
      </c>
      <c r="B136" s="8" t="s">
        <v>32</v>
      </c>
      <c r="C136" s="8" t="s">
        <v>63</v>
      </c>
      <c r="D136" s="8" t="s">
        <v>34</v>
      </c>
      <c r="E136" s="81" t="str">
        <f t="shared" si="26"/>
        <v>SI</v>
      </c>
      <c r="F136" s="10" t="s">
        <v>35</v>
      </c>
      <c r="G136" s="10" t="s">
        <v>36</v>
      </c>
      <c r="H136" s="8" t="s">
        <v>369</v>
      </c>
      <c r="I136" s="8" t="s">
        <v>38</v>
      </c>
      <c r="J136" s="7" t="s">
        <v>893</v>
      </c>
      <c r="K136" s="7" t="s">
        <v>894</v>
      </c>
      <c r="L136" s="7" t="str">
        <f t="shared" si="27"/>
        <v>Calle 6 con Carrera 42, Tequendama, Cali</v>
      </c>
      <c r="M136" s="169" t="s">
        <v>895</v>
      </c>
      <c r="N136" s="169" t="s">
        <v>233</v>
      </c>
      <c r="O136" s="241"/>
      <c r="P136" s="241"/>
      <c r="Q136" s="241" t="s">
        <v>166</v>
      </c>
      <c r="R136" s="242"/>
      <c r="S136" s="242"/>
      <c r="T136" s="242">
        <v>1.0</v>
      </c>
      <c r="U136" s="241">
        <v>1.0</v>
      </c>
      <c r="V136" s="223"/>
      <c r="W136" s="237"/>
      <c r="X136" s="224"/>
      <c r="Y136" s="224"/>
      <c r="Z136" s="7" t="s">
        <v>896</v>
      </c>
      <c r="AA136" s="7"/>
      <c r="AB136" s="7" t="s">
        <v>46</v>
      </c>
      <c r="AD136" s="210"/>
      <c r="AE136" s="211"/>
      <c r="AF136" s="210"/>
      <c r="AG136" s="210"/>
      <c r="AH136" s="210"/>
      <c r="AI136" s="210"/>
      <c r="AJ136" s="210"/>
      <c r="AK136" s="210"/>
      <c r="AL136" s="210"/>
      <c r="AM136" s="210"/>
      <c r="AN136" s="210"/>
      <c r="AO136" s="210"/>
      <c r="AP136" s="210"/>
    </row>
    <row r="137" ht="25.5" customHeight="1">
      <c r="A137" s="63">
        <f t="shared" si="3"/>
        <v>136</v>
      </c>
      <c r="B137" s="63" t="s">
        <v>62</v>
      </c>
      <c r="C137" s="65" t="s">
        <v>133</v>
      </c>
      <c r="D137" s="108" t="s">
        <v>223</v>
      </c>
      <c r="E137" s="68" t="s">
        <v>62</v>
      </c>
      <c r="F137" s="70" t="s">
        <v>62</v>
      </c>
      <c r="G137" s="70" t="s">
        <v>62</v>
      </c>
      <c r="H137" s="71" t="s">
        <v>62</v>
      </c>
      <c r="I137" s="71" t="s">
        <v>62</v>
      </c>
      <c r="J137" s="68" t="s">
        <v>62</v>
      </c>
      <c r="K137" s="68" t="s">
        <v>62</v>
      </c>
      <c r="L137" s="68" t="s">
        <v>62</v>
      </c>
      <c r="M137" s="68" t="s">
        <v>62</v>
      </c>
      <c r="N137" s="68" t="s">
        <v>62</v>
      </c>
      <c r="O137" s="68" t="s">
        <v>62</v>
      </c>
      <c r="P137" s="68" t="s">
        <v>62</v>
      </c>
      <c r="Q137" s="68" t="s">
        <v>62</v>
      </c>
      <c r="R137" s="68" t="s">
        <v>62</v>
      </c>
      <c r="S137" s="68"/>
      <c r="T137" s="68" t="s">
        <v>62</v>
      </c>
      <c r="U137" s="68" t="s">
        <v>62</v>
      </c>
      <c r="V137" s="68" t="s">
        <v>62</v>
      </c>
      <c r="W137" s="68" t="s">
        <v>62</v>
      </c>
      <c r="X137" s="68" t="s">
        <v>62</v>
      </c>
      <c r="Y137" s="68" t="s">
        <v>62</v>
      </c>
      <c r="Z137" s="68" t="s">
        <v>62</v>
      </c>
      <c r="AA137" s="68" t="s">
        <v>62</v>
      </c>
      <c r="AB137" s="68" t="s">
        <v>62</v>
      </c>
      <c r="AD137" s="243"/>
      <c r="AE137" s="244"/>
      <c r="AF137" s="243"/>
      <c r="AG137" s="243"/>
      <c r="AH137" s="243"/>
      <c r="AI137" s="243"/>
      <c r="AJ137" s="243"/>
      <c r="AK137" s="243"/>
      <c r="AL137" s="243"/>
      <c r="AM137" s="243"/>
      <c r="AN137" s="243"/>
      <c r="AO137" s="243"/>
      <c r="AP137" s="243"/>
    </row>
    <row r="138" ht="25.5" customHeight="1">
      <c r="A138" s="84">
        <f t="shared" si="3"/>
        <v>137</v>
      </c>
      <c r="B138" s="84" t="s">
        <v>307</v>
      </c>
      <c r="C138" s="84" t="s">
        <v>33</v>
      </c>
      <c r="D138" s="84" t="s">
        <v>223</v>
      </c>
      <c r="E138" s="245" t="str">
        <f t="shared" ref="E138:E152" si="28">IF(OR($B138="ALTA",AND(ISNUMBER($W138),$W138&gt;0),AND($U138&lt;&gt;"",$U138&lt;&gt;"NO")),"SI","")</f>
        <v/>
      </c>
      <c r="F138" s="88" t="s">
        <v>35</v>
      </c>
      <c r="G138" s="88" t="s">
        <v>36</v>
      </c>
      <c r="H138" s="84" t="s">
        <v>278</v>
      </c>
      <c r="I138" s="84" t="s">
        <v>38</v>
      </c>
      <c r="J138" s="174" t="s">
        <v>897</v>
      </c>
      <c r="K138" s="174"/>
      <c r="L138" s="174" t="str">
        <f t="shared" ref="L138:L152" si="29">CONCATENATE(J138,", ",H138,", Cali")</f>
        <v>Carrera 36 #5B3-40, San Fernando, Cali</v>
      </c>
      <c r="M138" s="174" t="s">
        <v>231</v>
      </c>
      <c r="N138" s="174" t="s">
        <v>233</v>
      </c>
      <c r="O138" s="213"/>
      <c r="P138" s="213"/>
      <c r="Q138" s="213" t="s">
        <v>284</v>
      </c>
      <c r="R138" s="214"/>
      <c r="S138" s="214"/>
      <c r="T138" s="214">
        <v>1.0</v>
      </c>
      <c r="U138" s="238" t="s">
        <v>83</v>
      </c>
      <c r="V138" s="216"/>
      <c r="W138" s="217"/>
      <c r="X138" s="218"/>
      <c r="Y138" s="240" t="s">
        <v>289</v>
      </c>
      <c r="Z138" s="159" t="s">
        <v>898</v>
      </c>
      <c r="AA138" s="159"/>
      <c r="AB138" s="159" t="s">
        <v>46</v>
      </c>
      <c r="AD138" s="210"/>
      <c r="AE138" s="211"/>
      <c r="AF138" s="210"/>
      <c r="AG138" s="210"/>
      <c r="AH138" s="210"/>
      <c r="AI138" s="210"/>
      <c r="AJ138" s="210"/>
      <c r="AK138" s="210"/>
      <c r="AL138" s="210"/>
      <c r="AM138" s="210"/>
      <c r="AN138" s="210"/>
      <c r="AO138" s="210"/>
      <c r="AP138" s="210"/>
    </row>
    <row r="139" ht="25.5" customHeight="1">
      <c r="A139" s="8">
        <f t="shared" si="3"/>
        <v>138</v>
      </c>
      <c r="B139" s="8" t="s">
        <v>307</v>
      </c>
      <c r="C139" s="8" t="s">
        <v>63</v>
      </c>
      <c r="D139" s="8" t="s">
        <v>34</v>
      </c>
      <c r="E139" s="81" t="str">
        <f t="shared" si="28"/>
        <v/>
      </c>
      <c r="F139" s="10" t="s">
        <v>102</v>
      </c>
      <c r="G139" s="10" t="s">
        <v>36</v>
      </c>
      <c r="H139" s="8" t="s">
        <v>343</v>
      </c>
      <c r="I139" s="8" t="s">
        <v>899</v>
      </c>
      <c r="J139" s="7" t="s">
        <v>900</v>
      </c>
      <c r="K139" s="7"/>
      <c r="L139" s="7" t="str">
        <f t="shared" si="29"/>
        <v>Calle 5 # 80-00, Las Vegas, Cali</v>
      </c>
      <c r="M139" s="246" t="s">
        <v>901</v>
      </c>
      <c r="N139" s="246" t="s">
        <v>233</v>
      </c>
      <c r="O139" s="221"/>
      <c r="P139" s="221"/>
      <c r="Q139" s="221" t="s">
        <v>166</v>
      </c>
      <c r="R139" s="222"/>
      <c r="S139" s="222"/>
      <c r="T139" s="222">
        <v>1.0</v>
      </c>
      <c r="U139" s="221" t="s">
        <v>83</v>
      </c>
      <c r="V139" s="223"/>
      <c r="W139" s="237"/>
      <c r="X139" s="224"/>
      <c r="Y139" s="224"/>
      <c r="Z139" s="7" t="s">
        <v>902</v>
      </c>
      <c r="AA139" s="7"/>
      <c r="AB139" s="7" t="s">
        <v>83</v>
      </c>
      <c r="AD139" s="210"/>
      <c r="AE139" s="211"/>
      <c r="AF139" s="210"/>
      <c r="AG139" s="210"/>
      <c r="AH139" s="210"/>
      <c r="AI139" s="210"/>
      <c r="AJ139" s="210"/>
      <c r="AK139" s="210"/>
      <c r="AL139" s="210"/>
      <c r="AM139" s="210"/>
      <c r="AN139" s="210"/>
      <c r="AO139" s="210"/>
      <c r="AP139" s="210"/>
    </row>
    <row r="140" ht="25.5" customHeight="1">
      <c r="A140" s="84">
        <f t="shared" si="3"/>
        <v>139</v>
      </c>
      <c r="B140" s="84" t="s">
        <v>61</v>
      </c>
      <c r="C140" s="84" t="s">
        <v>33</v>
      </c>
      <c r="D140" s="84" t="s">
        <v>223</v>
      </c>
      <c r="E140" s="86" t="str">
        <f t="shared" si="28"/>
        <v/>
      </c>
      <c r="F140" s="88" t="s">
        <v>35</v>
      </c>
      <c r="G140" s="88" t="s">
        <v>36</v>
      </c>
      <c r="H140" s="84" t="s">
        <v>278</v>
      </c>
      <c r="I140" s="84" t="s">
        <v>38</v>
      </c>
      <c r="J140" s="174" t="s">
        <v>903</v>
      </c>
      <c r="K140" s="174" t="s">
        <v>904</v>
      </c>
      <c r="L140" s="174" t="str">
        <f t="shared" si="29"/>
        <v>Carrera 36B #5B3-29, San Fernando, Cali</v>
      </c>
      <c r="M140" s="174" t="s">
        <v>231</v>
      </c>
      <c r="N140" s="174" t="s">
        <v>233</v>
      </c>
      <c r="O140" s="238"/>
      <c r="P140" s="238"/>
      <c r="Q140" s="238" t="s">
        <v>284</v>
      </c>
      <c r="R140" s="239"/>
      <c r="S140" s="239"/>
      <c r="T140" s="239">
        <v>1.0</v>
      </c>
      <c r="U140" s="238" t="s">
        <v>83</v>
      </c>
      <c r="V140" s="216"/>
      <c r="W140" s="217"/>
      <c r="X140" s="218"/>
      <c r="Y140" s="219" t="s">
        <v>289</v>
      </c>
      <c r="Z140" s="159" t="s">
        <v>905</v>
      </c>
      <c r="AA140" s="159"/>
      <c r="AB140" s="159" t="s">
        <v>46</v>
      </c>
      <c r="AD140" s="210"/>
      <c r="AE140" s="211"/>
      <c r="AF140" s="210"/>
      <c r="AG140" s="210"/>
      <c r="AH140" s="210"/>
      <c r="AI140" s="210"/>
      <c r="AJ140" s="210"/>
      <c r="AK140" s="210"/>
      <c r="AL140" s="210"/>
      <c r="AM140" s="210"/>
      <c r="AN140" s="210"/>
      <c r="AO140" s="210"/>
      <c r="AP140" s="210"/>
    </row>
    <row r="141" ht="25.5" customHeight="1">
      <c r="A141" s="8">
        <f t="shared" si="3"/>
        <v>140</v>
      </c>
      <c r="B141" s="8" t="s">
        <v>32</v>
      </c>
      <c r="C141" s="8" t="s">
        <v>63</v>
      </c>
      <c r="D141" s="8" t="s">
        <v>34</v>
      </c>
      <c r="E141" s="220" t="str">
        <f t="shared" si="28"/>
        <v>SI</v>
      </c>
      <c r="F141" s="10" t="s">
        <v>35</v>
      </c>
      <c r="G141" s="10" t="s">
        <v>36</v>
      </c>
      <c r="H141" s="8" t="s">
        <v>224</v>
      </c>
      <c r="I141" s="8" t="s">
        <v>286</v>
      </c>
      <c r="J141" s="7" t="s">
        <v>906</v>
      </c>
      <c r="K141" s="7"/>
      <c r="L141" s="7" t="str">
        <f t="shared" si="29"/>
        <v>Calle 4 con Carrera 58, Cuarto de Legua – Guadalupe, Cali</v>
      </c>
      <c r="M141" s="7" t="s">
        <v>164</v>
      </c>
      <c r="N141" s="7" t="s">
        <v>41</v>
      </c>
      <c r="O141" s="221"/>
      <c r="P141" s="221"/>
      <c r="Q141" s="221" t="s">
        <v>867</v>
      </c>
      <c r="R141" s="222">
        <v>1.0</v>
      </c>
      <c r="S141" s="222"/>
      <c r="T141" s="222"/>
      <c r="U141" s="221"/>
      <c r="V141" s="223"/>
      <c r="W141" s="13"/>
      <c r="X141" s="224"/>
      <c r="Y141" s="224"/>
      <c r="Z141" s="7" t="s">
        <v>907</v>
      </c>
      <c r="AA141" s="20"/>
      <c r="AB141" s="7" t="s">
        <v>46</v>
      </c>
      <c r="AD141" s="210"/>
      <c r="AE141" s="211"/>
      <c r="AF141" s="210"/>
      <c r="AG141" s="210"/>
      <c r="AH141" s="210"/>
      <c r="AI141" s="210"/>
      <c r="AJ141" s="210"/>
      <c r="AK141" s="210"/>
      <c r="AL141" s="210"/>
      <c r="AM141" s="210"/>
      <c r="AN141" s="210"/>
      <c r="AO141" s="210"/>
      <c r="AP141" s="210"/>
    </row>
    <row r="142" ht="25.5" customHeight="1">
      <c r="A142" s="84">
        <f t="shared" si="3"/>
        <v>141</v>
      </c>
      <c r="B142" s="84" t="s">
        <v>61</v>
      </c>
      <c r="C142" s="84" t="s">
        <v>33</v>
      </c>
      <c r="D142" s="84" t="s">
        <v>223</v>
      </c>
      <c r="E142" s="86" t="str">
        <f t="shared" si="28"/>
        <v/>
      </c>
      <c r="F142" s="88" t="s">
        <v>35</v>
      </c>
      <c r="G142" s="88" t="s">
        <v>36</v>
      </c>
      <c r="H142" s="174" t="s">
        <v>369</v>
      </c>
      <c r="I142" s="174" t="s">
        <v>639</v>
      </c>
      <c r="J142" s="159" t="s">
        <v>908</v>
      </c>
      <c r="K142" s="159" t="s">
        <v>909</v>
      </c>
      <c r="L142" s="159" t="str">
        <f t="shared" si="29"/>
        <v>Calle 5 #39-173, Tequendama, Cali</v>
      </c>
      <c r="M142" s="168" t="s">
        <v>679</v>
      </c>
      <c r="N142" s="168" t="s">
        <v>233</v>
      </c>
      <c r="O142" s="84"/>
      <c r="P142" s="84"/>
      <c r="Q142" s="84" t="s">
        <v>284</v>
      </c>
      <c r="R142" s="88"/>
      <c r="S142" s="88"/>
      <c r="T142" s="88">
        <v>1.0</v>
      </c>
      <c r="U142" s="238" t="s">
        <v>83</v>
      </c>
      <c r="V142" s="216"/>
      <c r="W142" s="217"/>
      <c r="X142" s="217">
        <v>1.0</v>
      </c>
      <c r="Y142" s="240" t="s">
        <v>910</v>
      </c>
      <c r="Z142" s="159" t="s">
        <v>911</v>
      </c>
      <c r="AA142" s="159"/>
      <c r="AB142" s="159"/>
      <c r="AD142" s="210"/>
      <c r="AE142" s="211"/>
      <c r="AF142" s="210"/>
      <c r="AG142" s="210"/>
      <c r="AH142" s="210"/>
      <c r="AI142" s="210"/>
      <c r="AJ142" s="210"/>
      <c r="AK142" s="210"/>
      <c r="AL142" s="210"/>
      <c r="AM142" s="210"/>
      <c r="AN142" s="210"/>
      <c r="AO142" s="210"/>
      <c r="AP142" s="210"/>
    </row>
    <row r="143" ht="25.5" customHeight="1">
      <c r="A143" s="84">
        <f t="shared" si="3"/>
        <v>142</v>
      </c>
      <c r="B143" s="84" t="s">
        <v>61</v>
      </c>
      <c r="C143" s="84" t="s">
        <v>33</v>
      </c>
      <c r="D143" s="84" t="s">
        <v>223</v>
      </c>
      <c r="E143" s="86" t="str">
        <f t="shared" si="28"/>
        <v/>
      </c>
      <c r="F143" s="88" t="s">
        <v>110</v>
      </c>
      <c r="G143" s="88" t="s">
        <v>176</v>
      </c>
      <c r="H143" s="84" t="s">
        <v>111</v>
      </c>
      <c r="I143" s="84" t="s">
        <v>286</v>
      </c>
      <c r="J143" s="174" t="s">
        <v>912</v>
      </c>
      <c r="K143" s="247"/>
      <c r="L143" s="247" t="str">
        <f t="shared" si="29"/>
        <v>Avenida 15 Oeste #5-43, Bajo Aguacatal, Cali</v>
      </c>
      <c r="M143" s="172" t="s">
        <v>679</v>
      </c>
      <c r="N143" s="172" t="s">
        <v>233</v>
      </c>
      <c r="O143" s="88">
        <v>0.0</v>
      </c>
      <c r="P143" s="88">
        <v>0.0</v>
      </c>
      <c r="Q143" s="84" t="s">
        <v>81</v>
      </c>
      <c r="R143" s="88"/>
      <c r="S143" s="88"/>
      <c r="T143" s="88">
        <v>1.0</v>
      </c>
      <c r="U143" s="238" t="s">
        <v>83</v>
      </c>
      <c r="V143" s="120">
        <v>0.0</v>
      </c>
      <c r="W143" s="120">
        <v>0.0</v>
      </c>
      <c r="X143" s="214">
        <v>0.0</v>
      </c>
      <c r="Y143" s="240" t="s">
        <v>913</v>
      </c>
      <c r="Z143" s="159" t="s">
        <v>914</v>
      </c>
      <c r="AA143" s="159"/>
      <c r="AB143" s="159"/>
      <c r="AD143" s="210"/>
      <c r="AE143" s="211"/>
      <c r="AF143" s="210"/>
      <c r="AG143" s="210"/>
      <c r="AH143" s="210"/>
      <c r="AI143" s="210"/>
      <c r="AJ143" s="210"/>
      <c r="AK143" s="210"/>
      <c r="AL143" s="210"/>
      <c r="AM143" s="210"/>
      <c r="AN143" s="210"/>
      <c r="AO143" s="210"/>
      <c r="AP143" s="210"/>
    </row>
    <row r="144" ht="25.5" customHeight="1">
      <c r="A144" s="27">
        <f t="shared" si="3"/>
        <v>143</v>
      </c>
      <c r="B144" s="27" t="s">
        <v>32</v>
      </c>
      <c r="C144" s="27" t="s">
        <v>279</v>
      </c>
      <c r="D144" s="27" t="s">
        <v>34</v>
      </c>
      <c r="E144" s="28" t="str">
        <f t="shared" si="28"/>
        <v>SI</v>
      </c>
      <c r="F144" s="30" t="s">
        <v>110</v>
      </c>
      <c r="G144" s="30" t="s">
        <v>176</v>
      </c>
      <c r="H144" s="27" t="s">
        <v>486</v>
      </c>
      <c r="I144" s="27" t="s">
        <v>286</v>
      </c>
      <c r="J144" s="121" t="s">
        <v>915</v>
      </c>
      <c r="K144" s="121"/>
      <c r="L144" s="7" t="str">
        <f t="shared" si="29"/>
        <v>Calle 11 #12-57, Sucre, Cali</v>
      </c>
      <c r="M144" s="143" t="s">
        <v>916</v>
      </c>
      <c r="N144" s="143" t="s">
        <v>642</v>
      </c>
      <c r="O144" s="248"/>
      <c r="P144" s="248"/>
      <c r="Q144" s="248"/>
      <c r="R144" s="249"/>
      <c r="S144" s="249"/>
      <c r="T144" s="249">
        <v>1.0</v>
      </c>
      <c r="U144" s="221" t="s">
        <v>83</v>
      </c>
      <c r="V144" s="223"/>
      <c r="W144" s="237"/>
      <c r="X144" s="224"/>
      <c r="Y144" s="224"/>
      <c r="Z144" s="7" t="s">
        <v>917</v>
      </c>
      <c r="AA144" s="7"/>
      <c r="AB144" s="7"/>
      <c r="AD144" s="210"/>
      <c r="AE144" s="211"/>
      <c r="AF144" s="210"/>
      <c r="AG144" s="210"/>
      <c r="AH144" s="210"/>
      <c r="AI144" s="210"/>
      <c r="AJ144" s="210"/>
      <c r="AK144" s="210"/>
      <c r="AL144" s="210"/>
      <c r="AM144" s="210"/>
      <c r="AN144" s="210"/>
      <c r="AO144" s="210"/>
      <c r="AP144" s="210"/>
    </row>
    <row r="145" ht="25.5" customHeight="1">
      <c r="A145" s="27">
        <f t="shared" si="3"/>
        <v>144</v>
      </c>
      <c r="B145" s="27" t="s">
        <v>61</v>
      </c>
      <c r="C145" s="27" t="s">
        <v>63</v>
      </c>
      <c r="D145" s="27" t="s">
        <v>64</v>
      </c>
      <c r="E145" s="28" t="str">
        <f t="shared" si="28"/>
        <v/>
      </c>
      <c r="F145" s="30" t="s">
        <v>60</v>
      </c>
      <c r="G145" s="30" t="s">
        <v>36</v>
      </c>
      <c r="H145" s="27" t="s">
        <v>504</v>
      </c>
      <c r="I145" s="27" t="s">
        <v>918</v>
      </c>
      <c r="J145" s="121" t="s">
        <v>919</v>
      </c>
      <c r="K145" s="121"/>
      <c r="L145" s="121" t="str">
        <f t="shared" si="29"/>
        <v>Carrera 98 f # 58 - 66 Local 06, Valle del Lili, Cali</v>
      </c>
      <c r="M145" s="121" t="s">
        <v>231</v>
      </c>
      <c r="N145" s="121" t="s">
        <v>233</v>
      </c>
      <c r="O145" s="27"/>
      <c r="P145" s="27"/>
      <c r="Q145" s="27" t="s">
        <v>81</v>
      </c>
      <c r="R145" s="30"/>
      <c r="S145" s="30"/>
      <c r="T145" s="30">
        <v>1.0</v>
      </c>
      <c r="U145" s="194" t="s">
        <v>83</v>
      </c>
      <c r="V145" s="206"/>
      <c r="W145" s="207"/>
      <c r="X145" s="208"/>
      <c r="Y145" s="227" t="s">
        <v>920</v>
      </c>
      <c r="Z145" s="121" t="s">
        <v>921</v>
      </c>
      <c r="AA145" s="121"/>
      <c r="AB145" s="121"/>
      <c r="AD145" s="210"/>
      <c r="AE145" s="211"/>
      <c r="AF145" s="210"/>
      <c r="AG145" s="210"/>
      <c r="AH145" s="210"/>
      <c r="AI145" s="210"/>
      <c r="AJ145" s="210"/>
      <c r="AK145" s="210"/>
      <c r="AL145" s="210"/>
      <c r="AM145" s="210"/>
      <c r="AN145" s="210"/>
      <c r="AO145" s="210"/>
      <c r="AP145" s="210"/>
    </row>
    <row r="146" ht="25.5" customHeight="1">
      <c r="A146" s="27">
        <f t="shared" si="3"/>
        <v>145</v>
      </c>
      <c r="B146" s="27" t="s">
        <v>61</v>
      </c>
      <c r="C146" s="27" t="s">
        <v>63</v>
      </c>
      <c r="D146" s="27" t="s">
        <v>64</v>
      </c>
      <c r="E146" s="28" t="str">
        <f t="shared" si="28"/>
        <v>SI</v>
      </c>
      <c r="F146" s="30" t="s">
        <v>70</v>
      </c>
      <c r="G146" s="30" t="s">
        <v>36</v>
      </c>
      <c r="H146" s="27" t="s">
        <v>473</v>
      </c>
      <c r="I146" s="27" t="s">
        <v>286</v>
      </c>
      <c r="J146" s="121" t="s">
        <v>922</v>
      </c>
      <c r="K146" s="121"/>
      <c r="L146" s="121" t="str">
        <f t="shared" si="29"/>
        <v>Calle 16 # 25 - 65, Santa Elena, Cali</v>
      </c>
      <c r="M146" s="121" t="s">
        <v>231</v>
      </c>
      <c r="N146" s="121" t="s">
        <v>233</v>
      </c>
      <c r="O146" s="27"/>
      <c r="P146" s="27"/>
      <c r="Q146" s="27" t="s">
        <v>81</v>
      </c>
      <c r="R146" s="30"/>
      <c r="S146" s="30"/>
      <c r="T146" s="30">
        <v>1.0</v>
      </c>
      <c r="U146" s="194" t="s">
        <v>83</v>
      </c>
      <c r="V146" s="206"/>
      <c r="W146" s="11">
        <v>4.0</v>
      </c>
      <c r="X146" s="208"/>
      <c r="Y146" s="227" t="s">
        <v>923</v>
      </c>
      <c r="Z146" s="121" t="s">
        <v>924</v>
      </c>
      <c r="AA146" s="121"/>
      <c r="AB146" s="121"/>
      <c r="AD146" s="210"/>
      <c r="AE146" s="211"/>
      <c r="AF146" s="210"/>
      <c r="AG146" s="210"/>
      <c r="AH146" s="210"/>
      <c r="AI146" s="210"/>
      <c r="AJ146" s="210"/>
      <c r="AK146" s="210"/>
      <c r="AL146" s="210"/>
      <c r="AM146" s="210"/>
      <c r="AN146" s="210"/>
      <c r="AO146" s="210"/>
      <c r="AP146" s="210"/>
    </row>
    <row r="147" ht="25.5" customHeight="1">
      <c r="A147" s="27">
        <f t="shared" si="3"/>
        <v>146</v>
      </c>
      <c r="B147" s="27" t="s">
        <v>61</v>
      </c>
      <c r="C147" s="27" t="s">
        <v>63</v>
      </c>
      <c r="D147" s="27" t="s">
        <v>64</v>
      </c>
      <c r="E147" s="28" t="str">
        <f t="shared" si="28"/>
        <v/>
      </c>
      <c r="F147" s="30" t="s">
        <v>60</v>
      </c>
      <c r="G147" s="30" t="s">
        <v>36</v>
      </c>
      <c r="H147" s="27" t="s">
        <v>243</v>
      </c>
      <c r="I147" s="27" t="s">
        <v>38</v>
      </c>
      <c r="J147" s="121" t="s">
        <v>925</v>
      </c>
      <c r="K147" s="121"/>
      <c r="L147" s="121" t="str">
        <f t="shared" si="29"/>
        <v>Carrera 75 # 13 -196, El ingenio, Cali</v>
      </c>
      <c r="M147" s="154" t="s">
        <v>926</v>
      </c>
      <c r="N147" s="154" t="s">
        <v>926</v>
      </c>
      <c r="O147" s="194"/>
      <c r="P147" s="194"/>
      <c r="Q147" s="194" t="s">
        <v>927</v>
      </c>
      <c r="R147" s="250"/>
      <c r="S147" s="250"/>
      <c r="T147" s="250">
        <v>1.0</v>
      </c>
      <c r="U147" s="194" t="s">
        <v>83</v>
      </c>
      <c r="V147" s="206"/>
      <c r="W147" s="207"/>
      <c r="X147" s="208"/>
      <c r="Y147" s="227" t="s">
        <v>928</v>
      </c>
      <c r="Z147" s="209"/>
      <c r="AA147" s="209"/>
      <c r="AB147" s="209"/>
      <c r="AD147" s="210"/>
      <c r="AE147" s="211"/>
      <c r="AF147" s="210"/>
      <c r="AG147" s="210"/>
      <c r="AH147" s="210"/>
      <c r="AI147" s="210"/>
      <c r="AJ147" s="210"/>
      <c r="AK147" s="210"/>
      <c r="AL147" s="210"/>
      <c r="AM147" s="210"/>
      <c r="AN147" s="210"/>
      <c r="AO147" s="210"/>
      <c r="AP147" s="210"/>
    </row>
    <row r="148" ht="25.5" customHeight="1">
      <c r="A148" s="27">
        <f t="shared" si="3"/>
        <v>147</v>
      </c>
      <c r="B148" s="27" t="s">
        <v>61</v>
      </c>
      <c r="C148" s="27" t="s">
        <v>63</v>
      </c>
      <c r="D148" s="27" t="s">
        <v>64</v>
      </c>
      <c r="E148" s="28" t="str">
        <f t="shared" si="28"/>
        <v/>
      </c>
      <c r="F148" s="30" t="s">
        <v>60</v>
      </c>
      <c r="G148" s="30" t="s">
        <v>36</v>
      </c>
      <c r="H148" s="27" t="s">
        <v>243</v>
      </c>
      <c r="I148" s="27" t="s">
        <v>38</v>
      </c>
      <c r="J148" s="121" t="s">
        <v>929</v>
      </c>
      <c r="K148" s="121"/>
      <c r="L148" s="121" t="str">
        <f t="shared" si="29"/>
        <v>Carrera 67 con calle c, El ingenio, Cali</v>
      </c>
      <c r="M148" s="121" t="s">
        <v>231</v>
      </c>
      <c r="N148" s="121" t="s">
        <v>233</v>
      </c>
      <c r="O148" s="27"/>
      <c r="P148" s="27"/>
      <c r="Q148" s="27" t="s">
        <v>81</v>
      </c>
      <c r="R148" s="30"/>
      <c r="S148" s="30"/>
      <c r="T148" s="30">
        <v>1.0</v>
      </c>
      <c r="U148" s="205"/>
      <c r="V148" s="206"/>
      <c r="W148" s="207"/>
      <c r="X148" s="208"/>
      <c r="Y148" s="227" t="s">
        <v>930</v>
      </c>
      <c r="Z148" s="209"/>
      <c r="AA148" s="209"/>
      <c r="AB148" s="209"/>
      <c r="AD148" s="210"/>
      <c r="AE148" s="211"/>
      <c r="AF148" s="210"/>
      <c r="AG148" s="210"/>
      <c r="AH148" s="210"/>
      <c r="AI148" s="210"/>
      <c r="AJ148" s="210"/>
      <c r="AK148" s="210"/>
      <c r="AL148" s="210"/>
      <c r="AM148" s="210"/>
      <c r="AN148" s="210"/>
      <c r="AO148" s="210"/>
      <c r="AP148" s="210"/>
    </row>
    <row r="149" ht="25.5" customHeight="1">
      <c r="A149" s="27">
        <f t="shared" si="3"/>
        <v>148</v>
      </c>
      <c r="B149" s="27" t="s">
        <v>61</v>
      </c>
      <c r="C149" s="27" t="s">
        <v>63</v>
      </c>
      <c r="D149" s="27" t="s">
        <v>64</v>
      </c>
      <c r="E149" s="28" t="str">
        <f t="shared" si="28"/>
        <v/>
      </c>
      <c r="F149" s="30" t="s">
        <v>110</v>
      </c>
      <c r="G149" s="30" t="s">
        <v>176</v>
      </c>
      <c r="H149" s="27" t="s">
        <v>447</v>
      </c>
      <c r="I149" s="27" t="s">
        <v>286</v>
      </c>
      <c r="J149" s="27" t="s">
        <v>931</v>
      </c>
      <c r="K149" s="27"/>
      <c r="L149" s="27" t="str">
        <f t="shared" si="29"/>
        <v>Calle 6 # 13 - 33, San Bosco, Cali</v>
      </c>
      <c r="M149" s="27" t="s">
        <v>231</v>
      </c>
      <c r="N149" s="27" t="s">
        <v>233</v>
      </c>
      <c r="O149" s="27"/>
      <c r="P149" s="27"/>
      <c r="Q149" s="27" t="s">
        <v>81</v>
      </c>
      <c r="R149" s="30"/>
      <c r="S149" s="30"/>
      <c r="T149" s="30">
        <v>1.0</v>
      </c>
      <c r="U149" s="205"/>
      <c r="V149" s="206"/>
      <c r="W149" s="207"/>
      <c r="X149" s="208"/>
      <c r="Y149" s="208"/>
      <c r="Z149" s="209"/>
      <c r="AA149" s="209"/>
      <c r="AB149" s="209"/>
      <c r="AD149" s="210"/>
      <c r="AE149" s="211"/>
      <c r="AF149" s="210"/>
      <c r="AG149" s="210"/>
      <c r="AH149" s="210"/>
      <c r="AI149" s="210"/>
      <c r="AJ149" s="210"/>
      <c r="AK149" s="210"/>
      <c r="AL149" s="210"/>
      <c r="AM149" s="210"/>
      <c r="AN149" s="210"/>
      <c r="AO149" s="210"/>
      <c r="AP149" s="210"/>
    </row>
    <row r="150" ht="25.5" customHeight="1">
      <c r="A150" s="27">
        <f t="shared" si="3"/>
        <v>149</v>
      </c>
      <c r="B150" s="27" t="s">
        <v>61</v>
      </c>
      <c r="C150" s="27" t="s">
        <v>63</v>
      </c>
      <c r="D150" s="27" t="s">
        <v>64</v>
      </c>
      <c r="E150" s="28" t="str">
        <f t="shared" si="28"/>
        <v/>
      </c>
      <c r="F150" s="30" t="s">
        <v>60</v>
      </c>
      <c r="G150" s="30" t="s">
        <v>36</v>
      </c>
      <c r="H150" s="27" t="s">
        <v>204</v>
      </c>
      <c r="I150" s="27" t="s">
        <v>38</v>
      </c>
      <c r="J150" s="121" t="s">
        <v>932</v>
      </c>
      <c r="K150" s="121" t="s">
        <v>933</v>
      </c>
      <c r="L150" s="121" t="str">
        <f t="shared" si="29"/>
        <v>Calle 13a bis # 80 - 45, Ciudadela Pasoancho, Cali</v>
      </c>
      <c r="M150" s="121" t="s">
        <v>231</v>
      </c>
      <c r="N150" s="121" t="s">
        <v>233</v>
      </c>
      <c r="O150" s="27"/>
      <c r="P150" s="27"/>
      <c r="Q150" s="27" t="s">
        <v>81</v>
      </c>
      <c r="R150" s="30"/>
      <c r="S150" s="30"/>
      <c r="T150" s="30">
        <v>1.0</v>
      </c>
      <c r="U150" s="205"/>
      <c r="V150" s="206"/>
      <c r="W150" s="207"/>
      <c r="X150" s="208"/>
      <c r="Y150" s="208"/>
      <c r="Z150" s="121" t="s">
        <v>934</v>
      </c>
      <c r="AA150" s="121"/>
      <c r="AB150" s="121"/>
      <c r="AD150" s="210"/>
      <c r="AE150" s="211"/>
      <c r="AF150" s="210"/>
      <c r="AG150" s="210"/>
      <c r="AH150" s="210"/>
      <c r="AI150" s="210"/>
      <c r="AJ150" s="210"/>
      <c r="AK150" s="210"/>
      <c r="AL150" s="210"/>
      <c r="AM150" s="210"/>
      <c r="AN150" s="210"/>
      <c r="AO150" s="210"/>
      <c r="AP150" s="210"/>
    </row>
    <row r="151" ht="25.5" customHeight="1">
      <c r="A151" s="27">
        <f t="shared" si="3"/>
        <v>150</v>
      </c>
      <c r="B151" s="27" t="s">
        <v>61</v>
      </c>
      <c r="C151" s="27" t="s">
        <v>63</v>
      </c>
      <c r="D151" s="27" t="s">
        <v>64</v>
      </c>
      <c r="E151" s="28" t="str">
        <f t="shared" si="28"/>
        <v/>
      </c>
      <c r="F151" s="30" t="s">
        <v>35</v>
      </c>
      <c r="G151" s="30" t="s">
        <v>36</v>
      </c>
      <c r="H151" s="27" t="s">
        <v>369</v>
      </c>
      <c r="I151" s="27" t="s">
        <v>935</v>
      </c>
      <c r="J151" s="121" t="s">
        <v>936</v>
      </c>
      <c r="K151" s="121" t="s">
        <v>937</v>
      </c>
      <c r="L151" s="121" t="str">
        <f t="shared" si="29"/>
        <v>Carrera 50 # 5-173, Tequendama, Cali</v>
      </c>
      <c r="M151" s="121" t="s">
        <v>231</v>
      </c>
      <c r="N151" s="121" t="s">
        <v>233</v>
      </c>
      <c r="O151" s="27"/>
      <c r="P151" s="27"/>
      <c r="Q151" s="27" t="s">
        <v>81</v>
      </c>
      <c r="R151" s="30"/>
      <c r="S151" s="30"/>
      <c r="T151" s="30">
        <v>1.0</v>
      </c>
      <c r="U151" s="205"/>
      <c r="V151" s="206"/>
      <c r="W151" s="207"/>
      <c r="X151" s="208"/>
      <c r="Y151" s="227" t="s">
        <v>660</v>
      </c>
      <c r="Z151" s="121" t="s">
        <v>938</v>
      </c>
      <c r="AA151" s="121"/>
      <c r="AB151" s="121"/>
      <c r="AD151" s="210"/>
      <c r="AE151" s="211"/>
      <c r="AF151" s="210"/>
      <c r="AG151" s="210"/>
      <c r="AH151" s="210"/>
      <c r="AI151" s="210"/>
      <c r="AJ151" s="210"/>
      <c r="AK151" s="210"/>
      <c r="AL151" s="210"/>
      <c r="AM151" s="210"/>
      <c r="AN151" s="210"/>
      <c r="AO151" s="210"/>
      <c r="AP151" s="210"/>
    </row>
    <row r="152" ht="25.5" customHeight="1">
      <c r="A152" s="27">
        <f t="shared" si="3"/>
        <v>151</v>
      </c>
      <c r="B152" s="27" t="s">
        <v>61</v>
      </c>
      <c r="C152" s="27" t="s">
        <v>63</v>
      </c>
      <c r="D152" s="27" t="s">
        <v>64</v>
      </c>
      <c r="E152" s="28" t="str">
        <f t="shared" si="28"/>
        <v/>
      </c>
      <c r="F152" s="30" t="s">
        <v>59</v>
      </c>
      <c r="G152" s="30" t="s">
        <v>939</v>
      </c>
      <c r="H152" s="27" t="s">
        <v>514</v>
      </c>
      <c r="I152" s="27" t="s">
        <v>286</v>
      </c>
      <c r="J152" s="121" t="s">
        <v>940</v>
      </c>
      <c r="K152" s="121" t="s">
        <v>514</v>
      </c>
      <c r="L152" s="121" t="str">
        <f t="shared" si="29"/>
        <v>Calle 30 c oeste # 6-26, Villa del mar, Cali</v>
      </c>
      <c r="M152" s="121" t="s">
        <v>231</v>
      </c>
      <c r="N152" s="121" t="s">
        <v>233</v>
      </c>
      <c r="O152" s="27"/>
      <c r="P152" s="27"/>
      <c r="Q152" s="27" t="s">
        <v>81</v>
      </c>
      <c r="R152" s="30"/>
      <c r="S152" s="30"/>
      <c r="T152" s="30">
        <v>1.0</v>
      </c>
      <c r="U152" s="209"/>
      <c r="V152" s="209"/>
      <c r="W152" s="209"/>
      <c r="X152" s="209"/>
      <c r="Y152" s="208"/>
      <c r="Z152" s="121" t="s">
        <v>941</v>
      </c>
      <c r="AA152" s="121"/>
      <c r="AB152" s="121"/>
      <c r="AD152" s="210"/>
      <c r="AE152" s="211"/>
      <c r="AF152" s="210"/>
      <c r="AG152" s="210"/>
      <c r="AH152" s="210"/>
      <c r="AI152" s="210"/>
      <c r="AJ152" s="210"/>
      <c r="AK152" s="210"/>
      <c r="AL152" s="210"/>
      <c r="AM152" s="210"/>
      <c r="AN152" s="210"/>
      <c r="AO152" s="210"/>
      <c r="AP152" s="210"/>
    </row>
    <row r="153" ht="25.5" customHeight="1">
      <c r="A153" s="63">
        <f t="shared" si="3"/>
        <v>152</v>
      </c>
      <c r="B153" s="63" t="s">
        <v>62</v>
      </c>
      <c r="C153" s="65" t="s">
        <v>133</v>
      </c>
      <c r="D153" s="43" t="s">
        <v>64</v>
      </c>
      <c r="E153" s="68" t="s">
        <v>62</v>
      </c>
      <c r="F153" s="70" t="s">
        <v>62</v>
      </c>
      <c r="G153" s="70" t="s">
        <v>62</v>
      </c>
      <c r="H153" s="71" t="s">
        <v>62</v>
      </c>
      <c r="I153" s="71" t="s">
        <v>62</v>
      </c>
      <c r="J153" s="68" t="s">
        <v>62</v>
      </c>
      <c r="K153" s="68" t="s">
        <v>62</v>
      </c>
      <c r="L153" s="68" t="s">
        <v>62</v>
      </c>
      <c r="M153" s="68" t="s">
        <v>62</v>
      </c>
      <c r="N153" s="68" t="s">
        <v>62</v>
      </c>
      <c r="O153" s="68" t="s">
        <v>62</v>
      </c>
      <c r="P153" s="68" t="s">
        <v>62</v>
      </c>
      <c r="Q153" s="68" t="s">
        <v>62</v>
      </c>
      <c r="R153" s="68" t="s">
        <v>62</v>
      </c>
      <c r="S153" s="68"/>
      <c r="T153" s="68" t="s">
        <v>62</v>
      </c>
      <c r="U153" s="68" t="s">
        <v>62</v>
      </c>
      <c r="V153" s="68" t="s">
        <v>62</v>
      </c>
      <c r="W153" s="68" t="s">
        <v>62</v>
      </c>
      <c r="X153" s="68" t="s">
        <v>62</v>
      </c>
      <c r="Y153" s="68" t="s">
        <v>62</v>
      </c>
      <c r="Z153" s="68" t="s">
        <v>62</v>
      </c>
      <c r="AA153" s="68" t="s">
        <v>62</v>
      </c>
      <c r="AB153" s="68" t="s">
        <v>62</v>
      </c>
      <c r="AD153" s="243"/>
      <c r="AE153" s="244"/>
      <c r="AF153" s="243"/>
      <c r="AG153" s="243"/>
      <c r="AH153" s="243"/>
      <c r="AI153" s="243"/>
      <c r="AJ153" s="243"/>
      <c r="AK153" s="243"/>
      <c r="AL153" s="243"/>
      <c r="AM153" s="243"/>
      <c r="AN153" s="243"/>
      <c r="AO153" s="243"/>
      <c r="AP153" s="243"/>
    </row>
    <row r="154" ht="25.5" customHeight="1">
      <c r="A154" s="27">
        <f t="shared" si="3"/>
        <v>153</v>
      </c>
      <c r="B154" s="27" t="s">
        <v>61</v>
      </c>
      <c r="C154" s="27" t="s">
        <v>63</v>
      </c>
      <c r="D154" s="27" t="s">
        <v>64</v>
      </c>
      <c r="E154" s="28" t="str">
        <f t="shared" ref="E154:E155" si="30">IF(OR($B154="ALTA",AND(ISNUMBER($W154),$W154&gt;0),AND($U154&lt;&gt;"",$U154&lt;&gt;"NO")),"SI","")</f>
        <v/>
      </c>
      <c r="F154" s="30" t="s">
        <v>35</v>
      </c>
      <c r="G154" s="30" t="s">
        <v>36</v>
      </c>
      <c r="H154" s="27" t="s">
        <v>369</v>
      </c>
      <c r="I154" s="27" t="s">
        <v>38</v>
      </c>
      <c r="J154" s="121" t="s">
        <v>942</v>
      </c>
      <c r="K154" s="121" t="s">
        <v>943</v>
      </c>
      <c r="L154" s="121" t="str">
        <f t="shared" ref="L154:L155" si="31">CONCATENATE(J154,", ",H154,", Cali")</f>
        <v>Carrera 36 #5b1 - 52, Tequendama, Cali</v>
      </c>
      <c r="M154" s="121" t="s">
        <v>231</v>
      </c>
      <c r="N154" s="121" t="s">
        <v>233</v>
      </c>
      <c r="O154" s="27"/>
      <c r="P154" s="27"/>
      <c r="Q154" s="27" t="s">
        <v>81</v>
      </c>
      <c r="R154" s="30"/>
      <c r="S154" s="30"/>
      <c r="T154" s="30">
        <v>1.0</v>
      </c>
      <c r="U154" s="209"/>
      <c r="V154" s="209"/>
      <c r="W154" s="209"/>
      <c r="X154" s="209"/>
      <c r="Y154" s="208"/>
      <c r="Z154" s="121" t="s">
        <v>944</v>
      </c>
      <c r="AA154" s="121"/>
      <c r="AB154" s="121"/>
      <c r="AD154" s="210"/>
      <c r="AE154" s="211"/>
      <c r="AF154" s="210"/>
      <c r="AG154" s="210"/>
      <c r="AH154" s="210"/>
      <c r="AI154" s="210"/>
      <c r="AJ154" s="210"/>
      <c r="AK154" s="210"/>
      <c r="AL154" s="210"/>
      <c r="AM154" s="210"/>
      <c r="AN154" s="210"/>
      <c r="AO154" s="210"/>
      <c r="AP154" s="210"/>
    </row>
    <row r="155" ht="25.5" customHeight="1">
      <c r="A155" s="27">
        <f t="shared" si="3"/>
        <v>154</v>
      </c>
      <c r="B155" s="27" t="s">
        <v>61</v>
      </c>
      <c r="C155" s="27" t="s">
        <v>63</v>
      </c>
      <c r="D155" s="27" t="s">
        <v>64</v>
      </c>
      <c r="E155" s="28" t="str">
        <f t="shared" si="30"/>
        <v/>
      </c>
      <c r="F155" s="30" t="s">
        <v>95</v>
      </c>
      <c r="G155" s="30" t="s">
        <v>426</v>
      </c>
      <c r="H155" s="27" t="s">
        <v>506</v>
      </c>
      <c r="I155" s="27" t="s">
        <v>286</v>
      </c>
      <c r="J155" s="121" t="s">
        <v>945</v>
      </c>
      <c r="K155" s="121"/>
      <c r="L155" s="121" t="str">
        <f t="shared" si="31"/>
        <v>Calle 83b # 22 -19, Valle grande, Cali</v>
      </c>
      <c r="M155" s="121" t="s">
        <v>231</v>
      </c>
      <c r="N155" s="121" t="s">
        <v>233</v>
      </c>
      <c r="O155" s="27"/>
      <c r="P155" s="27"/>
      <c r="Q155" s="27" t="s">
        <v>81</v>
      </c>
      <c r="R155" s="30"/>
      <c r="S155" s="30"/>
      <c r="T155" s="30">
        <v>1.0</v>
      </c>
      <c r="U155" s="209"/>
      <c r="V155" s="209"/>
      <c r="W155" s="209"/>
      <c r="X155" s="209"/>
      <c r="Y155" s="227" t="s">
        <v>873</v>
      </c>
      <c r="Z155" s="121" t="s">
        <v>946</v>
      </c>
      <c r="AA155" s="121"/>
      <c r="AB155" s="121"/>
      <c r="AD155" s="210"/>
      <c r="AE155" s="211"/>
      <c r="AF155" s="210"/>
      <c r="AG155" s="210"/>
      <c r="AH155" s="210"/>
      <c r="AI155" s="210"/>
      <c r="AJ155" s="210"/>
      <c r="AK155" s="210"/>
      <c r="AL155" s="210"/>
      <c r="AM155" s="210"/>
      <c r="AN155" s="210"/>
      <c r="AO155" s="210"/>
      <c r="AP155" s="210"/>
    </row>
    <row r="156" ht="25.5" customHeight="1">
      <c r="A156" s="63">
        <f t="shared" si="3"/>
        <v>155</v>
      </c>
      <c r="B156" s="63" t="s">
        <v>62</v>
      </c>
      <c r="C156" s="65" t="s">
        <v>133</v>
      </c>
      <c r="D156" s="43" t="s">
        <v>64</v>
      </c>
      <c r="E156" s="68" t="s">
        <v>62</v>
      </c>
      <c r="F156" s="70" t="s">
        <v>62</v>
      </c>
      <c r="G156" s="70" t="s">
        <v>62</v>
      </c>
      <c r="H156" s="71" t="s">
        <v>62</v>
      </c>
      <c r="I156" s="71" t="s">
        <v>62</v>
      </c>
      <c r="J156" s="68" t="s">
        <v>62</v>
      </c>
      <c r="K156" s="68" t="s">
        <v>62</v>
      </c>
      <c r="L156" s="68" t="s">
        <v>62</v>
      </c>
      <c r="M156" s="68" t="s">
        <v>62</v>
      </c>
      <c r="N156" s="68" t="s">
        <v>62</v>
      </c>
      <c r="O156" s="68" t="s">
        <v>62</v>
      </c>
      <c r="P156" s="68" t="s">
        <v>62</v>
      </c>
      <c r="Q156" s="68" t="s">
        <v>62</v>
      </c>
      <c r="R156" s="68" t="s">
        <v>62</v>
      </c>
      <c r="S156" s="68"/>
      <c r="T156" s="68" t="s">
        <v>62</v>
      </c>
      <c r="U156" s="68" t="s">
        <v>62</v>
      </c>
      <c r="V156" s="68" t="s">
        <v>62</v>
      </c>
      <c r="W156" s="68" t="s">
        <v>62</v>
      </c>
      <c r="X156" s="68" t="s">
        <v>62</v>
      </c>
      <c r="Y156" s="68" t="s">
        <v>62</v>
      </c>
      <c r="Z156" s="68" t="s">
        <v>62</v>
      </c>
      <c r="AA156" s="68" t="s">
        <v>62</v>
      </c>
      <c r="AB156" s="68" t="s">
        <v>62</v>
      </c>
      <c r="AD156" s="243"/>
      <c r="AE156" s="244"/>
      <c r="AF156" s="243"/>
      <c r="AG156" s="243"/>
      <c r="AH156" s="243"/>
      <c r="AI156" s="243"/>
      <c r="AJ156" s="243"/>
      <c r="AK156" s="243"/>
      <c r="AL156" s="243"/>
      <c r="AM156" s="243"/>
      <c r="AN156" s="243"/>
      <c r="AO156" s="243"/>
      <c r="AP156" s="243"/>
    </row>
    <row r="157" ht="25.5" customHeight="1">
      <c r="A157" s="27">
        <f t="shared" si="3"/>
        <v>156</v>
      </c>
      <c r="B157" s="27" t="s">
        <v>61</v>
      </c>
      <c r="C157" s="27" t="s">
        <v>63</v>
      </c>
      <c r="D157" s="27" t="s">
        <v>64</v>
      </c>
      <c r="E157" s="28" t="str">
        <f t="shared" ref="E157:E171" si="32">IF(OR($B157="ALTA",AND(ISNUMBER($W157),$W157&gt;0),AND($U157&lt;&gt;"",$U157&lt;&gt;"NO")),"SI","")</f>
        <v>SI</v>
      </c>
      <c r="F157" s="30" t="s">
        <v>116</v>
      </c>
      <c r="G157" s="30" t="s">
        <v>350</v>
      </c>
      <c r="H157" s="27" t="s">
        <v>327</v>
      </c>
      <c r="I157" s="27" t="s">
        <v>286</v>
      </c>
      <c r="J157" s="121" t="s">
        <v>947</v>
      </c>
      <c r="K157" s="121"/>
      <c r="L157" s="121" t="str">
        <f t="shared" ref="L157:L171" si="33">CONCATENATE(J157,", ",H157,", Cali")</f>
        <v>Carrera 3d con 67, La Riviera/ San Marino, Cali</v>
      </c>
      <c r="M157" s="121" t="s">
        <v>231</v>
      </c>
      <c r="N157" s="121" t="s">
        <v>233</v>
      </c>
      <c r="O157" s="27"/>
      <c r="P157" s="27"/>
      <c r="Q157" s="27" t="s">
        <v>81</v>
      </c>
      <c r="R157" s="30"/>
      <c r="S157" s="30"/>
      <c r="T157" s="30">
        <v>1.0</v>
      </c>
      <c r="U157" s="209" t="s">
        <v>948</v>
      </c>
      <c r="V157" s="209"/>
      <c r="W157" s="209"/>
      <c r="X157" s="209"/>
      <c r="Y157" s="208"/>
      <c r="Z157" s="209"/>
      <c r="AA157" s="209"/>
      <c r="AB157" s="209"/>
      <c r="AD157" s="210"/>
      <c r="AE157" s="211"/>
      <c r="AF157" s="210"/>
      <c r="AG157" s="210"/>
      <c r="AH157" s="210"/>
      <c r="AI157" s="210"/>
      <c r="AJ157" s="210"/>
      <c r="AK157" s="210"/>
      <c r="AL157" s="210"/>
      <c r="AM157" s="210"/>
      <c r="AN157" s="210"/>
      <c r="AO157" s="210"/>
      <c r="AP157" s="210"/>
    </row>
    <row r="158" ht="25.5" customHeight="1">
      <c r="A158" s="27">
        <f t="shared" si="3"/>
        <v>157</v>
      </c>
      <c r="B158" s="27" t="s">
        <v>61</v>
      </c>
      <c r="C158" s="27" t="s">
        <v>63</v>
      </c>
      <c r="D158" s="27" t="s">
        <v>64</v>
      </c>
      <c r="E158" s="28" t="str">
        <f t="shared" si="32"/>
        <v/>
      </c>
      <c r="F158" s="30" t="s">
        <v>60</v>
      </c>
      <c r="G158" s="30" t="s">
        <v>36</v>
      </c>
      <c r="H158" s="27" t="s">
        <v>142</v>
      </c>
      <c r="I158" s="27" t="s">
        <v>38</v>
      </c>
      <c r="J158" s="121" t="s">
        <v>949</v>
      </c>
      <c r="K158" s="121"/>
      <c r="L158" s="121" t="str">
        <f t="shared" si="33"/>
        <v>Calle 13 a # 69-74, Bosques del Limonar, Cali</v>
      </c>
      <c r="M158" s="121" t="s">
        <v>231</v>
      </c>
      <c r="N158" s="121" t="s">
        <v>233</v>
      </c>
      <c r="O158" s="27"/>
      <c r="P158" s="27"/>
      <c r="Q158" s="27" t="s">
        <v>81</v>
      </c>
      <c r="R158" s="30"/>
      <c r="S158" s="30"/>
      <c r="T158" s="30">
        <v>1.0</v>
      </c>
      <c r="U158" s="209"/>
      <c r="V158" s="209"/>
      <c r="W158" s="209"/>
      <c r="X158" s="209"/>
      <c r="Y158" s="208"/>
      <c r="Z158" s="121" t="s">
        <v>950</v>
      </c>
      <c r="AA158" s="121"/>
      <c r="AB158" s="121"/>
      <c r="AD158" s="210"/>
      <c r="AE158" s="211"/>
      <c r="AF158" s="210"/>
      <c r="AG158" s="210"/>
      <c r="AH158" s="210"/>
      <c r="AI158" s="210"/>
      <c r="AJ158" s="210"/>
      <c r="AK158" s="210"/>
      <c r="AL158" s="210"/>
      <c r="AM158" s="210"/>
      <c r="AN158" s="210"/>
      <c r="AO158" s="210"/>
      <c r="AP158" s="210"/>
    </row>
    <row r="159" ht="25.5" customHeight="1">
      <c r="A159" s="27">
        <f t="shared" si="3"/>
        <v>158</v>
      </c>
      <c r="B159" s="27" t="s">
        <v>61</v>
      </c>
      <c r="C159" s="27" t="s">
        <v>63</v>
      </c>
      <c r="D159" s="27" t="s">
        <v>64</v>
      </c>
      <c r="E159" s="28" t="str">
        <f t="shared" si="32"/>
        <v/>
      </c>
      <c r="F159" s="30" t="s">
        <v>35</v>
      </c>
      <c r="G159" s="30" t="s">
        <v>36</v>
      </c>
      <c r="H159" s="27" t="s">
        <v>294</v>
      </c>
      <c r="I159" s="27" t="s">
        <v>38</v>
      </c>
      <c r="J159" s="121" t="s">
        <v>951</v>
      </c>
      <c r="K159" s="121" t="s">
        <v>952</v>
      </c>
      <c r="L159" s="121" t="str">
        <f t="shared" si="33"/>
        <v>Calle 12a # 55 - 20, Guadalupe, Cali</v>
      </c>
      <c r="M159" s="121" t="s">
        <v>231</v>
      </c>
      <c r="N159" s="121" t="s">
        <v>233</v>
      </c>
      <c r="O159" s="27"/>
      <c r="P159" s="27"/>
      <c r="Q159" s="27" t="s">
        <v>81</v>
      </c>
      <c r="R159" s="30"/>
      <c r="S159" s="30"/>
      <c r="T159" s="30">
        <v>1.0</v>
      </c>
      <c r="U159" s="205"/>
      <c r="V159" s="206"/>
      <c r="W159" s="207"/>
      <c r="X159" s="208"/>
      <c r="Y159" s="227" t="s">
        <v>660</v>
      </c>
      <c r="Z159" s="121" t="s">
        <v>953</v>
      </c>
      <c r="AA159" s="121"/>
      <c r="AB159" s="121"/>
      <c r="AD159" s="210"/>
      <c r="AE159" s="211"/>
      <c r="AF159" s="210"/>
      <c r="AG159" s="210"/>
      <c r="AH159" s="210"/>
      <c r="AI159" s="210"/>
      <c r="AJ159" s="210"/>
      <c r="AK159" s="210"/>
      <c r="AL159" s="210"/>
      <c r="AM159" s="210"/>
      <c r="AN159" s="210"/>
      <c r="AO159" s="210"/>
      <c r="AP159" s="210"/>
    </row>
    <row r="160" ht="25.5" customHeight="1">
      <c r="A160" s="27">
        <f t="shared" si="3"/>
        <v>159</v>
      </c>
      <c r="B160" s="27" t="s">
        <v>61</v>
      </c>
      <c r="C160" s="27" t="s">
        <v>63</v>
      </c>
      <c r="D160" s="27" t="s">
        <v>64</v>
      </c>
      <c r="E160" s="28" t="str">
        <f t="shared" si="32"/>
        <v/>
      </c>
      <c r="F160" s="30" t="s">
        <v>35</v>
      </c>
      <c r="G160" s="30" t="s">
        <v>36</v>
      </c>
      <c r="H160" s="27" t="s">
        <v>808</v>
      </c>
      <c r="I160" s="27" t="s">
        <v>38</v>
      </c>
      <c r="J160" s="121" t="s">
        <v>954</v>
      </c>
      <c r="K160" s="121" t="s">
        <v>955</v>
      </c>
      <c r="L160" s="121" t="str">
        <f t="shared" si="33"/>
        <v>Carrera 54 #1a-60, El lido, Cali</v>
      </c>
      <c r="M160" s="121" t="s">
        <v>231</v>
      </c>
      <c r="N160" s="121" t="s">
        <v>233</v>
      </c>
      <c r="O160" s="27"/>
      <c r="P160" s="27"/>
      <c r="Q160" s="27" t="s">
        <v>81</v>
      </c>
      <c r="R160" s="30"/>
      <c r="S160" s="30"/>
      <c r="T160" s="30">
        <v>1.0</v>
      </c>
      <c r="U160" s="209"/>
      <c r="V160" s="209"/>
      <c r="W160" s="209"/>
      <c r="X160" s="209"/>
      <c r="Y160" s="208"/>
      <c r="Z160" s="121" t="s">
        <v>956</v>
      </c>
      <c r="AA160" s="121"/>
      <c r="AB160" s="121"/>
      <c r="AD160" s="210"/>
      <c r="AE160" s="211"/>
      <c r="AF160" s="210"/>
      <c r="AG160" s="210"/>
      <c r="AH160" s="210"/>
      <c r="AI160" s="210"/>
      <c r="AJ160" s="210"/>
      <c r="AK160" s="210"/>
      <c r="AL160" s="210"/>
      <c r="AM160" s="210"/>
      <c r="AN160" s="210"/>
      <c r="AO160" s="210"/>
      <c r="AP160" s="210"/>
    </row>
    <row r="161" ht="25.5" customHeight="1">
      <c r="A161" s="27">
        <f t="shared" si="3"/>
        <v>160</v>
      </c>
      <c r="B161" s="27" t="s">
        <v>61</v>
      </c>
      <c r="C161" s="27" t="s">
        <v>63</v>
      </c>
      <c r="D161" s="27" t="s">
        <v>64</v>
      </c>
      <c r="E161" s="28" t="str">
        <f t="shared" si="32"/>
        <v>SI</v>
      </c>
      <c r="F161" s="30" t="s">
        <v>35</v>
      </c>
      <c r="G161" s="30" t="s">
        <v>36</v>
      </c>
      <c r="H161" s="27" t="s">
        <v>369</v>
      </c>
      <c r="I161" s="27" t="s">
        <v>38</v>
      </c>
      <c r="J161" s="121" t="s">
        <v>957</v>
      </c>
      <c r="K161" s="121" t="s">
        <v>958</v>
      </c>
      <c r="L161" s="121" t="str">
        <f t="shared" si="33"/>
        <v>Carrera 39a 5d -69, Tequendama, Cali</v>
      </c>
      <c r="M161" s="121" t="s">
        <v>231</v>
      </c>
      <c r="N161" s="121" t="s">
        <v>233</v>
      </c>
      <c r="O161" s="27"/>
      <c r="P161" s="27"/>
      <c r="Q161" s="27" t="s">
        <v>81</v>
      </c>
      <c r="R161" s="30"/>
      <c r="S161" s="30"/>
      <c r="T161" s="30">
        <v>1.0</v>
      </c>
      <c r="U161" s="209" t="s">
        <v>46</v>
      </c>
      <c r="V161" s="209"/>
      <c r="W161" s="209"/>
      <c r="X161" s="209"/>
      <c r="Y161" s="227" t="s">
        <v>660</v>
      </c>
      <c r="Z161" s="209"/>
      <c r="AA161" s="209"/>
      <c r="AB161" s="209"/>
      <c r="AD161" s="210"/>
      <c r="AE161" s="211"/>
      <c r="AF161" s="210"/>
      <c r="AG161" s="210"/>
      <c r="AH161" s="210"/>
      <c r="AI161" s="210"/>
      <c r="AJ161" s="210"/>
      <c r="AK161" s="210"/>
      <c r="AL161" s="210"/>
      <c r="AM161" s="210"/>
      <c r="AN161" s="210"/>
      <c r="AO161" s="210"/>
      <c r="AP161" s="210"/>
    </row>
    <row r="162" ht="25.5" customHeight="1">
      <c r="A162" s="27">
        <f t="shared" si="3"/>
        <v>161</v>
      </c>
      <c r="B162" s="27" t="s">
        <v>61</v>
      </c>
      <c r="C162" s="27" t="s">
        <v>63</v>
      </c>
      <c r="D162" s="27" t="s">
        <v>64</v>
      </c>
      <c r="E162" s="28" t="str">
        <f t="shared" si="32"/>
        <v/>
      </c>
      <c r="F162" s="30" t="s">
        <v>35</v>
      </c>
      <c r="G162" s="30" t="s">
        <v>36</v>
      </c>
      <c r="H162" s="27" t="s">
        <v>255</v>
      </c>
      <c r="I162" s="27" t="s">
        <v>38</v>
      </c>
      <c r="J162" s="121" t="s">
        <v>959</v>
      </c>
      <c r="K162" s="121" t="s">
        <v>960</v>
      </c>
      <c r="L162" s="121" t="str">
        <f t="shared" si="33"/>
        <v>Calle 2a # 66 b- 86, El Refugio, Cali</v>
      </c>
      <c r="M162" s="121" t="s">
        <v>231</v>
      </c>
      <c r="N162" s="121" t="s">
        <v>233</v>
      </c>
      <c r="O162" s="27"/>
      <c r="P162" s="27"/>
      <c r="Q162" s="27" t="s">
        <v>81</v>
      </c>
      <c r="R162" s="30"/>
      <c r="S162" s="30"/>
      <c r="T162" s="30">
        <v>1.0</v>
      </c>
      <c r="U162" s="205"/>
      <c r="V162" s="206"/>
      <c r="W162" s="207"/>
      <c r="X162" s="208"/>
      <c r="Y162" s="208"/>
      <c r="Z162" s="121" t="s">
        <v>961</v>
      </c>
      <c r="AA162" s="121"/>
      <c r="AB162" s="121"/>
      <c r="AD162" s="210"/>
      <c r="AE162" s="211"/>
      <c r="AF162" s="210"/>
      <c r="AG162" s="210"/>
      <c r="AH162" s="210"/>
      <c r="AI162" s="210"/>
      <c r="AJ162" s="210"/>
      <c r="AK162" s="210"/>
      <c r="AL162" s="210"/>
      <c r="AM162" s="210"/>
      <c r="AN162" s="210"/>
      <c r="AO162" s="210"/>
      <c r="AP162" s="210"/>
    </row>
    <row r="163" ht="25.5" customHeight="1">
      <c r="A163" s="20">
        <f t="shared" si="3"/>
        <v>162</v>
      </c>
      <c r="B163" s="20" t="s">
        <v>61</v>
      </c>
      <c r="C163" s="20" t="s">
        <v>63</v>
      </c>
      <c r="D163" s="251" t="s">
        <v>335</v>
      </c>
      <c r="E163" s="252" t="str">
        <f t="shared" si="32"/>
        <v>SI</v>
      </c>
      <c r="F163" s="179" t="s">
        <v>60</v>
      </c>
      <c r="G163" s="105" t="s">
        <v>36</v>
      </c>
      <c r="H163" s="20" t="s">
        <v>248</v>
      </c>
      <c r="I163" s="20" t="s">
        <v>38</v>
      </c>
      <c r="J163" s="253" t="s">
        <v>962</v>
      </c>
      <c r="K163" s="253" t="s">
        <v>963</v>
      </c>
      <c r="L163" s="253" t="str">
        <f t="shared" si="33"/>
        <v>Calle 10 carrera 71, El Limonar, Cali</v>
      </c>
      <c r="M163" s="253" t="s">
        <v>231</v>
      </c>
      <c r="N163" s="253" t="s">
        <v>233</v>
      </c>
      <c r="O163" s="20"/>
      <c r="P163" s="20"/>
      <c r="Q163" s="20" t="s">
        <v>81</v>
      </c>
      <c r="R163" s="105"/>
      <c r="S163" s="105"/>
      <c r="T163" s="105">
        <v>1.0</v>
      </c>
      <c r="U163" s="254" t="s">
        <v>964</v>
      </c>
      <c r="V163" s="253">
        <v>6.0</v>
      </c>
      <c r="W163" s="254">
        <v>2.0</v>
      </c>
      <c r="X163" s="254"/>
      <c r="Y163" s="255"/>
      <c r="Z163" s="254"/>
      <c r="AA163" s="254"/>
      <c r="AB163" s="254"/>
      <c r="AD163" s="225"/>
      <c r="AE163" s="226"/>
      <c r="AF163" s="225"/>
      <c r="AG163" s="225"/>
      <c r="AH163" s="225"/>
      <c r="AI163" s="225"/>
      <c r="AJ163" s="225"/>
      <c r="AK163" s="225"/>
      <c r="AL163" s="225"/>
      <c r="AM163" s="225"/>
      <c r="AN163" s="225"/>
      <c r="AO163" s="225"/>
      <c r="AP163" s="225"/>
    </row>
    <row r="164" ht="25.5" customHeight="1">
      <c r="A164" s="27">
        <f t="shared" si="3"/>
        <v>163</v>
      </c>
      <c r="B164" s="27" t="s">
        <v>61</v>
      </c>
      <c r="C164" s="27" t="s">
        <v>63</v>
      </c>
      <c r="D164" s="27" t="s">
        <v>64</v>
      </c>
      <c r="E164" s="28" t="str">
        <f t="shared" si="32"/>
        <v/>
      </c>
      <c r="F164" s="30" t="s">
        <v>116</v>
      </c>
      <c r="G164" s="30" t="s">
        <v>350</v>
      </c>
      <c r="H164" s="27" t="s">
        <v>357</v>
      </c>
      <c r="I164" s="27" t="s">
        <v>286</v>
      </c>
      <c r="J164" s="121" t="s">
        <v>965</v>
      </c>
      <c r="K164" s="121"/>
      <c r="L164" s="121" t="str">
        <f t="shared" si="33"/>
        <v>Calle 59c # 2 - 65, Los andes, Cali</v>
      </c>
      <c r="M164" s="121" t="s">
        <v>231</v>
      </c>
      <c r="N164" s="121" t="s">
        <v>233</v>
      </c>
      <c r="O164" s="27"/>
      <c r="P164" s="27"/>
      <c r="Q164" s="27" t="s">
        <v>81</v>
      </c>
      <c r="R164" s="30"/>
      <c r="S164" s="30"/>
      <c r="T164" s="30">
        <v>1.0</v>
      </c>
      <c r="U164" s="205"/>
      <c r="V164" s="206"/>
      <c r="W164" s="207"/>
      <c r="X164" s="208"/>
      <c r="Y164" s="208"/>
      <c r="Z164" s="121" t="s">
        <v>966</v>
      </c>
      <c r="AA164" s="121"/>
      <c r="AB164" s="121"/>
      <c r="AD164" s="210"/>
      <c r="AE164" s="211"/>
      <c r="AF164" s="210"/>
      <c r="AG164" s="210"/>
      <c r="AH164" s="210"/>
      <c r="AI164" s="210"/>
      <c r="AJ164" s="210"/>
      <c r="AK164" s="210"/>
      <c r="AL164" s="210"/>
      <c r="AM164" s="210"/>
      <c r="AN164" s="210"/>
      <c r="AO164" s="210"/>
      <c r="AP164" s="210"/>
    </row>
    <row r="165" ht="25.5" customHeight="1">
      <c r="A165" s="27">
        <f t="shared" si="3"/>
        <v>164</v>
      </c>
      <c r="B165" s="27" t="s">
        <v>61</v>
      </c>
      <c r="C165" s="27" t="s">
        <v>63</v>
      </c>
      <c r="D165" s="27" t="s">
        <v>64</v>
      </c>
      <c r="E165" s="28" t="str">
        <f t="shared" si="32"/>
        <v/>
      </c>
      <c r="F165" s="30" t="s">
        <v>76</v>
      </c>
      <c r="G165" s="30" t="s">
        <v>350</v>
      </c>
      <c r="H165" s="197" t="s">
        <v>430</v>
      </c>
      <c r="I165" s="197" t="s">
        <v>38</v>
      </c>
      <c r="J165" s="27" t="s">
        <v>967</v>
      </c>
      <c r="K165" s="27"/>
      <c r="L165" s="27" t="str">
        <f t="shared" si="33"/>
        <v>Calle 37an # 2an - 07, Prados del N., Cali</v>
      </c>
      <c r="M165" s="27" t="s">
        <v>231</v>
      </c>
      <c r="N165" s="27" t="s">
        <v>233</v>
      </c>
      <c r="O165" s="27"/>
      <c r="P165" s="27"/>
      <c r="Q165" s="27" t="s">
        <v>81</v>
      </c>
      <c r="R165" s="30"/>
      <c r="S165" s="30"/>
      <c r="T165" s="30">
        <v>1.0</v>
      </c>
      <c r="U165" s="27"/>
      <c r="V165" s="27"/>
      <c r="W165" s="27"/>
      <c r="X165" s="27"/>
      <c r="Y165" s="208"/>
      <c r="Z165" s="121" t="s">
        <v>968</v>
      </c>
      <c r="AA165" s="121"/>
      <c r="AB165" s="121"/>
      <c r="AD165" s="210"/>
      <c r="AE165" s="211"/>
      <c r="AF165" s="210"/>
      <c r="AG165" s="210"/>
      <c r="AH165" s="210"/>
      <c r="AI165" s="210"/>
      <c r="AJ165" s="210"/>
      <c r="AK165" s="210"/>
      <c r="AL165" s="210"/>
      <c r="AM165" s="210"/>
      <c r="AN165" s="210"/>
      <c r="AO165" s="210"/>
      <c r="AP165" s="210"/>
    </row>
    <row r="166" ht="25.5" customHeight="1">
      <c r="A166" s="27">
        <f t="shared" si="3"/>
        <v>165</v>
      </c>
      <c r="B166" s="27" t="s">
        <v>61</v>
      </c>
      <c r="C166" s="27" t="s">
        <v>63</v>
      </c>
      <c r="D166" s="27" t="s">
        <v>64</v>
      </c>
      <c r="E166" s="28" t="str">
        <f t="shared" si="32"/>
        <v/>
      </c>
      <c r="F166" s="30" t="s">
        <v>35</v>
      </c>
      <c r="G166" s="30" t="s">
        <v>36</v>
      </c>
      <c r="H166" s="27" t="s">
        <v>157</v>
      </c>
      <c r="I166" s="27" t="s">
        <v>38</v>
      </c>
      <c r="J166" s="121" t="s">
        <v>969</v>
      </c>
      <c r="K166" s="121" t="s">
        <v>970</v>
      </c>
      <c r="L166" s="121" t="str">
        <f t="shared" si="33"/>
        <v>Calle 9a # 42-55, Cámbulos, Cali</v>
      </c>
      <c r="M166" s="121" t="s">
        <v>231</v>
      </c>
      <c r="N166" s="121" t="s">
        <v>233</v>
      </c>
      <c r="O166" s="27"/>
      <c r="P166" s="27"/>
      <c r="Q166" s="27" t="s">
        <v>81</v>
      </c>
      <c r="R166" s="30"/>
      <c r="S166" s="30"/>
      <c r="T166" s="30">
        <v>1.0</v>
      </c>
      <c r="U166" s="205"/>
      <c r="V166" s="206"/>
      <c r="W166" s="207"/>
      <c r="X166" s="208"/>
      <c r="Y166" s="208"/>
      <c r="Z166" s="121" t="s">
        <v>971</v>
      </c>
      <c r="AA166" s="121"/>
      <c r="AB166" s="121"/>
      <c r="AD166" s="210"/>
      <c r="AE166" s="211"/>
      <c r="AF166" s="210"/>
      <c r="AG166" s="210"/>
      <c r="AH166" s="210"/>
      <c r="AI166" s="210"/>
      <c r="AJ166" s="210"/>
      <c r="AK166" s="210"/>
      <c r="AL166" s="210"/>
      <c r="AM166" s="210"/>
      <c r="AN166" s="210"/>
      <c r="AO166" s="210"/>
      <c r="AP166" s="210"/>
    </row>
    <row r="167" ht="25.5" customHeight="1">
      <c r="A167" s="27">
        <f t="shared" si="3"/>
        <v>166</v>
      </c>
      <c r="B167" s="27" t="s">
        <v>61</v>
      </c>
      <c r="C167" s="27" t="s">
        <v>63</v>
      </c>
      <c r="D167" s="27" t="s">
        <v>64</v>
      </c>
      <c r="E167" s="28" t="str">
        <f t="shared" si="32"/>
        <v/>
      </c>
      <c r="F167" s="30" t="s">
        <v>192</v>
      </c>
      <c r="G167" s="30" t="s">
        <v>426</v>
      </c>
      <c r="H167" s="27" t="s">
        <v>193</v>
      </c>
      <c r="I167" s="27" t="s">
        <v>286</v>
      </c>
      <c r="J167" s="121" t="s">
        <v>972</v>
      </c>
      <c r="K167" s="121"/>
      <c r="L167" s="121" t="str">
        <f t="shared" si="33"/>
        <v>Calle 47 # 49a -94, Ciudad Cordoba etapa II, Cali</v>
      </c>
      <c r="M167" s="121" t="s">
        <v>231</v>
      </c>
      <c r="N167" s="121" t="s">
        <v>233</v>
      </c>
      <c r="O167" s="27"/>
      <c r="P167" s="27"/>
      <c r="Q167" s="27" t="s">
        <v>81</v>
      </c>
      <c r="R167" s="30"/>
      <c r="S167" s="30"/>
      <c r="T167" s="30">
        <v>1.0</v>
      </c>
      <c r="U167" s="205"/>
      <c r="V167" s="206"/>
      <c r="W167" s="207"/>
      <c r="X167" s="208"/>
      <c r="Y167" s="208"/>
      <c r="Z167" s="121" t="s">
        <v>973</v>
      </c>
      <c r="AA167" s="121"/>
      <c r="AB167" s="121"/>
      <c r="AD167" s="210"/>
      <c r="AE167" s="211"/>
      <c r="AF167" s="210"/>
      <c r="AG167" s="210"/>
      <c r="AH167" s="210"/>
      <c r="AI167" s="210"/>
      <c r="AJ167" s="210"/>
      <c r="AK167" s="210"/>
      <c r="AL167" s="210"/>
      <c r="AM167" s="210"/>
      <c r="AN167" s="210"/>
      <c r="AO167" s="210"/>
      <c r="AP167" s="210"/>
    </row>
    <row r="168" ht="25.5" customHeight="1">
      <c r="A168" s="27">
        <f t="shared" si="3"/>
        <v>167</v>
      </c>
      <c r="B168" s="27" t="s">
        <v>61</v>
      </c>
      <c r="C168" s="27" t="s">
        <v>63</v>
      </c>
      <c r="D168" s="27" t="s">
        <v>64</v>
      </c>
      <c r="E168" s="28" t="str">
        <f t="shared" si="32"/>
        <v/>
      </c>
      <c r="F168" s="30" t="s">
        <v>60</v>
      </c>
      <c r="G168" s="30" t="s">
        <v>36</v>
      </c>
      <c r="H168" s="27" t="s">
        <v>387</v>
      </c>
      <c r="I168" s="27" t="s">
        <v>38</v>
      </c>
      <c r="J168" s="121" t="s">
        <v>974</v>
      </c>
      <c r="K168" s="121" t="s">
        <v>975</v>
      </c>
      <c r="L168" s="121" t="str">
        <f t="shared" si="33"/>
        <v>Calle 12 - 92 - 133, Melendez, Cali</v>
      </c>
      <c r="M168" s="121" t="s">
        <v>231</v>
      </c>
      <c r="N168" s="121" t="s">
        <v>233</v>
      </c>
      <c r="O168" s="27"/>
      <c r="P168" s="27"/>
      <c r="Q168" s="27" t="s">
        <v>81</v>
      </c>
      <c r="R168" s="30"/>
      <c r="S168" s="30"/>
      <c r="T168" s="30">
        <v>1.0</v>
      </c>
      <c r="U168" s="209"/>
      <c r="V168" s="209"/>
      <c r="W168" s="209"/>
      <c r="X168" s="209"/>
      <c r="Y168" s="208"/>
      <c r="Z168" s="121" t="s">
        <v>976</v>
      </c>
      <c r="AA168" s="121"/>
      <c r="AB168" s="121"/>
      <c r="AD168" s="210"/>
      <c r="AE168" s="211"/>
      <c r="AF168" s="210"/>
      <c r="AG168" s="210"/>
      <c r="AH168" s="210"/>
      <c r="AI168" s="210"/>
      <c r="AJ168" s="210"/>
      <c r="AK168" s="210"/>
      <c r="AL168" s="210"/>
      <c r="AM168" s="210"/>
      <c r="AN168" s="210"/>
      <c r="AO168" s="210"/>
      <c r="AP168" s="210"/>
    </row>
    <row r="169" ht="25.5" customHeight="1">
      <c r="A169" s="27">
        <f t="shared" si="3"/>
        <v>168</v>
      </c>
      <c r="B169" s="27" t="s">
        <v>61</v>
      </c>
      <c r="C169" s="27" t="s">
        <v>63</v>
      </c>
      <c r="D169" s="27" t="s">
        <v>64</v>
      </c>
      <c r="E169" s="28" t="str">
        <f t="shared" si="32"/>
        <v/>
      </c>
      <c r="F169" s="30" t="s">
        <v>110</v>
      </c>
      <c r="G169" s="30" t="s">
        <v>176</v>
      </c>
      <c r="H169" s="27" t="s">
        <v>251</v>
      </c>
      <c r="I169" s="27" t="s">
        <v>38</v>
      </c>
      <c r="J169" s="121" t="s">
        <v>977</v>
      </c>
      <c r="K169" s="121"/>
      <c r="L169" s="121" t="str">
        <f t="shared" si="33"/>
        <v>Calle 1 oeste #36b -05, El Peñon, Cali</v>
      </c>
      <c r="M169" s="121" t="s">
        <v>231</v>
      </c>
      <c r="N169" s="121" t="s">
        <v>233</v>
      </c>
      <c r="O169" s="27"/>
      <c r="P169" s="27"/>
      <c r="Q169" s="27" t="s">
        <v>81</v>
      </c>
      <c r="R169" s="30"/>
      <c r="S169" s="30"/>
      <c r="T169" s="30">
        <v>1.0</v>
      </c>
      <c r="U169" s="205"/>
      <c r="V169" s="206"/>
      <c r="W169" s="207"/>
      <c r="X169" s="208"/>
      <c r="Y169" s="208"/>
      <c r="Z169" s="121" t="s">
        <v>978</v>
      </c>
      <c r="AA169" s="121"/>
      <c r="AB169" s="121"/>
      <c r="AD169" s="210"/>
      <c r="AE169" s="211"/>
      <c r="AF169" s="210"/>
      <c r="AG169" s="210"/>
      <c r="AH169" s="210"/>
      <c r="AI169" s="210"/>
      <c r="AJ169" s="210"/>
      <c r="AK169" s="210"/>
      <c r="AL169" s="210"/>
      <c r="AM169" s="210"/>
      <c r="AN169" s="210"/>
      <c r="AO169" s="210"/>
      <c r="AP169" s="210"/>
    </row>
    <row r="170" ht="25.5" customHeight="1">
      <c r="A170" s="27">
        <f t="shared" si="3"/>
        <v>169</v>
      </c>
      <c r="B170" s="27" t="s">
        <v>61</v>
      </c>
      <c r="C170" s="27" t="s">
        <v>63</v>
      </c>
      <c r="D170" s="27" t="s">
        <v>64</v>
      </c>
      <c r="E170" s="28" t="str">
        <f t="shared" si="32"/>
        <v/>
      </c>
      <c r="F170" s="30" t="s">
        <v>60</v>
      </c>
      <c r="G170" s="30" t="s">
        <v>36</v>
      </c>
      <c r="H170" s="27" t="s">
        <v>503</v>
      </c>
      <c r="I170" s="27" t="s">
        <v>38</v>
      </c>
      <c r="J170" s="121" t="s">
        <v>979</v>
      </c>
      <c r="K170" s="121" t="s">
        <v>980</v>
      </c>
      <c r="L170" s="121" t="str">
        <f t="shared" si="33"/>
        <v>Carrera 102 # 25-83, Valle de lili, Cali</v>
      </c>
      <c r="M170" s="121" t="s">
        <v>231</v>
      </c>
      <c r="N170" s="121" t="s">
        <v>233</v>
      </c>
      <c r="O170" s="27"/>
      <c r="P170" s="27"/>
      <c r="Q170" s="27" t="s">
        <v>81</v>
      </c>
      <c r="R170" s="30"/>
      <c r="S170" s="30"/>
      <c r="T170" s="30">
        <v>1.0</v>
      </c>
      <c r="U170" s="205"/>
      <c r="V170" s="206"/>
      <c r="W170" s="207"/>
      <c r="X170" s="208"/>
      <c r="Y170" s="208"/>
      <c r="Z170" s="121" t="s">
        <v>981</v>
      </c>
      <c r="AA170" s="121"/>
      <c r="AB170" s="121"/>
      <c r="AD170" s="210"/>
      <c r="AE170" s="211"/>
      <c r="AF170" s="210"/>
      <c r="AG170" s="210"/>
      <c r="AH170" s="210"/>
      <c r="AI170" s="210"/>
      <c r="AJ170" s="210"/>
      <c r="AK170" s="210"/>
      <c r="AL170" s="210"/>
      <c r="AM170" s="210"/>
      <c r="AN170" s="210"/>
      <c r="AO170" s="210"/>
      <c r="AP170" s="210"/>
    </row>
    <row r="171" ht="25.5" customHeight="1">
      <c r="A171" s="27">
        <f t="shared" si="3"/>
        <v>170</v>
      </c>
      <c r="B171" s="27" t="s">
        <v>61</v>
      </c>
      <c r="C171" s="27" t="s">
        <v>63</v>
      </c>
      <c r="D171" s="27" t="s">
        <v>64</v>
      </c>
      <c r="E171" s="28" t="str">
        <f t="shared" si="32"/>
        <v/>
      </c>
      <c r="F171" s="30" t="s">
        <v>110</v>
      </c>
      <c r="G171" s="30" t="s">
        <v>176</v>
      </c>
      <c r="H171" s="27" t="s">
        <v>251</v>
      </c>
      <c r="I171" s="27" t="s">
        <v>38</v>
      </c>
      <c r="J171" s="121" t="s">
        <v>982</v>
      </c>
      <c r="K171" s="121"/>
      <c r="L171" s="121" t="str">
        <f t="shared" si="33"/>
        <v>Calle 4 oeste # 14 -65, El Peñon, Cali</v>
      </c>
      <c r="M171" s="121" t="s">
        <v>231</v>
      </c>
      <c r="N171" s="121" t="s">
        <v>233</v>
      </c>
      <c r="O171" s="27"/>
      <c r="P171" s="27"/>
      <c r="Q171" s="27" t="s">
        <v>81</v>
      </c>
      <c r="R171" s="30"/>
      <c r="S171" s="30"/>
      <c r="T171" s="30">
        <v>1.0</v>
      </c>
      <c r="U171" s="205"/>
      <c r="V171" s="206"/>
      <c r="W171" s="207"/>
      <c r="X171" s="208"/>
      <c r="Y171" s="208"/>
      <c r="Z171" s="121" t="s">
        <v>983</v>
      </c>
      <c r="AA171" s="121"/>
      <c r="AB171" s="121"/>
      <c r="AD171" s="210"/>
      <c r="AE171" s="211"/>
      <c r="AF171" s="210"/>
      <c r="AG171" s="210"/>
      <c r="AH171" s="210"/>
      <c r="AI171" s="210"/>
      <c r="AJ171" s="210"/>
      <c r="AK171" s="210"/>
      <c r="AL171" s="210"/>
      <c r="AM171" s="210"/>
      <c r="AN171" s="210"/>
      <c r="AO171" s="210"/>
      <c r="AP171" s="210"/>
    </row>
    <row r="172" ht="25.5" customHeight="1">
      <c r="A172" s="63">
        <f t="shared" si="3"/>
        <v>171</v>
      </c>
      <c r="B172" s="63" t="s">
        <v>62</v>
      </c>
      <c r="C172" s="65" t="s">
        <v>133</v>
      </c>
      <c r="D172" s="108" t="s">
        <v>64</v>
      </c>
      <c r="E172" s="68" t="s">
        <v>62</v>
      </c>
      <c r="F172" s="70" t="s">
        <v>62</v>
      </c>
      <c r="G172" s="70" t="s">
        <v>62</v>
      </c>
      <c r="H172" s="71" t="s">
        <v>62</v>
      </c>
      <c r="I172" s="71" t="s">
        <v>62</v>
      </c>
      <c r="J172" s="68" t="s">
        <v>62</v>
      </c>
      <c r="K172" s="68" t="s">
        <v>62</v>
      </c>
      <c r="L172" s="68" t="s">
        <v>62</v>
      </c>
      <c r="M172" s="68" t="s">
        <v>62</v>
      </c>
      <c r="N172" s="68" t="s">
        <v>62</v>
      </c>
      <c r="O172" s="68" t="s">
        <v>62</v>
      </c>
      <c r="P172" s="68" t="s">
        <v>62</v>
      </c>
      <c r="Q172" s="68" t="s">
        <v>62</v>
      </c>
      <c r="R172" s="68" t="s">
        <v>62</v>
      </c>
      <c r="S172" s="68"/>
      <c r="T172" s="68" t="s">
        <v>62</v>
      </c>
      <c r="U172" s="68" t="s">
        <v>62</v>
      </c>
      <c r="V172" s="68" t="s">
        <v>62</v>
      </c>
      <c r="W172" s="68" t="s">
        <v>62</v>
      </c>
      <c r="X172" s="68" t="s">
        <v>62</v>
      </c>
      <c r="Y172" s="68" t="s">
        <v>62</v>
      </c>
      <c r="Z172" s="68" t="s">
        <v>62</v>
      </c>
      <c r="AA172" s="68" t="s">
        <v>62</v>
      </c>
      <c r="AB172" s="68" t="s">
        <v>62</v>
      </c>
      <c r="AD172" s="243"/>
      <c r="AE172" s="244"/>
      <c r="AF172" s="243"/>
      <c r="AG172" s="243"/>
      <c r="AH172" s="243"/>
      <c r="AI172" s="243"/>
      <c r="AJ172" s="243"/>
      <c r="AK172" s="243"/>
      <c r="AL172" s="243"/>
      <c r="AM172" s="243"/>
      <c r="AN172" s="243"/>
      <c r="AO172" s="243"/>
      <c r="AP172" s="243"/>
    </row>
    <row r="173" ht="25.5" customHeight="1">
      <c r="A173" s="27">
        <f t="shared" si="3"/>
        <v>172</v>
      </c>
      <c r="B173" s="27" t="s">
        <v>61</v>
      </c>
      <c r="C173" s="27" t="s">
        <v>63</v>
      </c>
      <c r="D173" s="27" t="s">
        <v>64</v>
      </c>
      <c r="E173" s="28" t="str">
        <f>IF(OR($B173="ALTA",AND(ISNUMBER($W173),$W173&gt;0),AND($U173&lt;&gt;"",$U173&lt;&gt;"NO")),"SI","")</f>
        <v/>
      </c>
      <c r="F173" s="30" t="s">
        <v>35</v>
      </c>
      <c r="G173" s="30" t="s">
        <v>36</v>
      </c>
      <c r="H173" s="27" t="s">
        <v>984</v>
      </c>
      <c r="I173" s="27" t="s">
        <v>38</v>
      </c>
      <c r="J173" s="121" t="s">
        <v>985</v>
      </c>
      <c r="K173" s="121"/>
      <c r="L173" s="121" t="str">
        <f>CONCATENATE(J173,", ",H173,", Cali")</f>
        <v>Carrera 57 # 4- 46, cuarto de legua, Cali</v>
      </c>
      <c r="M173" s="121" t="s">
        <v>231</v>
      </c>
      <c r="N173" s="121" t="s">
        <v>233</v>
      </c>
      <c r="O173" s="27"/>
      <c r="P173" s="27"/>
      <c r="Q173" s="27" t="s">
        <v>643</v>
      </c>
      <c r="R173" s="30"/>
      <c r="S173" s="30"/>
      <c r="T173" s="30">
        <v>1.0</v>
      </c>
      <c r="U173" s="205"/>
      <c r="V173" s="206"/>
      <c r="W173" s="207"/>
      <c r="X173" s="208"/>
      <c r="Y173" s="208" t="s">
        <v>986</v>
      </c>
      <c r="Z173" s="121" t="s">
        <v>987</v>
      </c>
      <c r="AA173" s="121"/>
      <c r="AB173" s="121" t="s">
        <v>46</v>
      </c>
      <c r="AD173" s="210"/>
      <c r="AE173" s="211"/>
      <c r="AF173" s="210"/>
      <c r="AG173" s="210"/>
      <c r="AH173" s="210"/>
      <c r="AI173" s="210"/>
      <c r="AJ173" s="210"/>
      <c r="AK173" s="210"/>
      <c r="AL173" s="210"/>
      <c r="AM173" s="210"/>
      <c r="AN173" s="210"/>
      <c r="AO173" s="210"/>
      <c r="AP173" s="210"/>
    </row>
    <row r="174" ht="25.5" customHeight="1">
      <c r="A174" s="63">
        <f t="shared" si="3"/>
        <v>173</v>
      </c>
      <c r="B174" s="63" t="s">
        <v>62</v>
      </c>
      <c r="C174" s="65" t="s">
        <v>133</v>
      </c>
      <c r="D174" s="108" t="s">
        <v>64</v>
      </c>
      <c r="E174" s="68" t="s">
        <v>62</v>
      </c>
      <c r="F174" s="70" t="s">
        <v>62</v>
      </c>
      <c r="G174" s="70" t="s">
        <v>62</v>
      </c>
      <c r="H174" s="71" t="s">
        <v>62</v>
      </c>
      <c r="I174" s="71" t="s">
        <v>62</v>
      </c>
      <c r="J174" s="68" t="s">
        <v>62</v>
      </c>
      <c r="K174" s="68" t="s">
        <v>62</v>
      </c>
      <c r="L174" s="68" t="s">
        <v>62</v>
      </c>
      <c r="M174" s="68" t="s">
        <v>62</v>
      </c>
      <c r="N174" s="68" t="s">
        <v>62</v>
      </c>
      <c r="O174" s="68" t="s">
        <v>62</v>
      </c>
      <c r="P174" s="68" t="s">
        <v>62</v>
      </c>
      <c r="Q174" s="68" t="s">
        <v>62</v>
      </c>
      <c r="R174" s="68" t="s">
        <v>62</v>
      </c>
      <c r="S174" s="68"/>
      <c r="T174" s="68" t="s">
        <v>62</v>
      </c>
      <c r="U174" s="68" t="s">
        <v>62</v>
      </c>
      <c r="V174" s="68" t="s">
        <v>62</v>
      </c>
      <c r="W174" s="68" t="s">
        <v>62</v>
      </c>
      <c r="X174" s="68" t="s">
        <v>62</v>
      </c>
      <c r="Y174" s="68" t="s">
        <v>62</v>
      </c>
      <c r="Z174" s="68" t="s">
        <v>62</v>
      </c>
      <c r="AA174" s="68" t="s">
        <v>62</v>
      </c>
      <c r="AB174" s="68" t="s">
        <v>62</v>
      </c>
      <c r="AD174" s="243"/>
      <c r="AE174" s="244"/>
      <c r="AF174" s="243"/>
      <c r="AG174" s="243"/>
      <c r="AH174" s="243"/>
      <c r="AI174" s="243"/>
      <c r="AJ174" s="243"/>
      <c r="AK174" s="243"/>
      <c r="AL174" s="243"/>
      <c r="AM174" s="243"/>
      <c r="AN174" s="243"/>
      <c r="AO174" s="243"/>
      <c r="AP174" s="243"/>
    </row>
    <row r="175" ht="25.5" customHeight="1">
      <c r="A175" s="27">
        <f t="shared" si="3"/>
        <v>174</v>
      </c>
      <c r="B175" s="27" t="s">
        <v>61</v>
      </c>
      <c r="C175" s="27" t="s">
        <v>63</v>
      </c>
      <c r="D175" s="27" t="s">
        <v>64</v>
      </c>
      <c r="E175" s="28" t="str">
        <f t="shared" ref="E175:E182" si="34">IF(OR($B175="ALTA",AND(ISNUMBER($W175),$W175&gt;0),AND($U175&lt;&gt;"",$U175&lt;&gt;"NO")),"SI","")</f>
        <v/>
      </c>
      <c r="F175" s="30" t="s">
        <v>105</v>
      </c>
      <c r="G175" s="30" t="s">
        <v>426</v>
      </c>
      <c r="H175" s="27" t="s">
        <v>189</v>
      </c>
      <c r="I175" s="27" t="s">
        <v>38</v>
      </c>
      <c r="J175" s="121" t="s">
        <v>988</v>
      </c>
      <c r="K175" s="121" t="s">
        <v>989</v>
      </c>
      <c r="L175" s="121" t="str">
        <f t="shared" ref="L175:L182" si="35">CONCATENATE(J175,", ",H175,", Cali")</f>
        <v>Carrera 61 # 26-54, Ciudad 2000, Cali</v>
      </c>
      <c r="M175" s="121" t="s">
        <v>231</v>
      </c>
      <c r="N175" s="121" t="s">
        <v>233</v>
      </c>
      <c r="O175" s="27"/>
      <c r="P175" s="27"/>
      <c r="Q175" s="27" t="s">
        <v>990</v>
      </c>
      <c r="R175" s="30"/>
      <c r="S175" s="30"/>
      <c r="T175" s="30">
        <v>1.0</v>
      </c>
      <c r="U175" s="121" t="s">
        <v>83</v>
      </c>
      <c r="V175" s="209"/>
      <c r="W175" s="209"/>
      <c r="X175" s="209"/>
      <c r="Y175" s="208"/>
      <c r="Z175" s="121" t="s">
        <v>991</v>
      </c>
      <c r="AA175" s="121"/>
      <c r="AB175" s="121"/>
      <c r="AD175" s="210"/>
      <c r="AE175" s="211"/>
      <c r="AF175" s="210"/>
      <c r="AG175" s="210"/>
      <c r="AH175" s="210"/>
      <c r="AI175" s="210"/>
      <c r="AJ175" s="210"/>
      <c r="AK175" s="210"/>
      <c r="AL175" s="210"/>
      <c r="AM175" s="210"/>
      <c r="AN175" s="210"/>
      <c r="AO175" s="210"/>
      <c r="AP175" s="210"/>
    </row>
    <row r="176" ht="25.5" customHeight="1">
      <c r="A176" s="27">
        <f t="shared" si="3"/>
        <v>175</v>
      </c>
      <c r="B176" s="27" t="s">
        <v>61</v>
      </c>
      <c r="C176" s="27" t="s">
        <v>63</v>
      </c>
      <c r="D176" s="27" t="s">
        <v>64</v>
      </c>
      <c r="E176" s="28" t="str">
        <f t="shared" si="34"/>
        <v/>
      </c>
      <c r="F176" s="30" t="s">
        <v>60</v>
      </c>
      <c r="G176" s="30" t="s">
        <v>36</v>
      </c>
      <c r="H176" s="27" t="s">
        <v>248</v>
      </c>
      <c r="I176" s="27" t="s">
        <v>38</v>
      </c>
      <c r="J176" s="121" t="s">
        <v>992</v>
      </c>
      <c r="K176" s="121" t="s">
        <v>993</v>
      </c>
      <c r="L176" s="121" t="str">
        <f t="shared" si="35"/>
        <v>Calle 14 a # 50a - 22, El Limonar, Cali</v>
      </c>
      <c r="M176" s="121" t="s">
        <v>231</v>
      </c>
      <c r="N176" s="121" t="s">
        <v>233</v>
      </c>
      <c r="O176" s="27"/>
      <c r="P176" s="27"/>
      <c r="Q176" s="27" t="s">
        <v>81</v>
      </c>
      <c r="R176" s="30"/>
      <c r="S176" s="30"/>
      <c r="T176" s="30">
        <v>1.0</v>
      </c>
      <c r="U176" s="209"/>
      <c r="V176" s="209"/>
      <c r="W176" s="209"/>
      <c r="X176" s="209"/>
      <c r="Y176" s="208"/>
      <c r="Z176" s="121" t="s">
        <v>994</v>
      </c>
      <c r="AA176" s="121"/>
      <c r="AB176" s="121"/>
      <c r="AD176" s="210"/>
      <c r="AE176" s="211"/>
      <c r="AF176" s="210"/>
      <c r="AG176" s="210"/>
      <c r="AH176" s="210"/>
      <c r="AI176" s="210"/>
      <c r="AJ176" s="210"/>
      <c r="AK176" s="210"/>
      <c r="AL176" s="210"/>
      <c r="AM176" s="210"/>
      <c r="AN176" s="210"/>
      <c r="AO176" s="210"/>
      <c r="AP176" s="210"/>
    </row>
    <row r="177" ht="25.5" customHeight="1">
      <c r="A177" s="27">
        <f t="shared" si="3"/>
        <v>176</v>
      </c>
      <c r="B177" s="27" t="s">
        <v>61</v>
      </c>
      <c r="C177" s="27" t="s">
        <v>63</v>
      </c>
      <c r="D177" s="27" t="s">
        <v>64</v>
      </c>
      <c r="E177" s="28" t="str">
        <f t="shared" si="34"/>
        <v/>
      </c>
      <c r="F177" s="30" t="s">
        <v>35</v>
      </c>
      <c r="G177" s="30" t="s">
        <v>36</v>
      </c>
      <c r="H177" s="256">
        <v>46207.0</v>
      </c>
      <c r="I177" s="256" t="s">
        <v>38</v>
      </c>
      <c r="J177" s="121" t="s">
        <v>995</v>
      </c>
      <c r="K177" s="121"/>
      <c r="L177" s="121" t="str">
        <f t="shared" si="35"/>
        <v>Carrera 27 #5 b - 29, 46207, Cali</v>
      </c>
      <c r="M177" s="121" t="s">
        <v>231</v>
      </c>
      <c r="N177" s="121" t="s">
        <v>233</v>
      </c>
      <c r="O177" s="27"/>
      <c r="P177" s="27"/>
      <c r="Q177" s="27" t="s">
        <v>81</v>
      </c>
      <c r="R177" s="30"/>
      <c r="S177" s="30"/>
      <c r="T177" s="30">
        <v>1.0</v>
      </c>
      <c r="U177" s="205"/>
      <c r="V177" s="206"/>
      <c r="W177" s="207"/>
      <c r="X177" s="208"/>
      <c r="Y177" s="208"/>
      <c r="Z177" s="121" t="s">
        <v>996</v>
      </c>
      <c r="AA177" s="121"/>
      <c r="AB177" s="121"/>
      <c r="AD177" s="210"/>
      <c r="AE177" s="211"/>
      <c r="AF177" s="210"/>
      <c r="AG177" s="210"/>
      <c r="AH177" s="210"/>
      <c r="AI177" s="210"/>
      <c r="AJ177" s="210"/>
      <c r="AK177" s="210"/>
      <c r="AL177" s="210"/>
      <c r="AM177" s="210"/>
      <c r="AN177" s="210"/>
      <c r="AO177" s="210"/>
      <c r="AP177" s="210"/>
    </row>
    <row r="178" ht="25.5" customHeight="1">
      <c r="A178" s="27">
        <f t="shared" si="3"/>
        <v>177</v>
      </c>
      <c r="B178" s="27" t="s">
        <v>61</v>
      </c>
      <c r="C178" s="27" t="s">
        <v>63</v>
      </c>
      <c r="D178" s="27" t="s">
        <v>64</v>
      </c>
      <c r="E178" s="28" t="str">
        <f t="shared" si="34"/>
        <v/>
      </c>
      <c r="F178" s="30" t="s">
        <v>76</v>
      </c>
      <c r="G178" s="30" t="s">
        <v>350</v>
      </c>
      <c r="H178" s="27" t="s">
        <v>280</v>
      </c>
      <c r="I178" s="27" t="s">
        <v>38</v>
      </c>
      <c r="J178" s="121" t="s">
        <v>997</v>
      </c>
      <c r="K178" s="121"/>
      <c r="L178" s="121" t="str">
        <f t="shared" si="35"/>
        <v>Calle 49 n # 3gn - 93, Flora Ind., Cali</v>
      </c>
      <c r="M178" s="121" t="s">
        <v>231</v>
      </c>
      <c r="N178" s="121" t="s">
        <v>233</v>
      </c>
      <c r="O178" s="27"/>
      <c r="P178" s="27"/>
      <c r="Q178" s="27" t="s">
        <v>81</v>
      </c>
      <c r="R178" s="30"/>
      <c r="S178" s="30"/>
      <c r="T178" s="30">
        <v>1.0</v>
      </c>
      <c r="U178" s="205"/>
      <c r="V178" s="206"/>
      <c r="W178" s="207"/>
      <c r="X178" s="208"/>
      <c r="Y178" s="208"/>
      <c r="Z178" s="121" t="s">
        <v>998</v>
      </c>
      <c r="AA178" s="121"/>
      <c r="AB178" s="121"/>
      <c r="AD178" s="210"/>
      <c r="AE178" s="211"/>
      <c r="AF178" s="210"/>
      <c r="AG178" s="210"/>
      <c r="AH178" s="210"/>
      <c r="AI178" s="210"/>
      <c r="AJ178" s="210"/>
      <c r="AK178" s="210"/>
      <c r="AL178" s="210"/>
      <c r="AM178" s="210"/>
      <c r="AN178" s="210"/>
      <c r="AO178" s="210"/>
      <c r="AP178" s="210"/>
    </row>
    <row r="179" ht="25.5" customHeight="1">
      <c r="A179" s="27">
        <f t="shared" si="3"/>
        <v>178</v>
      </c>
      <c r="B179" s="27" t="s">
        <v>61</v>
      </c>
      <c r="C179" s="27" t="s">
        <v>63</v>
      </c>
      <c r="D179" s="27" t="s">
        <v>64</v>
      </c>
      <c r="E179" s="28" t="str">
        <f t="shared" si="34"/>
        <v/>
      </c>
      <c r="F179" s="30" t="s">
        <v>35</v>
      </c>
      <c r="G179" s="30" t="s">
        <v>36</v>
      </c>
      <c r="H179" s="27" t="s">
        <v>744</v>
      </c>
      <c r="I179" s="27" t="s">
        <v>38</v>
      </c>
      <c r="J179" s="121" t="s">
        <v>999</v>
      </c>
      <c r="K179" s="121"/>
      <c r="L179" s="121" t="str">
        <f t="shared" si="35"/>
        <v>Carrera 67 # 3c, El refugio, Cali</v>
      </c>
      <c r="M179" s="121" t="s">
        <v>231</v>
      </c>
      <c r="N179" s="121" t="s">
        <v>233</v>
      </c>
      <c r="O179" s="27"/>
      <c r="P179" s="27"/>
      <c r="Q179" s="27" t="s">
        <v>81</v>
      </c>
      <c r="R179" s="30"/>
      <c r="S179" s="30"/>
      <c r="T179" s="30">
        <v>1.0</v>
      </c>
      <c r="U179" s="209"/>
      <c r="V179" s="209"/>
      <c r="W179" s="209"/>
      <c r="X179" s="209"/>
      <c r="Y179" s="208"/>
      <c r="Z179" s="209"/>
      <c r="AA179" s="209"/>
      <c r="AB179" s="209"/>
      <c r="AD179" s="210"/>
      <c r="AE179" s="211"/>
      <c r="AF179" s="210"/>
      <c r="AG179" s="210"/>
      <c r="AH179" s="210"/>
      <c r="AI179" s="210"/>
      <c r="AJ179" s="210"/>
      <c r="AK179" s="210"/>
      <c r="AL179" s="210"/>
      <c r="AM179" s="210"/>
      <c r="AN179" s="210"/>
      <c r="AO179" s="210"/>
      <c r="AP179" s="210"/>
    </row>
    <row r="180" ht="25.5" customHeight="1">
      <c r="A180" s="27">
        <f t="shared" si="3"/>
        <v>179</v>
      </c>
      <c r="B180" s="27" t="s">
        <v>61</v>
      </c>
      <c r="C180" s="27" t="s">
        <v>63</v>
      </c>
      <c r="D180" s="27" t="s">
        <v>64</v>
      </c>
      <c r="E180" s="28" t="str">
        <f t="shared" si="34"/>
        <v/>
      </c>
      <c r="F180" s="30" t="s">
        <v>76</v>
      </c>
      <c r="G180" s="30" t="s">
        <v>350</v>
      </c>
      <c r="H180" s="27" t="s">
        <v>280</v>
      </c>
      <c r="I180" s="27" t="s">
        <v>38</v>
      </c>
      <c r="J180" s="121" t="s">
        <v>1000</v>
      </c>
      <c r="K180" s="121" t="s">
        <v>1001</v>
      </c>
      <c r="L180" s="121" t="str">
        <f t="shared" si="35"/>
        <v>Calle 49n #3gn -77, Flora Ind., Cali</v>
      </c>
      <c r="M180" s="121" t="s">
        <v>231</v>
      </c>
      <c r="N180" s="121" t="s">
        <v>233</v>
      </c>
      <c r="O180" s="27"/>
      <c r="P180" s="27"/>
      <c r="Q180" s="27" t="s">
        <v>81</v>
      </c>
      <c r="R180" s="30"/>
      <c r="S180" s="30"/>
      <c r="T180" s="30">
        <v>1.0</v>
      </c>
      <c r="U180" s="205"/>
      <c r="V180" s="206"/>
      <c r="W180" s="207"/>
      <c r="X180" s="208"/>
      <c r="Y180" s="208"/>
      <c r="Z180" s="121" t="s">
        <v>1002</v>
      </c>
      <c r="AA180" s="121"/>
      <c r="AB180" s="121"/>
      <c r="AD180" s="210"/>
      <c r="AE180" s="211"/>
      <c r="AF180" s="210"/>
      <c r="AG180" s="210"/>
      <c r="AH180" s="210"/>
      <c r="AI180" s="210"/>
      <c r="AJ180" s="210"/>
      <c r="AK180" s="210"/>
      <c r="AL180" s="210"/>
      <c r="AM180" s="210"/>
      <c r="AN180" s="210"/>
      <c r="AO180" s="210"/>
      <c r="AP180" s="210"/>
    </row>
    <row r="181" ht="25.5" customHeight="1">
      <c r="A181" s="27">
        <f t="shared" si="3"/>
        <v>180</v>
      </c>
      <c r="B181" s="27" t="s">
        <v>61</v>
      </c>
      <c r="C181" s="27" t="s">
        <v>63</v>
      </c>
      <c r="D181" s="27" t="s">
        <v>64</v>
      </c>
      <c r="E181" s="28" t="str">
        <f t="shared" si="34"/>
        <v/>
      </c>
      <c r="F181" s="30" t="s">
        <v>35</v>
      </c>
      <c r="G181" s="30" t="s">
        <v>36</v>
      </c>
      <c r="H181" s="27" t="s">
        <v>124</v>
      </c>
      <c r="I181" s="27" t="s">
        <v>38</v>
      </c>
      <c r="J181" s="121" t="s">
        <v>1003</v>
      </c>
      <c r="K181" s="121"/>
      <c r="L181" s="121" t="str">
        <f t="shared" si="35"/>
        <v>Carrera 30 8a-35, Barrio el Cedro, Cali</v>
      </c>
      <c r="M181" s="121" t="s">
        <v>231</v>
      </c>
      <c r="N181" s="121" t="s">
        <v>233</v>
      </c>
      <c r="O181" s="27"/>
      <c r="P181" s="27"/>
      <c r="Q181" s="27" t="s">
        <v>81</v>
      </c>
      <c r="R181" s="30"/>
      <c r="S181" s="30"/>
      <c r="T181" s="30">
        <v>1.0</v>
      </c>
      <c r="U181" s="205"/>
      <c r="V181" s="206"/>
      <c r="W181" s="207"/>
      <c r="X181" s="208"/>
      <c r="Y181" s="208"/>
      <c r="Z181" s="121" t="s">
        <v>1004</v>
      </c>
      <c r="AA181" s="121"/>
      <c r="AB181" s="121"/>
      <c r="AD181" s="210"/>
      <c r="AE181" s="211"/>
      <c r="AF181" s="210"/>
      <c r="AG181" s="210"/>
      <c r="AH181" s="210"/>
      <c r="AI181" s="210"/>
      <c r="AJ181" s="210"/>
      <c r="AK181" s="210"/>
      <c r="AL181" s="210"/>
      <c r="AM181" s="210"/>
      <c r="AN181" s="210"/>
      <c r="AO181" s="210"/>
      <c r="AP181" s="210"/>
    </row>
    <row r="182" ht="25.5" customHeight="1">
      <c r="A182" s="27">
        <f t="shared" si="3"/>
        <v>181</v>
      </c>
      <c r="B182" s="27" t="s">
        <v>61</v>
      </c>
      <c r="C182" s="27" t="s">
        <v>63</v>
      </c>
      <c r="D182" s="27" t="s">
        <v>64</v>
      </c>
      <c r="E182" s="28" t="str">
        <f t="shared" si="34"/>
        <v/>
      </c>
      <c r="F182" s="30" t="s">
        <v>60</v>
      </c>
      <c r="G182" s="30" t="s">
        <v>36</v>
      </c>
      <c r="H182" s="27" t="s">
        <v>434</v>
      </c>
      <c r="I182" s="27" t="s">
        <v>38</v>
      </c>
      <c r="J182" s="121" t="s">
        <v>1005</v>
      </c>
      <c r="K182" s="121" t="s">
        <v>1006</v>
      </c>
      <c r="L182" s="121" t="str">
        <f t="shared" si="35"/>
        <v>Carrera 53 # 13 65, Primero de mayo, Cali</v>
      </c>
      <c r="M182" s="121" t="s">
        <v>231</v>
      </c>
      <c r="N182" s="121" t="s">
        <v>233</v>
      </c>
      <c r="O182" s="27"/>
      <c r="P182" s="27"/>
      <c r="Q182" s="27" t="s">
        <v>81</v>
      </c>
      <c r="R182" s="30"/>
      <c r="S182" s="30"/>
      <c r="T182" s="30">
        <v>1.0</v>
      </c>
      <c r="U182" s="209"/>
      <c r="V182" s="209"/>
      <c r="W182" s="209"/>
      <c r="X182" s="209"/>
      <c r="Y182" s="208"/>
      <c r="Z182" s="121" t="s">
        <v>1007</v>
      </c>
      <c r="AA182" s="121"/>
      <c r="AB182" s="121"/>
      <c r="AD182" s="210"/>
      <c r="AE182" s="211"/>
      <c r="AF182" s="210"/>
      <c r="AG182" s="210"/>
      <c r="AH182" s="210"/>
      <c r="AI182" s="210"/>
      <c r="AJ182" s="210"/>
      <c r="AK182" s="210"/>
      <c r="AL182" s="210"/>
      <c r="AM182" s="210"/>
      <c r="AN182" s="210"/>
      <c r="AO182" s="210"/>
      <c r="AP182" s="210"/>
    </row>
    <row r="183" ht="25.5" customHeight="1">
      <c r="A183" s="63">
        <f t="shared" si="3"/>
        <v>182</v>
      </c>
      <c r="B183" s="63" t="s">
        <v>62</v>
      </c>
      <c r="C183" s="65" t="s">
        <v>133</v>
      </c>
      <c r="D183" s="108" t="s">
        <v>64</v>
      </c>
      <c r="E183" s="68" t="s">
        <v>62</v>
      </c>
      <c r="F183" s="70" t="s">
        <v>62</v>
      </c>
      <c r="G183" s="70" t="s">
        <v>62</v>
      </c>
      <c r="H183" s="71" t="s">
        <v>62</v>
      </c>
      <c r="I183" s="71" t="s">
        <v>62</v>
      </c>
      <c r="J183" s="68" t="s">
        <v>62</v>
      </c>
      <c r="K183" s="68" t="s">
        <v>62</v>
      </c>
      <c r="L183" s="68" t="s">
        <v>62</v>
      </c>
      <c r="M183" s="68" t="s">
        <v>62</v>
      </c>
      <c r="N183" s="68" t="s">
        <v>62</v>
      </c>
      <c r="O183" s="68" t="s">
        <v>62</v>
      </c>
      <c r="P183" s="68" t="s">
        <v>62</v>
      </c>
      <c r="Q183" s="68" t="s">
        <v>62</v>
      </c>
      <c r="R183" s="68" t="s">
        <v>62</v>
      </c>
      <c r="S183" s="68"/>
      <c r="T183" s="68" t="s">
        <v>62</v>
      </c>
      <c r="U183" s="68" t="s">
        <v>62</v>
      </c>
      <c r="V183" s="68" t="s">
        <v>62</v>
      </c>
      <c r="W183" s="68" t="s">
        <v>62</v>
      </c>
      <c r="X183" s="68" t="s">
        <v>62</v>
      </c>
      <c r="Y183" s="68" t="s">
        <v>62</v>
      </c>
      <c r="Z183" s="68" t="s">
        <v>62</v>
      </c>
      <c r="AA183" s="68" t="s">
        <v>62</v>
      </c>
      <c r="AB183" s="68" t="s">
        <v>62</v>
      </c>
      <c r="AD183" s="243"/>
      <c r="AE183" s="244"/>
      <c r="AF183" s="243"/>
      <c r="AG183" s="243"/>
      <c r="AH183" s="243"/>
      <c r="AI183" s="243"/>
      <c r="AJ183" s="243"/>
      <c r="AK183" s="243"/>
      <c r="AL183" s="243"/>
      <c r="AM183" s="243"/>
      <c r="AN183" s="243"/>
      <c r="AO183" s="243"/>
      <c r="AP183" s="243"/>
    </row>
    <row r="184" ht="25.5" customHeight="1">
      <c r="A184" s="27">
        <f t="shared" si="3"/>
        <v>183</v>
      </c>
      <c r="B184" s="27" t="s">
        <v>61</v>
      </c>
      <c r="C184" s="27" t="s">
        <v>63</v>
      </c>
      <c r="D184" s="27" t="s">
        <v>64</v>
      </c>
      <c r="E184" s="95" t="str">
        <f>IF(OR($B184="ALTA",AND(ISNUMBER($W184),$W184&gt;0),AND($U184&lt;&gt;"",$U184&lt;&gt;"NO")),"SI","")</f>
        <v/>
      </c>
      <c r="F184" s="35" t="s">
        <v>60</v>
      </c>
      <c r="G184" s="30" t="s">
        <v>36</v>
      </c>
      <c r="H184" s="27" t="s">
        <v>387</v>
      </c>
      <c r="I184" s="27" t="s">
        <v>38</v>
      </c>
      <c r="J184" s="121" t="s">
        <v>1008</v>
      </c>
      <c r="K184" s="121" t="s">
        <v>1009</v>
      </c>
      <c r="L184" s="121" t="str">
        <f>CONCATENATE(J184,", ",H184,", Cali")</f>
        <v>Carrera 94b # 2 -46, Melendez, Cali</v>
      </c>
      <c r="M184" s="142" t="s">
        <v>679</v>
      </c>
      <c r="N184" s="142" t="s">
        <v>233</v>
      </c>
      <c r="O184" s="27"/>
      <c r="P184" s="27"/>
      <c r="Q184" s="27" t="s">
        <v>1010</v>
      </c>
      <c r="R184" s="30"/>
      <c r="S184" s="30"/>
      <c r="T184" s="30">
        <v>1.0</v>
      </c>
      <c r="U184" s="205"/>
      <c r="V184" s="206"/>
      <c r="W184" s="207"/>
      <c r="X184" s="208"/>
      <c r="Y184" s="227" t="s">
        <v>1011</v>
      </c>
      <c r="Z184" s="121" t="s">
        <v>1012</v>
      </c>
      <c r="AA184" s="121"/>
      <c r="AB184" s="121"/>
      <c r="AD184" s="210"/>
      <c r="AE184" s="211"/>
      <c r="AF184" s="210"/>
      <c r="AG184" s="210"/>
      <c r="AH184" s="210"/>
      <c r="AI184" s="210"/>
      <c r="AJ184" s="210"/>
      <c r="AK184" s="210"/>
      <c r="AL184" s="210"/>
      <c r="AM184" s="210"/>
      <c r="AN184" s="210"/>
      <c r="AO184" s="210"/>
      <c r="AP184" s="210"/>
    </row>
    <row r="185" ht="25.5" customHeight="1">
      <c r="A185" s="63">
        <f t="shared" si="3"/>
        <v>184</v>
      </c>
      <c r="B185" s="63" t="s">
        <v>62</v>
      </c>
      <c r="C185" s="65" t="s">
        <v>133</v>
      </c>
      <c r="D185" s="108" t="s">
        <v>64</v>
      </c>
      <c r="E185" s="68" t="s">
        <v>62</v>
      </c>
      <c r="F185" s="70" t="s">
        <v>62</v>
      </c>
      <c r="G185" s="70" t="s">
        <v>62</v>
      </c>
      <c r="H185" s="71" t="s">
        <v>62</v>
      </c>
      <c r="I185" s="71" t="s">
        <v>62</v>
      </c>
      <c r="J185" s="68" t="s">
        <v>62</v>
      </c>
      <c r="K185" s="68" t="s">
        <v>62</v>
      </c>
      <c r="L185" s="68" t="s">
        <v>62</v>
      </c>
      <c r="M185" s="68" t="s">
        <v>62</v>
      </c>
      <c r="N185" s="68" t="s">
        <v>62</v>
      </c>
      <c r="O185" s="68" t="s">
        <v>62</v>
      </c>
      <c r="P185" s="68" t="s">
        <v>62</v>
      </c>
      <c r="Q185" s="68" t="s">
        <v>62</v>
      </c>
      <c r="R185" s="68" t="s">
        <v>62</v>
      </c>
      <c r="S185" s="68"/>
      <c r="T185" s="68" t="s">
        <v>62</v>
      </c>
      <c r="U185" s="68" t="s">
        <v>62</v>
      </c>
      <c r="V185" s="68" t="s">
        <v>62</v>
      </c>
      <c r="W185" s="68" t="s">
        <v>62</v>
      </c>
      <c r="X185" s="68" t="s">
        <v>62</v>
      </c>
      <c r="Y185" s="68" t="s">
        <v>62</v>
      </c>
      <c r="Z185" s="68" t="s">
        <v>62</v>
      </c>
      <c r="AA185" s="68" t="s">
        <v>62</v>
      </c>
      <c r="AB185" s="68" t="s">
        <v>62</v>
      </c>
      <c r="AD185" s="243"/>
      <c r="AE185" s="244"/>
      <c r="AF185" s="243"/>
      <c r="AG185" s="243"/>
      <c r="AH185" s="243"/>
      <c r="AI185" s="243"/>
      <c r="AJ185" s="243"/>
      <c r="AK185" s="243"/>
      <c r="AL185" s="243"/>
      <c r="AM185" s="243"/>
      <c r="AN185" s="243"/>
      <c r="AO185" s="243"/>
      <c r="AP185" s="243"/>
    </row>
    <row r="186" ht="25.5" customHeight="1">
      <c r="A186" s="27">
        <f t="shared" si="3"/>
        <v>185</v>
      </c>
      <c r="B186" s="27" t="s">
        <v>61</v>
      </c>
      <c r="C186" s="27" t="s">
        <v>63</v>
      </c>
      <c r="D186" s="27" t="s">
        <v>64</v>
      </c>
      <c r="E186" s="95" t="str">
        <f t="shared" ref="E186:E218" si="36">IF(OR($B186="ALTA",AND(ISNUMBER($W186),$W186&gt;0),AND($U186&lt;&gt;"",$U186&lt;&gt;"NO")),"SI","")</f>
        <v/>
      </c>
      <c r="F186" s="30" t="s">
        <v>139</v>
      </c>
      <c r="G186" s="35" t="s">
        <v>350</v>
      </c>
      <c r="H186" s="27" t="s">
        <v>501</v>
      </c>
      <c r="I186" s="27" t="s">
        <v>286</v>
      </c>
      <c r="J186" s="121" t="s">
        <v>1013</v>
      </c>
      <c r="K186" s="121"/>
      <c r="L186" s="121" t="str">
        <f t="shared" ref="L186:L218" si="37">CONCATENATE(J186,", ",H186,", Cali")</f>
        <v>Calle 62 # 1c1 - 18, Urbanizacion Barranquilla, Cali</v>
      </c>
      <c r="M186" s="121" t="s">
        <v>231</v>
      </c>
      <c r="N186" s="121" t="s">
        <v>233</v>
      </c>
      <c r="O186" s="27"/>
      <c r="P186" s="27"/>
      <c r="Q186" s="27" t="s">
        <v>81</v>
      </c>
      <c r="R186" s="30"/>
      <c r="S186" s="30"/>
      <c r="T186" s="30">
        <v>1.0</v>
      </c>
      <c r="U186" s="205"/>
      <c r="V186" s="206"/>
      <c r="W186" s="207"/>
      <c r="X186" s="208"/>
      <c r="Y186" s="208"/>
      <c r="Z186" s="121" t="s">
        <v>1014</v>
      </c>
      <c r="AA186" s="121"/>
      <c r="AB186" s="121"/>
      <c r="AD186" s="210"/>
      <c r="AE186" s="211"/>
      <c r="AF186" s="210"/>
      <c r="AG186" s="210"/>
      <c r="AH186" s="210"/>
      <c r="AI186" s="210"/>
      <c r="AJ186" s="210"/>
      <c r="AK186" s="210"/>
      <c r="AL186" s="210"/>
      <c r="AM186" s="210"/>
      <c r="AN186" s="210"/>
      <c r="AO186" s="210"/>
      <c r="AP186" s="210"/>
    </row>
    <row r="187" ht="25.5" customHeight="1">
      <c r="A187" s="27">
        <f t="shared" si="3"/>
        <v>186</v>
      </c>
      <c r="B187" s="27" t="s">
        <v>61</v>
      </c>
      <c r="C187" s="27" t="s">
        <v>63</v>
      </c>
      <c r="D187" s="27" t="s">
        <v>64</v>
      </c>
      <c r="E187" s="95" t="str">
        <f t="shared" si="36"/>
        <v/>
      </c>
      <c r="F187" s="35" t="s">
        <v>60</v>
      </c>
      <c r="G187" s="30" t="s">
        <v>36</v>
      </c>
      <c r="H187" s="27" t="s">
        <v>385</v>
      </c>
      <c r="I187" s="27" t="s">
        <v>38</v>
      </c>
      <c r="J187" s="121" t="s">
        <v>847</v>
      </c>
      <c r="K187" s="121" t="s">
        <v>1015</v>
      </c>
      <c r="L187" s="121" t="str">
        <f t="shared" si="37"/>
        <v>Carrera 83 # 6-50, Mayapan, Cali</v>
      </c>
      <c r="M187" s="121" t="s">
        <v>231</v>
      </c>
      <c r="N187" s="121" t="s">
        <v>233</v>
      </c>
      <c r="O187" s="27"/>
      <c r="P187" s="27"/>
      <c r="Q187" s="27" t="s">
        <v>81</v>
      </c>
      <c r="R187" s="30"/>
      <c r="S187" s="30"/>
      <c r="T187" s="30">
        <v>1.0</v>
      </c>
      <c r="U187" s="205"/>
      <c r="V187" s="206"/>
      <c r="W187" s="207"/>
      <c r="X187" s="208"/>
      <c r="Y187" s="257" t="s">
        <v>1016</v>
      </c>
      <c r="Z187" s="209"/>
      <c r="AA187" s="209"/>
      <c r="AB187" s="209"/>
      <c r="AD187" s="210"/>
      <c r="AE187" s="211"/>
      <c r="AF187" s="210"/>
      <c r="AG187" s="210"/>
      <c r="AH187" s="210"/>
      <c r="AI187" s="210"/>
      <c r="AJ187" s="210"/>
      <c r="AK187" s="210"/>
      <c r="AL187" s="210"/>
      <c r="AM187" s="210"/>
      <c r="AN187" s="210"/>
      <c r="AO187" s="210"/>
      <c r="AP187" s="210"/>
    </row>
    <row r="188" ht="25.5" customHeight="1">
      <c r="A188" s="27">
        <f t="shared" si="3"/>
        <v>187</v>
      </c>
      <c r="B188" s="27" t="s">
        <v>61</v>
      </c>
      <c r="C188" s="27" t="s">
        <v>63</v>
      </c>
      <c r="D188" s="27" t="s">
        <v>64</v>
      </c>
      <c r="E188" s="258" t="str">
        <f t="shared" si="36"/>
        <v>SI</v>
      </c>
      <c r="F188" s="30" t="s">
        <v>35</v>
      </c>
      <c r="G188" s="259" t="s">
        <v>36</v>
      </c>
      <c r="H188" s="27" t="s">
        <v>202</v>
      </c>
      <c r="I188" s="27" t="s">
        <v>286</v>
      </c>
      <c r="J188" s="121" t="s">
        <v>1017</v>
      </c>
      <c r="K188" s="121"/>
      <c r="L188" s="121" t="str">
        <f t="shared" si="37"/>
        <v>calle 4 con carrera 60 a, Pampalinda, Cali</v>
      </c>
      <c r="M188" s="121" t="s">
        <v>231</v>
      </c>
      <c r="N188" s="121" t="s">
        <v>233</v>
      </c>
      <c r="O188" s="27"/>
      <c r="P188" s="27"/>
      <c r="Q188" s="27" t="s">
        <v>81</v>
      </c>
      <c r="R188" s="30"/>
      <c r="S188" s="30"/>
      <c r="T188" s="30">
        <v>1.0</v>
      </c>
      <c r="U188" s="209"/>
      <c r="V188" s="209"/>
      <c r="W188" s="209">
        <v>4.0</v>
      </c>
      <c r="X188" s="209"/>
      <c r="Y188" s="208"/>
      <c r="Z188" s="209"/>
      <c r="AA188" s="209"/>
      <c r="AB188" s="209"/>
      <c r="AD188" s="210"/>
      <c r="AE188" s="211"/>
      <c r="AF188" s="210"/>
      <c r="AG188" s="210"/>
      <c r="AH188" s="210"/>
      <c r="AI188" s="210"/>
      <c r="AJ188" s="210"/>
      <c r="AK188" s="210"/>
      <c r="AL188" s="210"/>
      <c r="AM188" s="210"/>
      <c r="AN188" s="210"/>
      <c r="AO188" s="210"/>
      <c r="AP188" s="210"/>
    </row>
    <row r="189" ht="25.5" customHeight="1">
      <c r="A189" s="27">
        <f t="shared" si="3"/>
        <v>188</v>
      </c>
      <c r="B189" s="27" t="s">
        <v>61</v>
      </c>
      <c r="C189" s="27" t="s">
        <v>63</v>
      </c>
      <c r="D189" s="27" t="s">
        <v>64</v>
      </c>
      <c r="E189" s="28" t="str">
        <f t="shared" si="36"/>
        <v/>
      </c>
      <c r="F189" s="30" t="s">
        <v>87</v>
      </c>
      <c r="G189" s="30" t="s">
        <v>36</v>
      </c>
      <c r="H189" s="27" t="s">
        <v>149</v>
      </c>
      <c r="I189" s="27" t="s">
        <v>38</v>
      </c>
      <c r="J189" s="121" t="s">
        <v>1018</v>
      </c>
      <c r="K189" s="121" t="s">
        <v>1019</v>
      </c>
      <c r="L189" s="121" t="str">
        <f t="shared" si="37"/>
        <v>Calle 2A 78B 30, Apto 401B, Buenos Aires, Cali</v>
      </c>
      <c r="M189" s="121" t="s">
        <v>231</v>
      </c>
      <c r="N189" s="121" t="s">
        <v>233</v>
      </c>
      <c r="O189" s="27"/>
      <c r="P189" s="27"/>
      <c r="Q189" s="27" t="s">
        <v>81</v>
      </c>
      <c r="R189" s="30"/>
      <c r="S189" s="30"/>
      <c r="T189" s="30">
        <v>1.0</v>
      </c>
      <c r="U189" s="205"/>
      <c r="V189" s="206"/>
      <c r="W189" s="207"/>
      <c r="X189" s="208"/>
      <c r="Y189" s="208"/>
      <c r="Z189" s="121" t="s">
        <v>1020</v>
      </c>
      <c r="AA189" s="121"/>
      <c r="AB189" s="121"/>
      <c r="AD189" s="210"/>
      <c r="AE189" s="211"/>
      <c r="AF189" s="210"/>
      <c r="AG189" s="210"/>
      <c r="AH189" s="210"/>
      <c r="AI189" s="210"/>
      <c r="AJ189" s="210"/>
      <c r="AK189" s="210"/>
      <c r="AL189" s="210"/>
      <c r="AM189" s="210"/>
      <c r="AN189" s="210"/>
      <c r="AO189" s="210"/>
      <c r="AP189" s="210"/>
    </row>
    <row r="190" ht="25.5" customHeight="1">
      <c r="A190" s="27">
        <f t="shared" si="3"/>
        <v>189</v>
      </c>
      <c r="B190" s="27" t="s">
        <v>61</v>
      </c>
      <c r="C190" s="27" t="s">
        <v>63</v>
      </c>
      <c r="D190" s="27" t="s">
        <v>64</v>
      </c>
      <c r="E190" s="95" t="str">
        <f t="shared" si="36"/>
        <v/>
      </c>
      <c r="F190" s="35" t="s">
        <v>60</v>
      </c>
      <c r="G190" s="30" t="s">
        <v>36</v>
      </c>
      <c r="H190" s="27" t="s">
        <v>334</v>
      </c>
      <c r="I190" s="27" t="s">
        <v>935</v>
      </c>
      <c r="J190" s="121" t="s">
        <v>1021</v>
      </c>
      <c r="K190" s="121" t="s">
        <v>1022</v>
      </c>
      <c r="L190" s="121" t="str">
        <f t="shared" si="37"/>
        <v>Calle 14 49A 29, Las Camelias, Cali</v>
      </c>
      <c r="M190" s="121" t="s">
        <v>231</v>
      </c>
      <c r="N190" s="121" t="s">
        <v>233</v>
      </c>
      <c r="O190" s="27"/>
      <c r="P190" s="27"/>
      <c r="Q190" s="27" t="s">
        <v>81</v>
      </c>
      <c r="R190" s="30"/>
      <c r="S190" s="30"/>
      <c r="T190" s="30">
        <v>1.0</v>
      </c>
      <c r="U190" s="209"/>
      <c r="V190" s="209"/>
      <c r="W190" s="209"/>
      <c r="X190" s="209"/>
      <c r="Y190" s="208"/>
      <c r="Z190" s="121" t="s">
        <v>1023</v>
      </c>
      <c r="AA190" s="121"/>
      <c r="AB190" s="121"/>
      <c r="AD190" s="210"/>
      <c r="AE190" s="211"/>
      <c r="AF190" s="210"/>
      <c r="AG190" s="210"/>
      <c r="AH190" s="210"/>
      <c r="AI190" s="210"/>
      <c r="AJ190" s="210"/>
      <c r="AK190" s="210"/>
      <c r="AL190" s="210"/>
      <c r="AM190" s="210"/>
      <c r="AN190" s="210"/>
      <c r="AO190" s="210"/>
      <c r="AP190" s="210"/>
    </row>
    <row r="191" ht="25.5" customHeight="1">
      <c r="A191" s="27">
        <f t="shared" si="3"/>
        <v>190</v>
      </c>
      <c r="B191" s="27" t="s">
        <v>61</v>
      </c>
      <c r="C191" s="27" t="s">
        <v>63</v>
      </c>
      <c r="D191" s="27" t="s">
        <v>64</v>
      </c>
      <c r="E191" s="28" t="str">
        <f t="shared" si="36"/>
        <v/>
      </c>
      <c r="F191" s="30" t="s">
        <v>35</v>
      </c>
      <c r="G191" s="30" t="s">
        <v>36</v>
      </c>
      <c r="H191" s="27" t="s">
        <v>496</v>
      </c>
      <c r="I191" s="27" t="s">
        <v>38</v>
      </c>
      <c r="J191" s="121" t="s">
        <v>1024</v>
      </c>
      <c r="K191" s="121" t="s">
        <v>1025</v>
      </c>
      <c r="L191" s="121" t="str">
        <f t="shared" si="37"/>
        <v>Carrera 26 # 5c -06, Tres de julio, Cali</v>
      </c>
      <c r="M191" s="121" t="s">
        <v>231</v>
      </c>
      <c r="N191" s="121" t="s">
        <v>233</v>
      </c>
      <c r="O191" s="27"/>
      <c r="P191" s="27"/>
      <c r="Q191" s="27" t="s">
        <v>81</v>
      </c>
      <c r="R191" s="30"/>
      <c r="S191" s="30"/>
      <c r="T191" s="30">
        <v>1.0</v>
      </c>
      <c r="U191" s="205"/>
      <c r="V191" s="206"/>
      <c r="W191" s="207"/>
      <c r="X191" s="208"/>
      <c r="Y191" s="208"/>
      <c r="Z191" s="121" t="s">
        <v>1026</v>
      </c>
      <c r="AA191" s="121"/>
      <c r="AB191" s="121" t="s">
        <v>171</v>
      </c>
      <c r="AD191" s="210"/>
      <c r="AE191" s="211"/>
      <c r="AF191" s="210"/>
      <c r="AG191" s="210"/>
      <c r="AH191" s="210"/>
      <c r="AI191" s="210"/>
      <c r="AJ191" s="210"/>
      <c r="AK191" s="210"/>
      <c r="AL191" s="210"/>
      <c r="AM191" s="210"/>
      <c r="AN191" s="210"/>
      <c r="AO191" s="210"/>
      <c r="AP191" s="210"/>
    </row>
    <row r="192" ht="24.75" customHeight="1">
      <c r="A192" s="27">
        <f t="shared" si="3"/>
        <v>191</v>
      </c>
      <c r="B192" s="27" t="s">
        <v>61</v>
      </c>
      <c r="C192" s="27" t="s">
        <v>63</v>
      </c>
      <c r="D192" s="27" t="s">
        <v>64</v>
      </c>
      <c r="E192" s="95" t="str">
        <f t="shared" si="36"/>
        <v/>
      </c>
      <c r="F192" s="30" t="s">
        <v>73</v>
      </c>
      <c r="G192" s="30" t="s">
        <v>36</v>
      </c>
      <c r="H192" s="27" t="s">
        <v>72</v>
      </c>
      <c r="I192" s="27" t="s">
        <v>38</v>
      </c>
      <c r="J192" s="121" t="s">
        <v>1027</v>
      </c>
      <c r="K192" s="121"/>
      <c r="L192" s="121" t="str">
        <f t="shared" si="37"/>
        <v>Calle 9 con 24, Alameda, Cali</v>
      </c>
      <c r="M192" s="121" t="s">
        <v>231</v>
      </c>
      <c r="N192" s="121" t="s">
        <v>233</v>
      </c>
      <c r="O192" s="27"/>
      <c r="P192" s="27"/>
      <c r="Q192" s="27" t="s">
        <v>81</v>
      </c>
      <c r="R192" s="30"/>
      <c r="S192" s="30"/>
      <c r="T192" s="30">
        <v>1.0</v>
      </c>
      <c r="U192" s="121" t="s">
        <v>83</v>
      </c>
      <c r="V192" s="121">
        <v>2.0</v>
      </c>
      <c r="W192" s="209"/>
      <c r="X192" s="209"/>
      <c r="Y192" s="208" t="s">
        <v>1028</v>
      </c>
      <c r="Z192" s="121" t="s">
        <v>1029</v>
      </c>
      <c r="AA192" s="121"/>
      <c r="AB192" s="121"/>
      <c r="AD192" s="210"/>
      <c r="AE192" s="211"/>
      <c r="AF192" s="210"/>
      <c r="AG192" s="210"/>
      <c r="AH192" s="210"/>
      <c r="AI192" s="210"/>
      <c r="AJ192" s="210"/>
      <c r="AK192" s="210"/>
      <c r="AL192" s="210"/>
      <c r="AM192" s="210"/>
      <c r="AN192" s="210"/>
      <c r="AO192" s="210"/>
      <c r="AP192" s="210"/>
    </row>
    <row r="193" ht="25.5" customHeight="1">
      <c r="A193" s="27">
        <f t="shared" si="3"/>
        <v>192</v>
      </c>
      <c r="B193" s="27" t="s">
        <v>61</v>
      </c>
      <c r="C193" s="27" t="s">
        <v>63</v>
      </c>
      <c r="D193" s="27" t="s">
        <v>64</v>
      </c>
      <c r="E193" s="28" t="str">
        <f t="shared" si="36"/>
        <v/>
      </c>
      <c r="F193" s="30" t="s">
        <v>35</v>
      </c>
      <c r="G193" s="30" t="s">
        <v>36</v>
      </c>
      <c r="H193" s="27" t="s">
        <v>255</v>
      </c>
      <c r="I193" s="27" t="s">
        <v>38</v>
      </c>
      <c r="J193" s="121" t="s">
        <v>1030</v>
      </c>
      <c r="K193" s="121"/>
      <c r="L193" s="121" t="str">
        <f t="shared" si="37"/>
        <v>Carrera 67 con calle 3c -15, El Refugio, Cali</v>
      </c>
      <c r="M193" s="121" t="s">
        <v>231</v>
      </c>
      <c r="N193" s="121" t="s">
        <v>233</v>
      </c>
      <c r="O193" s="27"/>
      <c r="P193" s="27"/>
      <c r="Q193" s="27" t="s">
        <v>81</v>
      </c>
      <c r="R193" s="30"/>
      <c r="S193" s="30"/>
      <c r="T193" s="30">
        <v>1.0</v>
      </c>
      <c r="U193" s="209"/>
      <c r="V193" s="209"/>
      <c r="W193" s="209"/>
      <c r="X193" s="209"/>
      <c r="Y193" s="208"/>
      <c r="Z193" s="209"/>
      <c r="AA193" s="209"/>
      <c r="AB193" s="209"/>
      <c r="AD193" s="210"/>
      <c r="AE193" s="211"/>
      <c r="AF193" s="210"/>
      <c r="AG193" s="210"/>
      <c r="AH193" s="210"/>
      <c r="AI193" s="210"/>
      <c r="AJ193" s="210"/>
      <c r="AK193" s="210"/>
      <c r="AL193" s="210"/>
      <c r="AM193" s="210"/>
      <c r="AN193" s="210"/>
      <c r="AO193" s="210"/>
      <c r="AP193" s="210"/>
    </row>
    <row r="194" ht="25.5" customHeight="1">
      <c r="A194" s="27">
        <f t="shared" si="3"/>
        <v>193</v>
      </c>
      <c r="B194" s="27" t="s">
        <v>61</v>
      </c>
      <c r="C194" s="27" t="s">
        <v>63</v>
      </c>
      <c r="D194" s="27" t="s">
        <v>64</v>
      </c>
      <c r="E194" s="28" t="str">
        <f t="shared" si="36"/>
        <v/>
      </c>
      <c r="F194" s="30" t="s">
        <v>35</v>
      </c>
      <c r="G194" s="30" t="s">
        <v>36</v>
      </c>
      <c r="H194" s="27" t="s">
        <v>358</v>
      </c>
      <c r="I194" s="27" t="s">
        <v>286</v>
      </c>
      <c r="J194" s="121" t="s">
        <v>1031</v>
      </c>
      <c r="K194" s="121"/>
      <c r="L194" s="121" t="str">
        <f t="shared" si="37"/>
        <v>Carrera 41 con 7 - 45, Los Cambulos, Cali</v>
      </c>
      <c r="M194" s="121" t="s">
        <v>231</v>
      </c>
      <c r="N194" s="121" t="s">
        <v>233</v>
      </c>
      <c r="O194" s="27"/>
      <c r="P194" s="27"/>
      <c r="Q194" s="27" t="s">
        <v>81</v>
      </c>
      <c r="R194" s="30"/>
      <c r="S194" s="30"/>
      <c r="T194" s="30">
        <v>1.0</v>
      </c>
      <c r="U194" s="209"/>
      <c r="V194" s="209"/>
      <c r="W194" s="209"/>
      <c r="X194" s="209"/>
      <c r="Y194" s="208"/>
      <c r="Z194" s="209"/>
      <c r="AA194" s="209"/>
      <c r="AB194" s="209"/>
      <c r="AD194" s="210"/>
      <c r="AE194" s="211"/>
      <c r="AF194" s="210"/>
      <c r="AG194" s="210"/>
      <c r="AH194" s="210"/>
      <c r="AI194" s="210"/>
      <c r="AJ194" s="210"/>
      <c r="AK194" s="210"/>
      <c r="AL194" s="210"/>
      <c r="AM194" s="210"/>
      <c r="AN194" s="210"/>
      <c r="AO194" s="210"/>
      <c r="AP194" s="210"/>
    </row>
    <row r="195" ht="25.5" customHeight="1">
      <c r="A195" s="27">
        <f t="shared" si="3"/>
        <v>194</v>
      </c>
      <c r="B195" s="27" t="s">
        <v>61</v>
      </c>
      <c r="C195" s="27" t="s">
        <v>63</v>
      </c>
      <c r="D195" s="27" t="s">
        <v>64</v>
      </c>
      <c r="E195" s="199" t="str">
        <f t="shared" si="36"/>
        <v>SI</v>
      </c>
      <c r="F195" s="260" t="s">
        <v>60</v>
      </c>
      <c r="G195" s="260" t="s">
        <v>36</v>
      </c>
      <c r="H195" s="27" t="s">
        <v>167</v>
      </c>
      <c r="I195" s="27" t="s">
        <v>286</v>
      </c>
      <c r="J195" s="121" t="s">
        <v>1032</v>
      </c>
      <c r="K195" s="121"/>
      <c r="L195" s="121" t="str">
        <f t="shared" si="37"/>
        <v>Calle 10 con carera 71, Capri, Cali</v>
      </c>
      <c r="M195" s="121" t="s">
        <v>231</v>
      </c>
      <c r="N195" s="121" t="s">
        <v>233</v>
      </c>
      <c r="O195" s="27"/>
      <c r="P195" s="27"/>
      <c r="Q195" s="27" t="s">
        <v>81</v>
      </c>
      <c r="R195" s="30"/>
      <c r="S195" s="30"/>
      <c r="T195" s="30">
        <v>1.0</v>
      </c>
      <c r="U195" s="121">
        <v>50.0</v>
      </c>
      <c r="V195" s="121">
        <v>5.0</v>
      </c>
      <c r="W195" s="121">
        <v>4.0</v>
      </c>
      <c r="X195" s="209"/>
      <c r="Y195" s="208" t="s">
        <v>1033</v>
      </c>
      <c r="Z195" s="121" t="s">
        <v>1034</v>
      </c>
      <c r="AA195" s="121"/>
      <c r="AB195" s="121" t="s">
        <v>1035</v>
      </c>
      <c r="AD195" s="210"/>
      <c r="AE195" s="211"/>
      <c r="AF195" s="210"/>
      <c r="AG195" s="210"/>
      <c r="AH195" s="210"/>
      <c r="AI195" s="210"/>
      <c r="AJ195" s="210"/>
      <c r="AK195" s="210"/>
      <c r="AL195" s="210"/>
      <c r="AM195" s="210"/>
      <c r="AN195" s="210"/>
      <c r="AO195" s="210"/>
      <c r="AP195" s="210"/>
    </row>
    <row r="196" ht="25.5" customHeight="1">
      <c r="A196" s="27">
        <f t="shared" si="3"/>
        <v>195</v>
      </c>
      <c r="B196" s="27" t="s">
        <v>61</v>
      </c>
      <c r="C196" s="27" t="s">
        <v>63</v>
      </c>
      <c r="D196" s="27" t="s">
        <v>64</v>
      </c>
      <c r="E196" s="199" t="str">
        <f t="shared" si="36"/>
        <v/>
      </c>
      <c r="F196" s="30" t="s">
        <v>110</v>
      </c>
      <c r="G196" s="30" t="s">
        <v>176</v>
      </c>
      <c r="H196" s="27" t="s">
        <v>464</v>
      </c>
      <c r="I196" s="27" t="s">
        <v>38</v>
      </c>
      <c r="J196" s="121" t="s">
        <v>1036</v>
      </c>
      <c r="K196" s="121"/>
      <c r="L196" s="121" t="str">
        <f t="shared" si="37"/>
        <v>Calle 21 #2-05, San Nicolas, Cali</v>
      </c>
      <c r="M196" s="121" t="s">
        <v>231</v>
      </c>
      <c r="N196" s="121" t="s">
        <v>233</v>
      </c>
      <c r="O196" s="27"/>
      <c r="P196" s="27"/>
      <c r="Q196" s="27" t="s">
        <v>81</v>
      </c>
      <c r="R196" s="30"/>
      <c r="S196" s="30"/>
      <c r="T196" s="30">
        <v>1.0</v>
      </c>
      <c r="U196" s="209"/>
      <c r="V196" s="209"/>
      <c r="W196" s="209"/>
      <c r="X196" s="209"/>
      <c r="Y196" s="208"/>
      <c r="Z196" s="209"/>
      <c r="AA196" s="209"/>
      <c r="AB196" s="209"/>
      <c r="AD196" s="210"/>
      <c r="AE196" s="211"/>
      <c r="AF196" s="210"/>
      <c r="AG196" s="210"/>
      <c r="AH196" s="210"/>
      <c r="AI196" s="210"/>
      <c r="AJ196" s="210"/>
      <c r="AK196" s="210"/>
      <c r="AL196" s="210"/>
      <c r="AM196" s="210"/>
      <c r="AN196" s="210"/>
      <c r="AO196" s="210"/>
      <c r="AP196" s="210"/>
    </row>
    <row r="197" ht="25.5" customHeight="1">
      <c r="A197" s="27">
        <f t="shared" si="3"/>
        <v>196</v>
      </c>
      <c r="B197" s="27" t="s">
        <v>61</v>
      </c>
      <c r="C197" s="27" t="s">
        <v>63</v>
      </c>
      <c r="D197" s="27" t="s">
        <v>64</v>
      </c>
      <c r="E197" s="28" t="str">
        <f t="shared" si="36"/>
        <v/>
      </c>
      <c r="F197" s="30" t="s">
        <v>35</v>
      </c>
      <c r="G197" s="30" t="s">
        <v>36</v>
      </c>
      <c r="H197" s="27" t="s">
        <v>255</v>
      </c>
      <c r="I197" s="27" t="s">
        <v>286</v>
      </c>
      <c r="J197" s="121" t="s">
        <v>1037</v>
      </c>
      <c r="K197" s="121"/>
      <c r="L197" s="121" t="str">
        <f t="shared" si="37"/>
        <v>Calle 3d con 67, El Refugio, Cali</v>
      </c>
      <c r="M197" s="121" t="s">
        <v>231</v>
      </c>
      <c r="N197" s="121" t="s">
        <v>233</v>
      </c>
      <c r="O197" s="27"/>
      <c r="P197" s="27"/>
      <c r="Q197" s="27" t="s">
        <v>81</v>
      </c>
      <c r="R197" s="30"/>
      <c r="S197" s="30"/>
      <c r="T197" s="30">
        <v>1.0</v>
      </c>
      <c r="U197" s="209"/>
      <c r="V197" s="209"/>
      <c r="W197" s="209"/>
      <c r="X197" s="209"/>
      <c r="Y197" s="208"/>
      <c r="Z197" s="209"/>
      <c r="AA197" s="209"/>
      <c r="AB197" s="209"/>
      <c r="AD197" s="210"/>
      <c r="AE197" s="211"/>
      <c r="AF197" s="210"/>
      <c r="AG197" s="210"/>
      <c r="AH197" s="210"/>
      <c r="AI197" s="210"/>
      <c r="AJ197" s="210"/>
      <c r="AK197" s="210"/>
      <c r="AL197" s="210"/>
      <c r="AM197" s="210"/>
      <c r="AN197" s="210"/>
      <c r="AO197" s="210"/>
      <c r="AP197" s="210"/>
    </row>
    <row r="198" ht="25.5" customHeight="1">
      <c r="A198" s="27">
        <f t="shared" si="3"/>
        <v>197</v>
      </c>
      <c r="B198" s="27" t="s">
        <v>61</v>
      </c>
      <c r="C198" s="27" t="s">
        <v>63</v>
      </c>
      <c r="D198" s="27" t="s">
        <v>64</v>
      </c>
      <c r="E198" s="28" t="str">
        <f t="shared" si="36"/>
        <v/>
      </c>
      <c r="F198" s="30" t="s">
        <v>60</v>
      </c>
      <c r="G198" s="30" t="s">
        <v>36</v>
      </c>
      <c r="H198" s="27" t="s">
        <v>159</v>
      </c>
      <c r="I198" s="27" t="s">
        <v>1038</v>
      </c>
      <c r="J198" s="121" t="s">
        <v>1039</v>
      </c>
      <c r="K198" s="121" t="s">
        <v>1040</v>
      </c>
      <c r="L198" s="121" t="str">
        <f t="shared" si="37"/>
        <v>Carrera 59a # 7 35, Camino Real, Cali</v>
      </c>
      <c r="M198" s="121" t="s">
        <v>231</v>
      </c>
      <c r="N198" s="121" t="s">
        <v>233</v>
      </c>
      <c r="O198" s="27"/>
      <c r="P198" s="27"/>
      <c r="Q198" s="27" t="s">
        <v>81</v>
      </c>
      <c r="R198" s="30"/>
      <c r="S198" s="30"/>
      <c r="T198" s="30">
        <v>1.0</v>
      </c>
      <c r="U198" s="209"/>
      <c r="V198" s="209"/>
      <c r="W198" s="209"/>
      <c r="X198" s="209"/>
      <c r="Y198" s="208"/>
      <c r="Z198" s="209"/>
      <c r="AA198" s="209"/>
      <c r="AB198" s="209"/>
      <c r="AD198" s="210"/>
      <c r="AE198" s="211"/>
      <c r="AF198" s="210"/>
      <c r="AG198" s="210"/>
      <c r="AH198" s="210"/>
      <c r="AI198" s="210"/>
      <c r="AJ198" s="210"/>
      <c r="AK198" s="210"/>
      <c r="AL198" s="210"/>
      <c r="AM198" s="210"/>
      <c r="AN198" s="210"/>
      <c r="AO198" s="210"/>
      <c r="AP198" s="210"/>
    </row>
    <row r="199" ht="25.5" customHeight="1">
      <c r="A199" s="27">
        <f t="shared" si="3"/>
        <v>198</v>
      </c>
      <c r="B199" s="27" t="s">
        <v>61</v>
      </c>
      <c r="C199" s="27" t="s">
        <v>63</v>
      </c>
      <c r="D199" s="27" t="s">
        <v>64</v>
      </c>
      <c r="E199" s="28" t="str">
        <f t="shared" si="36"/>
        <v/>
      </c>
      <c r="F199" s="30" t="s">
        <v>110</v>
      </c>
      <c r="G199" s="30" t="s">
        <v>176</v>
      </c>
      <c r="H199" s="27" t="s">
        <v>1041</v>
      </c>
      <c r="I199" s="27" t="s">
        <v>286</v>
      </c>
      <c r="J199" s="121" t="s">
        <v>1042</v>
      </c>
      <c r="K199" s="121"/>
      <c r="L199" s="121" t="str">
        <f t="shared" si="37"/>
        <v>Calle 12 # 12 - 18, San bosco, Cali</v>
      </c>
      <c r="M199" s="121" t="s">
        <v>231</v>
      </c>
      <c r="N199" s="121" t="s">
        <v>233</v>
      </c>
      <c r="O199" s="27"/>
      <c r="P199" s="27"/>
      <c r="Q199" s="27" t="s">
        <v>81</v>
      </c>
      <c r="R199" s="30"/>
      <c r="S199" s="30"/>
      <c r="T199" s="30">
        <v>1.0</v>
      </c>
      <c r="U199" s="205"/>
      <c r="V199" s="206"/>
      <c r="W199" s="207"/>
      <c r="X199" s="208"/>
      <c r="Y199" s="208"/>
      <c r="Z199" s="121" t="s">
        <v>1043</v>
      </c>
      <c r="AA199" s="121"/>
      <c r="AB199" s="121"/>
      <c r="AD199" s="210"/>
      <c r="AE199" s="211"/>
      <c r="AF199" s="210"/>
      <c r="AG199" s="210"/>
      <c r="AH199" s="210"/>
      <c r="AI199" s="210"/>
      <c r="AJ199" s="210"/>
      <c r="AK199" s="210"/>
      <c r="AL199" s="210"/>
      <c r="AM199" s="210"/>
      <c r="AN199" s="210"/>
      <c r="AO199" s="210"/>
      <c r="AP199" s="210"/>
    </row>
    <row r="200" ht="25.5" customHeight="1">
      <c r="A200" s="27">
        <f t="shared" si="3"/>
        <v>199</v>
      </c>
      <c r="B200" s="27" t="s">
        <v>61</v>
      </c>
      <c r="C200" s="27" t="s">
        <v>63</v>
      </c>
      <c r="D200" s="27" t="s">
        <v>64</v>
      </c>
      <c r="E200" s="28" t="str">
        <f t="shared" si="36"/>
        <v/>
      </c>
      <c r="F200" s="30" t="s">
        <v>76</v>
      </c>
      <c r="G200" s="30" t="s">
        <v>350</v>
      </c>
      <c r="H200" s="27" t="s">
        <v>782</v>
      </c>
      <c r="I200" s="27" t="s">
        <v>286</v>
      </c>
      <c r="J200" s="121" t="s">
        <v>1044</v>
      </c>
      <c r="K200" s="121" t="s">
        <v>1045</v>
      </c>
      <c r="L200" s="121" t="str">
        <f t="shared" si="37"/>
        <v>avenida 6 norte 26N -58, San vicente, Cali</v>
      </c>
      <c r="M200" s="121" t="s">
        <v>231</v>
      </c>
      <c r="N200" s="121" t="s">
        <v>233</v>
      </c>
      <c r="O200" s="27"/>
      <c r="P200" s="27"/>
      <c r="Q200" s="27" t="s">
        <v>81</v>
      </c>
      <c r="R200" s="30"/>
      <c r="S200" s="30"/>
      <c r="T200" s="30">
        <v>1.0</v>
      </c>
      <c r="U200" s="209"/>
      <c r="V200" s="209"/>
      <c r="W200" s="209"/>
      <c r="X200" s="209"/>
      <c r="Y200" s="208"/>
      <c r="Z200" s="209"/>
      <c r="AA200" s="209"/>
      <c r="AB200" s="209"/>
      <c r="AD200" s="210"/>
      <c r="AE200" s="211"/>
      <c r="AF200" s="210"/>
      <c r="AG200" s="210"/>
      <c r="AH200" s="210"/>
      <c r="AI200" s="210"/>
      <c r="AJ200" s="210"/>
      <c r="AK200" s="210"/>
      <c r="AL200" s="210"/>
      <c r="AM200" s="210"/>
      <c r="AN200" s="210"/>
      <c r="AO200" s="210"/>
      <c r="AP200" s="210"/>
    </row>
    <row r="201" ht="25.5" customHeight="1">
      <c r="A201" s="27">
        <f t="shared" si="3"/>
        <v>200</v>
      </c>
      <c r="B201" s="27" t="s">
        <v>61</v>
      </c>
      <c r="C201" s="27" t="s">
        <v>63</v>
      </c>
      <c r="D201" s="27" t="s">
        <v>64</v>
      </c>
      <c r="E201" s="199" t="str">
        <f t="shared" si="36"/>
        <v/>
      </c>
      <c r="F201" s="11" t="s">
        <v>80</v>
      </c>
      <c r="G201" s="259" t="s">
        <v>426</v>
      </c>
      <c r="H201" s="27" t="s">
        <v>380</v>
      </c>
      <c r="I201" s="27" t="s">
        <v>286</v>
      </c>
      <c r="J201" s="121" t="s">
        <v>1046</v>
      </c>
      <c r="K201" s="121" t="s">
        <v>1047</v>
      </c>
      <c r="L201" s="121" t="str">
        <f t="shared" si="37"/>
        <v>cra 26g3 #73-04, Marroquin 2, Cali</v>
      </c>
      <c r="M201" s="142" t="s">
        <v>1048</v>
      </c>
      <c r="N201" s="142" t="s">
        <v>233</v>
      </c>
      <c r="O201" s="27"/>
      <c r="P201" s="27"/>
      <c r="Q201" s="27" t="s">
        <v>81</v>
      </c>
      <c r="R201" s="30"/>
      <c r="S201" s="30"/>
      <c r="T201" s="30">
        <v>1.0</v>
      </c>
      <c r="U201" s="209"/>
      <c r="V201" s="209"/>
      <c r="W201" s="209"/>
      <c r="X201" s="209"/>
      <c r="Y201" s="227"/>
      <c r="Z201" s="121"/>
      <c r="AA201" s="121"/>
      <c r="AB201" s="121"/>
      <c r="AD201" s="210"/>
      <c r="AE201" s="211"/>
      <c r="AF201" s="210"/>
      <c r="AG201" s="210"/>
      <c r="AH201" s="210"/>
      <c r="AI201" s="210"/>
      <c r="AJ201" s="210"/>
      <c r="AK201" s="210"/>
      <c r="AL201" s="210"/>
      <c r="AM201" s="210"/>
      <c r="AN201" s="210"/>
      <c r="AO201" s="210"/>
      <c r="AP201" s="210"/>
    </row>
    <row r="202" ht="25.5" customHeight="1">
      <c r="A202" s="27">
        <f t="shared" si="3"/>
        <v>201</v>
      </c>
      <c r="B202" s="27" t="s">
        <v>61</v>
      </c>
      <c r="C202" s="27" t="s">
        <v>63</v>
      </c>
      <c r="D202" s="27" t="s">
        <v>64</v>
      </c>
      <c r="E202" s="28" t="str">
        <f t="shared" si="36"/>
        <v>SI</v>
      </c>
      <c r="F202" s="30" t="s">
        <v>35</v>
      </c>
      <c r="G202" s="30" t="s">
        <v>36</v>
      </c>
      <c r="H202" s="27" t="s">
        <v>158</v>
      </c>
      <c r="I202" s="27" t="s">
        <v>38</v>
      </c>
      <c r="J202" s="121" t="s">
        <v>1049</v>
      </c>
      <c r="K202" s="121"/>
      <c r="L202" s="121" t="str">
        <f t="shared" si="37"/>
        <v>Calle 3 # 55 b - 72, Cuarto de Legua, Cali</v>
      </c>
      <c r="M202" s="154" t="s">
        <v>1050</v>
      </c>
      <c r="N202" s="154" t="s">
        <v>233</v>
      </c>
      <c r="O202" s="27"/>
      <c r="P202" s="27"/>
      <c r="Q202" s="27" t="s">
        <v>1051</v>
      </c>
      <c r="R202" s="30"/>
      <c r="S202" s="30"/>
      <c r="T202" s="30">
        <v>1.0</v>
      </c>
      <c r="U202" s="121">
        <v>18.0</v>
      </c>
      <c r="V202" s="209"/>
      <c r="W202" s="209"/>
      <c r="X202" s="209"/>
      <c r="Y202" s="227" t="s">
        <v>1052</v>
      </c>
      <c r="Z202" s="121" t="s">
        <v>1053</v>
      </c>
      <c r="AA202" s="121"/>
      <c r="AB202" s="121" t="s">
        <v>1054</v>
      </c>
      <c r="AD202" s="210"/>
      <c r="AE202" s="211"/>
      <c r="AF202" s="210"/>
      <c r="AG202" s="210"/>
      <c r="AH202" s="210"/>
      <c r="AI202" s="210"/>
      <c r="AJ202" s="210"/>
      <c r="AK202" s="210"/>
      <c r="AL202" s="210"/>
      <c r="AM202" s="210"/>
      <c r="AN202" s="210"/>
      <c r="AO202" s="210"/>
      <c r="AP202" s="210"/>
    </row>
    <row r="203" ht="25.5" customHeight="1">
      <c r="A203" s="27">
        <f t="shared" si="3"/>
        <v>202</v>
      </c>
      <c r="B203" s="27" t="s">
        <v>61</v>
      </c>
      <c r="C203" s="27" t="s">
        <v>63</v>
      </c>
      <c r="D203" s="27" t="s">
        <v>64</v>
      </c>
      <c r="E203" s="28" t="str">
        <f t="shared" si="36"/>
        <v/>
      </c>
      <c r="F203" s="30" t="s">
        <v>35</v>
      </c>
      <c r="G203" s="30" t="s">
        <v>36</v>
      </c>
      <c r="H203" s="27" t="s">
        <v>369</v>
      </c>
      <c r="I203" s="27" t="s">
        <v>286</v>
      </c>
      <c r="J203" s="121" t="s">
        <v>1055</v>
      </c>
      <c r="K203" s="121"/>
      <c r="L203" s="121" t="str">
        <f t="shared" si="37"/>
        <v>Carrera 42 con 5, Tequendama, Cali</v>
      </c>
      <c r="M203" s="121" t="s">
        <v>231</v>
      </c>
      <c r="N203" s="121" t="s">
        <v>233</v>
      </c>
      <c r="O203" s="27"/>
      <c r="P203" s="27"/>
      <c r="Q203" s="27" t="s">
        <v>81</v>
      </c>
      <c r="R203" s="30"/>
      <c r="S203" s="30"/>
      <c r="T203" s="30">
        <v>1.0</v>
      </c>
      <c r="U203" s="209"/>
      <c r="V203" s="209"/>
      <c r="W203" s="209"/>
      <c r="X203" s="209"/>
      <c r="Y203" s="208"/>
      <c r="Z203" s="209"/>
      <c r="AA203" s="209"/>
      <c r="AB203" s="209"/>
      <c r="AD203" s="210"/>
      <c r="AE203" s="211"/>
      <c r="AF203" s="210"/>
      <c r="AG203" s="210"/>
      <c r="AH203" s="210"/>
      <c r="AI203" s="210"/>
      <c r="AJ203" s="210"/>
      <c r="AK203" s="210"/>
      <c r="AL203" s="210"/>
      <c r="AM203" s="210"/>
      <c r="AN203" s="210"/>
      <c r="AO203" s="210"/>
      <c r="AP203" s="210"/>
    </row>
    <row r="204" ht="25.5" customHeight="1">
      <c r="A204" s="27">
        <f t="shared" si="3"/>
        <v>203</v>
      </c>
      <c r="B204" s="27" t="s">
        <v>61</v>
      </c>
      <c r="C204" s="27" t="s">
        <v>63</v>
      </c>
      <c r="D204" s="27" t="s">
        <v>64</v>
      </c>
      <c r="E204" s="28" t="str">
        <f t="shared" si="36"/>
        <v/>
      </c>
      <c r="F204" s="30" t="s">
        <v>35</v>
      </c>
      <c r="G204" s="30" t="s">
        <v>36</v>
      </c>
      <c r="H204" s="27" t="s">
        <v>278</v>
      </c>
      <c r="I204" s="27" t="s">
        <v>38</v>
      </c>
      <c r="J204" s="121" t="s">
        <v>1056</v>
      </c>
      <c r="K204" s="121" t="s">
        <v>1057</v>
      </c>
      <c r="L204" s="121" t="str">
        <f t="shared" si="37"/>
        <v>Carrera 35 #3A-65, San Fernando, Cali</v>
      </c>
      <c r="M204" s="121" t="s">
        <v>231</v>
      </c>
      <c r="N204" s="121" t="s">
        <v>233</v>
      </c>
      <c r="O204" s="27"/>
      <c r="P204" s="27"/>
      <c r="Q204" s="27" t="s">
        <v>81</v>
      </c>
      <c r="R204" s="30"/>
      <c r="S204" s="30"/>
      <c r="T204" s="30">
        <v>1.0</v>
      </c>
      <c r="U204" s="209"/>
      <c r="V204" s="209"/>
      <c r="W204" s="209"/>
      <c r="X204" s="209"/>
      <c r="Y204" s="208"/>
      <c r="Z204" s="121" t="s">
        <v>1058</v>
      </c>
      <c r="AA204" s="121"/>
      <c r="AB204" s="121"/>
      <c r="AD204" s="210"/>
      <c r="AE204" s="211"/>
      <c r="AF204" s="210"/>
      <c r="AG204" s="210"/>
      <c r="AH204" s="210"/>
      <c r="AI204" s="210"/>
      <c r="AJ204" s="210"/>
      <c r="AK204" s="210"/>
      <c r="AL204" s="210"/>
      <c r="AM204" s="210"/>
      <c r="AN204" s="210"/>
      <c r="AO204" s="210"/>
      <c r="AP204" s="210"/>
    </row>
    <row r="205" ht="25.5" customHeight="1">
      <c r="A205" s="27">
        <f t="shared" si="3"/>
        <v>204</v>
      </c>
      <c r="B205" s="27" t="s">
        <v>61</v>
      </c>
      <c r="C205" s="27" t="s">
        <v>63</v>
      </c>
      <c r="D205" s="27" t="s">
        <v>64</v>
      </c>
      <c r="E205" s="28" t="str">
        <f t="shared" si="36"/>
        <v/>
      </c>
      <c r="F205" s="30" t="s">
        <v>76</v>
      </c>
      <c r="G205" s="30" t="s">
        <v>350</v>
      </c>
      <c r="H205" s="27" t="s">
        <v>145</v>
      </c>
      <c r="I205" s="27" t="s">
        <v>286</v>
      </c>
      <c r="J205" s="121" t="s">
        <v>1059</v>
      </c>
      <c r="K205" s="121"/>
      <c r="L205" s="121" t="str">
        <f t="shared" si="37"/>
        <v>calle 74 AN # 2a-03, Brisas de los Alamos, Cali</v>
      </c>
      <c r="M205" s="121" t="s">
        <v>231</v>
      </c>
      <c r="N205" s="121" t="s">
        <v>233</v>
      </c>
      <c r="O205" s="27"/>
      <c r="P205" s="27"/>
      <c r="Q205" s="27" t="s">
        <v>81</v>
      </c>
      <c r="R205" s="30"/>
      <c r="S205" s="30"/>
      <c r="T205" s="30">
        <v>1.0</v>
      </c>
      <c r="U205" s="209"/>
      <c r="V205" s="209"/>
      <c r="W205" s="209"/>
      <c r="X205" s="209"/>
      <c r="Y205" s="208"/>
      <c r="Z205" s="209"/>
      <c r="AA205" s="209"/>
      <c r="AB205" s="209"/>
      <c r="AD205" s="210"/>
      <c r="AE205" s="211"/>
      <c r="AF205" s="210"/>
      <c r="AG205" s="210"/>
      <c r="AH205" s="210"/>
      <c r="AI205" s="210"/>
      <c r="AJ205" s="210"/>
      <c r="AK205" s="210"/>
      <c r="AL205" s="210"/>
      <c r="AM205" s="210"/>
      <c r="AN205" s="210"/>
      <c r="AO205" s="210"/>
      <c r="AP205" s="210"/>
    </row>
    <row r="206" ht="25.5" customHeight="1">
      <c r="A206" s="27">
        <f t="shared" si="3"/>
        <v>205</v>
      </c>
      <c r="B206" s="27" t="s">
        <v>61</v>
      </c>
      <c r="C206" s="27" t="s">
        <v>63</v>
      </c>
      <c r="D206" s="27" t="s">
        <v>64</v>
      </c>
      <c r="E206" s="28" t="str">
        <f t="shared" si="36"/>
        <v/>
      </c>
      <c r="F206" s="30" t="s">
        <v>110</v>
      </c>
      <c r="G206" s="30" t="s">
        <v>176</v>
      </c>
      <c r="H206" s="27" t="s">
        <v>1060</v>
      </c>
      <c r="I206" s="27" t="s">
        <v>38</v>
      </c>
      <c r="J206" s="121" t="s">
        <v>1061</v>
      </c>
      <c r="K206" s="121"/>
      <c r="L206" s="121" t="str">
        <f t="shared" si="37"/>
        <v>Calle 9 #12-65, san bosco, Cali</v>
      </c>
      <c r="M206" s="121" t="s">
        <v>231</v>
      </c>
      <c r="N206" s="121" t="s">
        <v>18</v>
      </c>
      <c r="O206" s="27"/>
      <c r="P206" s="27"/>
      <c r="Q206" s="27" t="s">
        <v>81</v>
      </c>
      <c r="R206" s="30"/>
      <c r="S206" s="30">
        <v>1.0</v>
      </c>
      <c r="T206" s="30"/>
      <c r="U206" s="205"/>
      <c r="V206" s="206"/>
      <c r="W206" s="207"/>
      <c r="X206" s="208"/>
      <c r="Y206" s="208"/>
      <c r="Z206" s="209"/>
      <c r="AA206" s="209"/>
      <c r="AB206" s="209"/>
      <c r="AD206" s="210"/>
      <c r="AE206" s="211"/>
      <c r="AF206" s="210"/>
      <c r="AG206" s="210"/>
      <c r="AH206" s="210"/>
      <c r="AI206" s="210"/>
      <c r="AJ206" s="210"/>
      <c r="AK206" s="210"/>
      <c r="AL206" s="210"/>
      <c r="AM206" s="210"/>
      <c r="AN206" s="210"/>
      <c r="AO206" s="210"/>
      <c r="AP206" s="210"/>
    </row>
    <row r="207" ht="25.5" customHeight="1">
      <c r="A207" s="27">
        <f t="shared" si="3"/>
        <v>206</v>
      </c>
      <c r="B207" s="27" t="s">
        <v>61</v>
      </c>
      <c r="C207" s="27" t="s">
        <v>63</v>
      </c>
      <c r="D207" s="27" t="s">
        <v>64</v>
      </c>
      <c r="E207" s="28" t="str">
        <f t="shared" si="36"/>
        <v>SI</v>
      </c>
      <c r="F207" s="30" t="s">
        <v>91</v>
      </c>
      <c r="G207" s="30" t="s">
        <v>426</v>
      </c>
      <c r="H207" s="27" t="s">
        <v>254</v>
      </c>
      <c r="I207" s="27" t="s">
        <v>286</v>
      </c>
      <c r="J207" s="121" t="s">
        <v>1062</v>
      </c>
      <c r="K207" s="121" t="s">
        <v>1063</v>
      </c>
      <c r="L207" s="121" t="str">
        <f t="shared" si="37"/>
        <v>Carrera 28 d # 72w -14, El poblado II, Cali</v>
      </c>
      <c r="M207" s="121" t="s">
        <v>231</v>
      </c>
      <c r="N207" s="121" t="s">
        <v>233</v>
      </c>
      <c r="O207" s="27"/>
      <c r="P207" s="27"/>
      <c r="Q207" s="27" t="s">
        <v>1064</v>
      </c>
      <c r="R207" s="30">
        <v>1.0</v>
      </c>
      <c r="S207" s="30"/>
      <c r="T207" s="30">
        <v>1.0</v>
      </c>
      <c r="U207" s="121" t="s">
        <v>83</v>
      </c>
      <c r="V207" s="121">
        <v>3.0</v>
      </c>
      <c r="W207" s="121">
        <v>2.0</v>
      </c>
      <c r="X207" s="209"/>
      <c r="Y207" s="261" t="s">
        <v>1065</v>
      </c>
      <c r="Z207" s="121" t="s">
        <v>1066</v>
      </c>
      <c r="AA207" s="121"/>
      <c r="AB207" s="121" t="s">
        <v>1035</v>
      </c>
      <c r="AD207" s="210"/>
      <c r="AE207" s="211"/>
      <c r="AF207" s="210"/>
      <c r="AG207" s="210"/>
      <c r="AH207" s="210"/>
      <c r="AI207" s="210"/>
      <c r="AJ207" s="210"/>
      <c r="AK207" s="210"/>
      <c r="AL207" s="210"/>
      <c r="AM207" s="210"/>
      <c r="AN207" s="210"/>
      <c r="AO207" s="210"/>
      <c r="AP207" s="210"/>
    </row>
    <row r="208" ht="25.5" customHeight="1">
      <c r="A208" s="27">
        <f t="shared" si="3"/>
        <v>207</v>
      </c>
      <c r="B208" s="27" t="s">
        <v>61</v>
      </c>
      <c r="C208" s="27" t="s">
        <v>63</v>
      </c>
      <c r="D208" s="27" t="s">
        <v>64</v>
      </c>
      <c r="E208" s="28" t="str">
        <f t="shared" si="36"/>
        <v/>
      </c>
      <c r="F208" s="30" t="s">
        <v>59</v>
      </c>
      <c r="G208" s="30" t="s">
        <v>939</v>
      </c>
      <c r="H208" s="27" t="s">
        <v>491</v>
      </c>
      <c r="I208" s="27" t="s">
        <v>286</v>
      </c>
      <c r="J208" s="121" t="s">
        <v>1067</v>
      </c>
      <c r="K208" s="121" t="s">
        <v>1068</v>
      </c>
      <c r="L208" s="121" t="str">
        <f t="shared" si="37"/>
        <v>Av 5 Oeste #26-21, Terron Colorado, Cali</v>
      </c>
      <c r="M208" s="121" t="s">
        <v>231</v>
      </c>
      <c r="N208" s="121" t="s">
        <v>233</v>
      </c>
      <c r="O208" s="27"/>
      <c r="P208" s="27"/>
      <c r="Q208" s="27" t="s">
        <v>81</v>
      </c>
      <c r="R208" s="30"/>
      <c r="S208" s="30"/>
      <c r="T208" s="30">
        <v>1.0</v>
      </c>
      <c r="U208" s="209"/>
      <c r="V208" s="209"/>
      <c r="W208" s="209"/>
      <c r="X208" s="209"/>
      <c r="Y208" s="208"/>
      <c r="Z208" s="121" t="s">
        <v>1069</v>
      </c>
      <c r="AA208" s="121"/>
      <c r="AB208" s="121"/>
      <c r="AD208" s="210"/>
      <c r="AE208" s="211"/>
      <c r="AF208" s="210"/>
      <c r="AG208" s="210"/>
      <c r="AH208" s="210"/>
      <c r="AI208" s="210"/>
      <c r="AJ208" s="210"/>
      <c r="AK208" s="210"/>
      <c r="AL208" s="210"/>
      <c r="AM208" s="210"/>
      <c r="AN208" s="210"/>
      <c r="AO208" s="210"/>
      <c r="AP208" s="210"/>
    </row>
    <row r="209" ht="25.5" customHeight="1">
      <c r="A209" s="27">
        <f t="shared" si="3"/>
        <v>208</v>
      </c>
      <c r="B209" s="27" t="s">
        <v>61</v>
      </c>
      <c r="C209" s="27" t="s">
        <v>63</v>
      </c>
      <c r="D209" s="27" t="s">
        <v>64</v>
      </c>
      <c r="E209" s="28" t="str">
        <f t="shared" si="36"/>
        <v/>
      </c>
      <c r="F209" s="30" t="s">
        <v>76</v>
      </c>
      <c r="G209" s="30" t="s">
        <v>350</v>
      </c>
      <c r="H209" s="27" t="s">
        <v>419</v>
      </c>
      <c r="I209" s="27" t="s">
        <v>286</v>
      </c>
      <c r="J209" s="121" t="s">
        <v>1070</v>
      </c>
      <c r="K209" s="121" t="s">
        <v>1071</v>
      </c>
      <c r="L209" s="121" t="str">
        <f t="shared" si="37"/>
        <v>Calle 58 Norte #5BN75, Patios de la Fora, Cali</v>
      </c>
      <c r="M209" s="121" t="s">
        <v>231</v>
      </c>
      <c r="N209" s="121" t="s">
        <v>233</v>
      </c>
      <c r="O209" s="27"/>
      <c r="P209" s="27"/>
      <c r="Q209" s="27" t="s">
        <v>81</v>
      </c>
      <c r="R209" s="30"/>
      <c r="S209" s="30"/>
      <c r="T209" s="30">
        <v>1.0</v>
      </c>
      <c r="U209" s="209"/>
      <c r="V209" s="209"/>
      <c r="W209" s="209"/>
      <c r="X209" s="209"/>
      <c r="Y209" s="208"/>
      <c r="Z209" s="121" t="s">
        <v>1072</v>
      </c>
      <c r="AA209" s="121"/>
      <c r="AB209" s="121"/>
      <c r="AD209" s="210"/>
      <c r="AE209" s="211"/>
      <c r="AF209" s="210"/>
      <c r="AG209" s="210"/>
      <c r="AH209" s="210"/>
      <c r="AI209" s="210"/>
      <c r="AJ209" s="210"/>
      <c r="AK209" s="210"/>
      <c r="AL209" s="210"/>
      <c r="AM209" s="210"/>
      <c r="AN209" s="210"/>
      <c r="AO209" s="210"/>
      <c r="AP209" s="210"/>
    </row>
    <row r="210" ht="25.5" customHeight="1">
      <c r="A210" s="27">
        <f t="shared" si="3"/>
        <v>209</v>
      </c>
      <c r="B210" s="27" t="s">
        <v>61</v>
      </c>
      <c r="C210" s="27" t="s">
        <v>63</v>
      </c>
      <c r="D210" s="27" t="s">
        <v>64</v>
      </c>
      <c r="E210" s="28" t="str">
        <f t="shared" si="36"/>
        <v>SI</v>
      </c>
      <c r="F210" s="30" t="s">
        <v>35</v>
      </c>
      <c r="G210" s="30" t="s">
        <v>36</v>
      </c>
      <c r="H210" s="27" t="s">
        <v>358</v>
      </c>
      <c r="I210" s="27" t="s">
        <v>286</v>
      </c>
      <c r="J210" s="121" t="s">
        <v>1073</v>
      </c>
      <c r="K210" s="121"/>
      <c r="L210" s="121" t="str">
        <f t="shared" si="37"/>
        <v>Carrera 41 con 7, Los Cambulos, Cali</v>
      </c>
      <c r="M210" s="121" t="s">
        <v>231</v>
      </c>
      <c r="N210" s="121" t="s">
        <v>233</v>
      </c>
      <c r="O210" s="27"/>
      <c r="P210" s="27"/>
      <c r="Q210" s="27" t="s">
        <v>81</v>
      </c>
      <c r="R210" s="30"/>
      <c r="S210" s="30"/>
      <c r="T210" s="30">
        <v>1.0</v>
      </c>
      <c r="U210" s="121">
        <v>4.0</v>
      </c>
      <c r="V210" s="209"/>
      <c r="W210" s="209"/>
      <c r="X210" s="209"/>
      <c r="Y210" s="208" t="s">
        <v>1074</v>
      </c>
      <c r="Z210" s="121" t="s">
        <v>1075</v>
      </c>
      <c r="AA210" s="121"/>
      <c r="AB210" s="121"/>
      <c r="AD210" s="210"/>
      <c r="AE210" s="211"/>
      <c r="AF210" s="210"/>
      <c r="AG210" s="210"/>
      <c r="AH210" s="210"/>
      <c r="AI210" s="210"/>
      <c r="AJ210" s="210"/>
      <c r="AK210" s="210"/>
      <c r="AL210" s="210"/>
      <c r="AM210" s="210"/>
      <c r="AN210" s="210"/>
      <c r="AO210" s="210"/>
      <c r="AP210" s="210"/>
    </row>
    <row r="211" ht="25.5" customHeight="1">
      <c r="A211" s="27">
        <f t="shared" si="3"/>
        <v>210</v>
      </c>
      <c r="B211" s="27" t="s">
        <v>61</v>
      </c>
      <c r="C211" s="27" t="s">
        <v>63</v>
      </c>
      <c r="D211" s="27" t="s">
        <v>64</v>
      </c>
      <c r="E211" s="28" t="str">
        <f t="shared" si="36"/>
        <v>SI</v>
      </c>
      <c r="F211" s="30" t="s">
        <v>35</v>
      </c>
      <c r="G211" s="30" t="s">
        <v>36</v>
      </c>
      <c r="H211" s="27" t="s">
        <v>369</v>
      </c>
      <c r="I211" s="27" t="s">
        <v>286</v>
      </c>
      <c r="J211" s="121" t="s">
        <v>1076</v>
      </c>
      <c r="K211" s="121"/>
      <c r="L211" s="121" t="str">
        <f t="shared" si="37"/>
        <v>Carrera 39 #5d-09, Tequendama, Cali</v>
      </c>
      <c r="M211" s="121" t="s">
        <v>231</v>
      </c>
      <c r="N211" s="121" t="s">
        <v>233</v>
      </c>
      <c r="O211" s="27"/>
      <c r="P211" s="27"/>
      <c r="Q211" s="27" t="s">
        <v>81</v>
      </c>
      <c r="R211" s="30"/>
      <c r="S211" s="30"/>
      <c r="T211" s="30">
        <v>1.0</v>
      </c>
      <c r="U211" s="121">
        <v>13.0</v>
      </c>
      <c r="V211" s="209"/>
      <c r="W211" s="121">
        <v>1.0</v>
      </c>
      <c r="X211" s="209"/>
      <c r="Y211" s="261" t="s">
        <v>1077</v>
      </c>
      <c r="Z211" s="121" t="s">
        <v>1078</v>
      </c>
      <c r="AA211" s="121"/>
      <c r="AB211" s="121"/>
      <c r="AD211" s="210"/>
      <c r="AE211" s="211"/>
      <c r="AF211" s="210"/>
      <c r="AG211" s="210"/>
      <c r="AH211" s="210"/>
      <c r="AI211" s="210"/>
      <c r="AJ211" s="210"/>
      <c r="AK211" s="210"/>
      <c r="AL211" s="210"/>
      <c r="AM211" s="210"/>
      <c r="AN211" s="210"/>
      <c r="AO211" s="210"/>
      <c r="AP211" s="210"/>
    </row>
    <row r="212" ht="25.5" customHeight="1">
      <c r="A212" s="27">
        <f t="shared" si="3"/>
        <v>211</v>
      </c>
      <c r="B212" s="27" t="s">
        <v>61</v>
      </c>
      <c r="C212" s="27" t="s">
        <v>63</v>
      </c>
      <c r="D212" s="27" t="s">
        <v>64</v>
      </c>
      <c r="E212" s="28" t="str">
        <f t="shared" si="36"/>
        <v/>
      </c>
      <c r="F212" s="30" t="s">
        <v>87</v>
      </c>
      <c r="G212" s="30" t="s">
        <v>36</v>
      </c>
      <c r="H212" s="27" t="s">
        <v>361</v>
      </c>
      <c r="I212" s="27" t="s">
        <v>286</v>
      </c>
      <c r="J212" s="121" t="s">
        <v>1079</v>
      </c>
      <c r="K212" s="121" t="s">
        <v>361</v>
      </c>
      <c r="L212" s="121" t="str">
        <f t="shared" si="37"/>
        <v>Carrera 69 # 1-74, Los Chorros, Cali</v>
      </c>
      <c r="M212" s="142" t="s">
        <v>1080</v>
      </c>
      <c r="N212" s="142" t="s">
        <v>233</v>
      </c>
      <c r="O212" s="27"/>
      <c r="P212" s="27"/>
      <c r="Q212" s="27" t="s">
        <v>81</v>
      </c>
      <c r="R212" s="30"/>
      <c r="S212" s="30"/>
      <c r="T212" s="30">
        <v>1.0</v>
      </c>
      <c r="U212" s="209"/>
      <c r="V212" s="209"/>
      <c r="W212" s="209"/>
      <c r="X212" s="209"/>
      <c r="Y212" s="208"/>
      <c r="Z212" s="121" t="s">
        <v>1081</v>
      </c>
      <c r="AA212" s="121"/>
      <c r="AB212" s="121"/>
      <c r="AD212" s="210"/>
      <c r="AE212" s="211"/>
      <c r="AF212" s="210"/>
      <c r="AG212" s="210"/>
      <c r="AH212" s="210"/>
      <c r="AI212" s="210"/>
      <c r="AJ212" s="210"/>
      <c r="AK212" s="210"/>
      <c r="AL212" s="210"/>
      <c r="AM212" s="210"/>
      <c r="AN212" s="210"/>
      <c r="AO212" s="210"/>
      <c r="AP212" s="210"/>
    </row>
    <row r="213" ht="25.5" customHeight="1">
      <c r="A213" s="27">
        <f t="shared" si="3"/>
        <v>212</v>
      </c>
      <c r="B213" s="27" t="s">
        <v>61</v>
      </c>
      <c r="C213" s="27" t="s">
        <v>63</v>
      </c>
      <c r="D213" s="27" t="s">
        <v>64</v>
      </c>
      <c r="E213" s="28" t="str">
        <f t="shared" si="36"/>
        <v/>
      </c>
      <c r="F213" s="30" t="s">
        <v>35</v>
      </c>
      <c r="G213" s="30" t="s">
        <v>36</v>
      </c>
      <c r="H213" s="27" t="s">
        <v>37</v>
      </c>
      <c r="I213" s="27" t="s">
        <v>286</v>
      </c>
      <c r="J213" s="121" t="s">
        <v>1082</v>
      </c>
      <c r="K213" s="121"/>
      <c r="L213" s="121" t="str">
        <f t="shared" si="37"/>
        <v>Carrera 62 #2a -97, El Lido, Cali</v>
      </c>
      <c r="M213" s="121" t="s">
        <v>231</v>
      </c>
      <c r="N213" s="121" t="s">
        <v>233</v>
      </c>
      <c r="O213" s="27"/>
      <c r="P213" s="27"/>
      <c r="Q213" s="27" t="s">
        <v>81</v>
      </c>
      <c r="R213" s="30"/>
      <c r="S213" s="30"/>
      <c r="T213" s="30">
        <v>1.0</v>
      </c>
      <c r="U213" s="209"/>
      <c r="V213" s="209"/>
      <c r="W213" s="209"/>
      <c r="X213" s="209"/>
      <c r="Y213" s="208"/>
      <c r="Z213" s="209"/>
      <c r="AA213" s="209"/>
      <c r="AB213" s="209"/>
      <c r="AD213" s="210"/>
      <c r="AE213" s="211"/>
      <c r="AF213" s="210"/>
      <c r="AG213" s="210"/>
      <c r="AH213" s="210"/>
      <c r="AI213" s="210"/>
      <c r="AJ213" s="210"/>
      <c r="AK213" s="210"/>
      <c r="AL213" s="210"/>
      <c r="AM213" s="210"/>
      <c r="AN213" s="210"/>
      <c r="AO213" s="210"/>
      <c r="AP213" s="210"/>
    </row>
    <row r="214" ht="25.5" customHeight="1">
      <c r="A214" s="27">
        <f t="shared" si="3"/>
        <v>213</v>
      </c>
      <c r="B214" s="27" t="s">
        <v>61</v>
      </c>
      <c r="C214" s="27" t="s">
        <v>63</v>
      </c>
      <c r="D214" s="27" t="s">
        <v>64</v>
      </c>
      <c r="E214" s="28" t="str">
        <f t="shared" si="36"/>
        <v>SI</v>
      </c>
      <c r="F214" s="30" t="s">
        <v>35</v>
      </c>
      <c r="G214" s="30" t="s">
        <v>36</v>
      </c>
      <c r="H214" s="27" t="s">
        <v>202</v>
      </c>
      <c r="I214" s="27" t="s">
        <v>286</v>
      </c>
      <c r="J214" s="121" t="s">
        <v>1083</v>
      </c>
      <c r="K214" s="121"/>
      <c r="L214" s="121" t="str">
        <f t="shared" si="37"/>
        <v>Calle 4 con 61 a, Pampalinda, Cali</v>
      </c>
      <c r="M214" s="121" t="s">
        <v>231</v>
      </c>
      <c r="N214" s="121" t="s">
        <v>233</v>
      </c>
      <c r="O214" s="27"/>
      <c r="P214" s="27"/>
      <c r="Q214" s="27" t="s">
        <v>1051</v>
      </c>
      <c r="R214" s="30">
        <v>1.0</v>
      </c>
      <c r="S214" s="30"/>
      <c r="T214" s="30">
        <v>1.0</v>
      </c>
      <c r="U214" s="121" t="s">
        <v>46</v>
      </c>
      <c r="V214" s="209"/>
      <c r="W214" s="121">
        <v>3.0</v>
      </c>
      <c r="X214" s="209"/>
      <c r="Y214" s="208"/>
      <c r="Z214" s="121" t="s">
        <v>1084</v>
      </c>
      <c r="AA214" s="121"/>
      <c r="AB214" s="121"/>
      <c r="AD214" s="210"/>
      <c r="AE214" s="211"/>
      <c r="AF214" s="210"/>
      <c r="AG214" s="210"/>
      <c r="AH214" s="210"/>
      <c r="AI214" s="210"/>
      <c r="AJ214" s="210"/>
      <c r="AK214" s="210"/>
      <c r="AL214" s="210"/>
      <c r="AM214" s="210"/>
      <c r="AN214" s="210"/>
      <c r="AO214" s="210"/>
      <c r="AP214" s="210"/>
    </row>
    <row r="215" ht="25.5" customHeight="1">
      <c r="A215" s="27">
        <f t="shared" si="3"/>
        <v>214</v>
      </c>
      <c r="B215" s="27" t="s">
        <v>61</v>
      </c>
      <c r="C215" s="27" t="s">
        <v>63</v>
      </c>
      <c r="D215" s="27" t="s">
        <v>64</v>
      </c>
      <c r="E215" s="28" t="str">
        <f t="shared" si="36"/>
        <v/>
      </c>
      <c r="F215" s="30" t="s">
        <v>35</v>
      </c>
      <c r="G215" s="30" t="s">
        <v>36</v>
      </c>
      <c r="H215" s="27" t="s">
        <v>369</v>
      </c>
      <c r="I215" s="27" t="s">
        <v>1085</v>
      </c>
      <c r="J215" s="121" t="s">
        <v>1086</v>
      </c>
      <c r="K215" s="121" t="s">
        <v>1087</v>
      </c>
      <c r="L215" s="121" t="str">
        <f t="shared" si="37"/>
        <v>Carrera 42 #5-25, Tequendama, Cali</v>
      </c>
      <c r="M215" s="121" t="s">
        <v>231</v>
      </c>
      <c r="N215" s="121" t="s">
        <v>233</v>
      </c>
      <c r="O215" s="27"/>
      <c r="P215" s="27"/>
      <c r="Q215" s="27" t="s">
        <v>81</v>
      </c>
      <c r="R215" s="30"/>
      <c r="S215" s="30"/>
      <c r="T215" s="30">
        <v>1.0</v>
      </c>
      <c r="U215" s="209"/>
      <c r="V215" s="209"/>
      <c r="W215" s="209"/>
      <c r="X215" s="209"/>
      <c r="Y215" s="208"/>
      <c r="Z215" s="121" t="s">
        <v>1088</v>
      </c>
      <c r="AA215" s="121"/>
      <c r="AB215" s="121"/>
      <c r="AD215" s="210"/>
      <c r="AE215" s="211"/>
      <c r="AF215" s="210"/>
      <c r="AG215" s="210"/>
      <c r="AH215" s="210"/>
      <c r="AI215" s="210"/>
      <c r="AJ215" s="210"/>
      <c r="AK215" s="210"/>
      <c r="AL215" s="210"/>
      <c r="AM215" s="210"/>
      <c r="AN215" s="210"/>
      <c r="AO215" s="210"/>
      <c r="AP215" s="210"/>
    </row>
    <row r="216" ht="25.5" customHeight="1">
      <c r="A216" s="27">
        <f t="shared" si="3"/>
        <v>215</v>
      </c>
      <c r="B216" s="27" t="s">
        <v>61</v>
      </c>
      <c r="C216" s="27" t="s">
        <v>63</v>
      </c>
      <c r="D216" s="27" t="s">
        <v>64</v>
      </c>
      <c r="E216" s="28" t="str">
        <f t="shared" si="36"/>
        <v/>
      </c>
      <c r="F216" s="30" t="s">
        <v>35</v>
      </c>
      <c r="G216" s="30" t="s">
        <v>36</v>
      </c>
      <c r="H216" s="27" t="s">
        <v>158</v>
      </c>
      <c r="I216" s="27" t="s">
        <v>38</v>
      </c>
      <c r="J216" s="121" t="s">
        <v>1089</v>
      </c>
      <c r="K216" s="121" t="s">
        <v>1090</v>
      </c>
      <c r="L216" s="121" t="str">
        <f t="shared" si="37"/>
        <v>Calle 1b # 55 - 25, Cuarto de Legua, Cali</v>
      </c>
      <c r="M216" s="121" t="s">
        <v>231</v>
      </c>
      <c r="N216" s="121" t="s">
        <v>233</v>
      </c>
      <c r="O216" s="27"/>
      <c r="P216" s="27"/>
      <c r="Q216" s="27" t="s">
        <v>81</v>
      </c>
      <c r="R216" s="30"/>
      <c r="S216" s="30"/>
      <c r="T216" s="30">
        <v>1.0</v>
      </c>
      <c r="U216" s="209"/>
      <c r="V216" s="209"/>
      <c r="W216" s="209"/>
      <c r="X216" s="209"/>
      <c r="Y216" s="208"/>
      <c r="Z216" s="262"/>
      <c r="AA216" s="262"/>
      <c r="AB216" s="262"/>
      <c r="AD216" s="210"/>
      <c r="AE216" s="211"/>
      <c r="AF216" s="210"/>
      <c r="AG216" s="210"/>
      <c r="AH216" s="210"/>
      <c r="AI216" s="210"/>
      <c r="AJ216" s="210"/>
      <c r="AK216" s="210"/>
      <c r="AL216" s="210"/>
      <c r="AM216" s="210"/>
      <c r="AN216" s="210"/>
      <c r="AO216" s="210"/>
      <c r="AP216" s="210"/>
    </row>
    <row r="217" ht="25.5" customHeight="1">
      <c r="A217" s="27">
        <f t="shared" si="3"/>
        <v>216</v>
      </c>
      <c r="B217" s="27" t="s">
        <v>61</v>
      </c>
      <c r="C217" s="27" t="s">
        <v>63</v>
      </c>
      <c r="D217" s="27" t="s">
        <v>64</v>
      </c>
      <c r="E217" s="28" t="str">
        <f t="shared" si="36"/>
        <v/>
      </c>
      <c r="F217" s="30" t="s">
        <v>461</v>
      </c>
      <c r="G217" s="30" t="s">
        <v>350</v>
      </c>
      <c r="H217" s="27" t="s">
        <v>460</v>
      </c>
      <c r="I217" s="27" t="s">
        <v>286</v>
      </c>
      <c r="J217" s="121" t="s">
        <v>1091</v>
      </c>
      <c r="K217" s="121"/>
      <c r="L217" s="121" t="str">
        <f t="shared" si="37"/>
        <v>carrera 1 B2 # 72 -15, san luis, Cali</v>
      </c>
      <c r="M217" s="121" t="s">
        <v>231</v>
      </c>
      <c r="N217" s="121" t="s">
        <v>233</v>
      </c>
      <c r="O217" s="27"/>
      <c r="P217" s="27"/>
      <c r="Q217" s="27" t="s">
        <v>81</v>
      </c>
      <c r="R217" s="30"/>
      <c r="S217" s="30"/>
      <c r="T217" s="30">
        <v>1.0</v>
      </c>
      <c r="U217" s="209"/>
      <c r="V217" s="209"/>
      <c r="W217" s="209"/>
      <c r="X217" s="209"/>
      <c r="Y217" s="208"/>
      <c r="Z217" s="209"/>
      <c r="AA217" s="209"/>
      <c r="AB217" s="209"/>
      <c r="AD217" s="210"/>
      <c r="AE217" s="211"/>
      <c r="AF217" s="210"/>
      <c r="AG217" s="210"/>
      <c r="AH217" s="210"/>
      <c r="AI217" s="210"/>
      <c r="AJ217" s="210"/>
      <c r="AK217" s="210"/>
      <c r="AL217" s="210"/>
      <c r="AM217" s="210"/>
      <c r="AN217" s="210"/>
      <c r="AO217" s="210"/>
      <c r="AP217" s="210"/>
    </row>
    <row r="218" ht="25.5" customHeight="1">
      <c r="A218" s="27">
        <f t="shared" si="3"/>
        <v>217</v>
      </c>
      <c r="B218" s="27" t="s">
        <v>61</v>
      </c>
      <c r="C218" s="27" t="s">
        <v>63</v>
      </c>
      <c r="D218" s="27" t="s">
        <v>64</v>
      </c>
      <c r="E218" s="95" t="str">
        <f t="shared" si="36"/>
        <v/>
      </c>
      <c r="F218" s="30" t="s">
        <v>76</v>
      </c>
      <c r="G218" s="30" t="s">
        <v>350</v>
      </c>
      <c r="H218" s="27" t="s">
        <v>321</v>
      </c>
      <c r="I218" s="27" t="s">
        <v>38</v>
      </c>
      <c r="J218" s="121" t="s">
        <v>1092</v>
      </c>
      <c r="K218" s="121" t="s">
        <v>1093</v>
      </c>
      <c r="L218" s="121" t="str">
        <f t="shared" si="37"/>
        <v>Calle 34an #2an -70, La Flora, Cali</v>
      </c>
      <c r="M218" s="121" t="s">
        <v>231</v>
      </c>
      <c r="N218" s="121" t="s">
        <v>233</v>
      </c>
      <c r="O218" s="27"/>
      <c r="P218" s="27"/>
      <c r="Q218" s="27" t="s">
        <v>81</v>
      </c>
      <c r="R218" s="30"/>
      <c r="S218" s="30"/>
      <c r="T218" s="30">
        <v>1.0</v>
      </c>
      <c r="U218" s="205"/>
      <c r="V218" s="206"/>
      <c r="W218" s="207"/>
      <c r="X218" s="208"/>
      <c r="Y218" s="208"/>
      <c r="Z218" s="121" t="s">
        <v>1094</v>
      </c>
      <c r="AA218" s="121"/>
      <c r="AB218" s="121"/>
      <c r="AD218" s="210"/>
      <c r="AE218" s="211"/>
      <c r="AF218" s="210"/>
      <c r="AG218" s="210"/>
      <c r="AH218" s="210"/>
      <c r="AI218" s="210"/>
      <c r="AJ218" s="210"/>
      <c r="AK218" s="210"/>
      <c r="AL218" s="210"/>
      <c r="AM218" s="210"/>
      <c r="AN218" s="210"/>
      <c r="AO218" s="210"/>
      <c r="AP218" s="210"/>
    </row>
    <row r="219" ht="25.5" customHeight="1">
      <c r="A219" s="63">
        <f t="shared" si="3"/>
        <v>218</v>
      </c>
      <c r="B219" s="63" t="s">
        <v>62</v>
      </c>
      <c r="C219" s="65" t="s">
        <v>133</v>
      </c>
      <c r="D219" s="108" t="s">
        <v>64</v>
      </c>
      <c r="E219" s="68" t="s">
        <v>62</v>
      </c>
      <c r="F219" s="70" t="s">
        <v>62</v>
      </c>
      <c r="G219" s="70" t="s">
        <v>62</v>
      </c>
      <c r="H219" s="71" t="s">
        <v>62</v>
      </c>
      <c r="I219" s="71" t="s">
        <v>62</v>
      </c>
      <c r="J219" s="68" t="s">
        <v>62</v>
      </c>
      <c r="K219" s="68" t="s">
        <v>62</v>
      </c>
      <c r="L219" s="68" t="s">
        <v>62</v>
      </c>
      <c r="M219" s="68" t="s">
        <v>62</v>
      </c>
      <c r="N219" s="68" t="s">
        <v>62</v>
      </c>
      <c r="O219" s="68" t="s">
        <v>62</v>
      </c>
      <c r="P219" s="68" t="s">
        <v>62</v>
      </c>
      <c r="Q219" s="68" t="s">
        <v>62</v>
      </c>
      <c r="R219" s="68" t="s">
        <v>62</v>
      </c>
      <c r="S219" s="68"/>
      <c r="T219" s="68" t="s">
        <v>62</v>
      </c>
      <c r="U219" s="68" t="s">
        <v>62</v>
      </c>
      <c r="V219" s="68" t="s">
        <v>62</v>
      </c>
      <c r="W219" s="68" t="s">
        <v>62</v>
      </c>
      <c r="X219" s="68" t="s">
        <v>62</v>
      </c>
      <c r="Y219" s="68" t="s">
        <v>62</v>
      </c>
      <c r="Z219" s="68" t="s">
        <v>62</v>
      </c>
      <c r="AA219" s="68" t="s">
        <v>62</v>
      </c>
      <c r="AB219" s="68" t="s">
        <v>62</v>
      </c>
      <c r="AD219" s="243"/>
      <c r="AE219" s="244"/>
      <c r="AF219" s="243"/>
      <c r="AG219" s="243"/>
      <c r="AH219" s="243"/>
      <c r="AI219" s="243"/>
      <c r="AJ219" s="243"/>
      <c r="AK219" s="243"/>
      <c r="AL219" s="243"/>
      <c r="AM219" s="243"/>
      <c r="AN219" s="243"/>
      <c r="AO219" s="243"/>
      <c r="AP219" s="243"/>
    </row>
    <row r="220" ht="25.5" customHeight="1">
      <c r="A220" s="27">
        <f t="shared" si="3"/>
        <v>219</v>
      </c>
      <c r="B220" s="27" t="s">
        <v>61</v>
      </c>
      <c r="C220" s="27" t="s">
        <v>63</v>
      </c>
      <c r="D220" s="27" t="s">
        <v>64</v>
      </c>
      <c r="E220" s="95" t="str">
        <f>IF(OR($B220="ALTA",AND(ISNUMBER($W220),$W220&gt;0),AND($U220&lt;&gt;"",$U220&lt;&gt;"NO")),"SI","")</f>
        <v/>
      </c>
      <c r="F220" s="30" t="s">
        <v>76</v>
      </c>
      <c r="G220" s="30" t="s">
        <v>350</v>
      </c>
      <c r="H220" s="27" t="s">
        <v>1095</v>
      </c>
      <c r="I220" s="27" t="s">
        <v>38</v>
      </c>
      <c r="J220" s="121" t="s">
        <v>1096</v>
      </c>
      <c r="K220" s="121" t="s">
        <v>1097</v>
      </c>
      <c r="L220" s="121" t="str">
        <f>CONCATENATE(J220,", ",H220,", Cali")</f>
        <v>Avenida 4B norte # 52N 76, la flora, Cali</v>
      </c>
      <c r="M220" s="142" t="s">
        <v>1098</v>
      </c>
      <c r="N220" s="142" t="s">
        <v>233</v>
      </c>
      <c r="O220" s="27"/>
      <c r="P220" s="27"/>
      <c r="Q220" s="27" t="s">
        <v>81</v>
      </c>
      <c r="R220" s="30"/>
      <c r="S220" s="30"/>
      <c r="T220" s="30">
        <v>1.0</v>
      </c>
      <c r="U220" s="205"/>
      <c r="V220" s="206"/>
      <c r="W220" s="207"/>
      <c r="X220" s="208"/>
      <c r="Y220" s="208"/>
      <c r="Z220" s="209"/>
      <c r="AA220" s="209"/>
      <c r="AB220" s="209"/>
      <c r="AD220" s="210"/>
      <c r="AE220" s="211"/>
      <c r="AF220" s="210"/>
      <c r="AG220" s="210"/>
      <c r="AH220" s="210"/>
      <c r="AI220" s="210"/>
      <c r="AJ220" s="210"/>
      <c r="AK220" s="210"/>
      <c r="AL220" s="210"/>
      <c r="AM220" s="210"/>
      <c r="AN220" s="210"/>
      <c r="AO220" s="210"/>
      <c r="AP220" s="210"/>
    </row>
    <row r="221" ht="25.5" customHeight="1">
      <c r="A221" s="63">
        <f t="shared" si="3"/>
        <v>220</v>
      </c>
      <c r="B221" s="63" t="s">
        <v>62</v>
      </c>
      <c r="C221" s="65" t="s">
        <v>133</v>
      </c>
      <c r="D221" s="108" t="s">
        <v>64</v>
      </c>
      <c r="E221" s="68" t="s">
        <v>62</v>
      </c>
      <c r="F221" s="70" t="s">
        <v>62</v>
      </c>
      <c r="G221" s="70" t="s">
        <v>62</v>
      </c>
      <c r="H221" s="71" t="s">
        <v>62</v>
      </c>
      <c r="I221" s="71" t="s">
        <v>62</v>
      </c>
      <c r="J221" s="68" t="s">
        <v>62</v>
      </c>
      <c r="K221" s="68" t="s">
        <v>62</v>
      </c>
      <c r="L221" s="68" t="s">
        <v>62</v>
      </c>
      <c r="M221" s="68" t="s">
        <v>62</v>
      </c>
      <c r="N221" s="68" t="s">
        <v>62</v>
      </c>
      <c r="O221" s="68" t="s">
        <v>62</v>
      </c>
      <c r="P221" s="68" t="s">
        <v>62</v>
      </c>
      <c r="Q221" s="68" t="s">
        <v>62</v>
      </c>
      <c r="R221" s="68" t="s">
        <v>62</v>
      </c>
      <c r="S221" s="68"/>
      <c r="T221" s="68" t="s">
        <v>62</v>
      </c>
      <c r="U221" s="68" t="s">
        <v>62</v>
      </c>
      <c r="V221" s="68" t="s">
        <v>62</v>
      </c>
      <c r="W221" s="68" t="s">
        <v>62</v>
      </c>
      <c r="X221" s="68" t="s">
        <v>62</v>
      </c>
      <c r="Y221" s="68" t="s">
        <v>62</v>
      </c>
      <c r="Z221" s="68" t="s">
        <v>62</v>
      </c>
      <c r="AA221" s="68" t="s">
        <v>62</v>
      </c>
      <c r="AB221" s="68" t="s">
        <v>62</v>
      </c>
      <c r="AD221" s="243"/>
      <c r="AE221" s="244"/>
      <c r="AF221" s="243"/>
      <c r="AG221" s="243"/>
      <c r="AH221" s="243"/>
      <c r="AI221" s="243"/>
      <c r="AJ221" s="243"/>
      <c r="AK221" s="243"/>
      <c r="AL221" s="243"/>
      <c r="AM221" s="243"/>
      <c r="AN221" s="243"/>
      <c r="AO221" s="243"/>
      <c r="AP221" s="243"/>
    </row>
    <row r="222" ht="25.5" customHeight="1">
      <c r="A222" s="27">
        <f t="shared" si="3"/>
        <v>221</v>
      </c>
      <c r="B222" s="27" t="s">
        <v>61</v>
      </c>
      <c r="C222" s="27" t="s">
        <v>63</v>
      </c>
      <c r="D222" s="27" t="s">
        <v>64</v>
      </c>
      <c r="E222" s="95" t="str">
        <f t="shared" ref="E222:E231" si="38">IF(OR($B222="ALTA",AND(ISNUMBER($W222),$W222&gt;0),AND($U222&lt;&gt;"",$U222&lt;&gt;"NO")),"SI","")</f>
        <v/>
      </c>
      <c r="F222" s="30" t="s">
        <v>59</v>
      </c>
      <c r="G222" s="30" t="s">
        <v>939</v>
      </c>
      <c r="H222" s="27" t="s">
        <v>491</v>
      </c>
      <c r="I222" s="27" t="s">
        <v>286</v>
      </c>
      <c r="J222" s="121" t="s">
        <v>1099</v>
      </c>
      <c r="K222" s="121" t="s">
        <v>491</v>
      </c>
      <c r="L222" s="121" t="str">
        <f t="shared" ref="L222:L231" si="39">CONCATENATE(J222,", ",H222,", Cali")</f>
        <v>Calle 19 Oeste 4A-30, Terron Colorado, Cali</v>
      </c>
      <c r="M222" s="121" t="s">
        <v>231</v>
      </c>
      <c r="N222" s="121" t="s">
        <v>233</v>
      </c>
      <c r="O222" s="27"/>
      <c r="P222" s="27"/>
      <c r="Q222" s="27" t="s">
        <v>81</v>
      </c>
      <c r="R222" s="30"/>
      <c r="S222" s="30"/>
      <c r="T222" s="30">
        <v>1.0</v>
      </c>
      <c r="U222" s="209"/>
      <c r="V222" s="209"/>
      <c r="W222" s="209"/>
      <c r="X222" s="209"/>
      <c r="Y222" s="208"/>
      <c r="Z222" s="121" t="s">
        <v>1100</v>
      </c>
      <c r="AA222" s="121"/>
      <c r="AB222" s="121"/>
      <c r="AD222" s="210"/>
      <c r="AE222" s="211"/>
      <c r="AF222" s="210"/>
      <c r="AG222" s="210"/>
      <c r="AH222" s="210"/>
      <c r="AI222" s="210"/>
      <c r="AJ222" s="210"/>
      <c r="AK222" s="210"/>
      <c r="AL222" s="210"/>
      <c r="AM222" s="210"/>
      <c r="AN222" s="210"/>
      <c r="AO222" s="210"/>
      <c r="AP222" s="210"/>
    </row>
    <row r="223" ht="25.5" customHeight="1">
      <c r="A223" s="27">
        <f t="shared" si="3"/>
        <v>222</v>
      </c>
      <c r="B223" s="27" t="s">
        <v>61</v>
      </c>
      <c r="C223" s="27" t="s">
        <v>63</v>
      </c>
      <c r="D223" s="27" t="s">
        <v>64</v>
      </c>
      <c r="E223" s="95" t="str">
        <f t="shared" si="38"/>
        <v/>
      </c>
      <c r="F223" s="30" t="s">
        <v>35</v>
      </c>
      <c r="G223" s="30" t="s">
        <v>36</v>
      </c>
      <c r="H223" s="27" t="s">
        <v>158</v>
      </c>
      <c r="I223" s="27" t="s">
        <v>38</v>
      </c>
      <c r="J223" s="121" t="s">
        <v>1101</v>
      </c>
      <c r="K223" s="121" t="s">
        <v>1102</v>
      </c>
      <c r="L223" s="121" t="str">
        <f t="shared" si="39"/>
        <v>Carrera 56 # 3 -26, Cuarto de Legua, Cali</v>
      </c>
      <c r="M223" s="121" t="s">
        <v>231</v>
      </c>
      <c r="N223" s="121" t="s">
        <v>233</v>
      </c>
      <c r="O223" s="27"/>
      <c r="P223" s="27"/>
      <c r="Q223" s="27" t="s">
        <v>81</v>
      </c>
      <c r="R223" s="30"/>
      <c r="S223" s="30"/>
      <c r="T223" s="30">
        <v>1.0</v>
      </c>
      <c r="U223" s="205"/>
      <c r="V223" s="206"/>
      <c r="W223" s="207"/>
      <c r="X223" s="208"/>
      <c r="Y223" s="208"/>
      <c r="Z223" s="121" t="s">
        <v>1103</v>
      </c>
      <c r="AA223" s="121"/>
      <c r="AB223" s="121"/>
      <c r="AD223" s="210"/>
      <c r="AE223" s="211"/>
      <c r="AF223" s="210"/>
      <c r="AG223" s="210"/>
      <c r="AH223" s="210"/>
      <c r="AI223" s="210"/>
      <c r="AJ223" s="210"/>
      <c r="AK223" s="210"/>
      <c r="AL223" s="210"/>
      <c r="AM223" s="210"/>
      <c r="AN223" s="210"/>
      <c r="AO223" s="210"/>
      <c r="AP223" s="210"/>
    </row>
    <row r="224" ht="25.5" customHeight="1">
      <c r="A224" s="27">
        <f t="shared" si="3"/>
        <v>223</v>
      </c>
      <c r="B224" s="27" t="s">
        <v>61</v>
      </c>
      <c r="C224" s="27" t="s">
        <v>63</v>
      </c>
      <c r="D224" s="27" t="s">
        <v>64</v>
      </c>
      <c r="E224" s="95" t="str">
        <f t="shared" si="38"/>
        <v/>
      </c>
      <c r="F224" s="30" t="s">
        <v>35</v>
      </c>
      <c r="G224" s="30" t="s">
        <v>36</v>
      </c>
      <c r="H224" s="27" t="s">
        <v>301</v>
      </c>
      <c r="I224" s="27" t="s">
        <v>1104</v>
      </c>
      <c r="J224" s="121" t="s">
        <v>1105</v>
      </c>
      <c r="K224" s="121" t="s">
        <v>301</v>
      </c>
      <c r="L224" s="121" t="str">
        <f t="shared" si="39"/>
        <v>Carrera 59 #5-39, Joaquin Borrero - Cañaveralejo, Cali</v>
      </c>
      <c r="M224" s="142" t="s">
        <v>1106</v>
      </c>
      <c r="N224" s="142" t="s">
        <v>233</v>
      </c>
      <c r="O224" s="27"/>
      <c r="P224" s="27"/>
      <c r="Q224" s="27" t="s">
        <v>81</v>
      </c>
      <c r="R224" s="30"/>
      <c r="S224" s="30"/>
      <c r="T224" s="30">
        <v>1.0</v>
      </c>
      <c r="U224" s="209"/>
      <c r="V224" s="209"/>
      <c r="W224" s="209"/>
      <c r="X224" s="209"/>
      <c r="Y224" s="208"/>
      <c r="Z224" s="121" t="s">
        <v>1107</v>
      </c>
      <c r="AA224" s="121"/>
      <c r="AB224" s="121"/>
      <c r="AD224" s="210"/>
      <c r="AE224" s="211"/>
      <c r="AF224" s="210"/>
      <c r="AG224" s="210"/>
      <c r="AH224" s="210"/>
      <c r="AI224" s="210"/>
      <c r="AJ224" s="210"/>
      <c r="AK224" s="210"/>
      <c r="AL224" s="210"/>
      <c r="AM224" s="210"/>
      <c r="AN224" s="210"/>
      <c r="AO224" s="210"/>
      <c r="AP224" s="210"/>
    </row>
    <row r="225" ht="25.5" customHeight="1">
      <c r="A225" s="27">
        <f t="shared" si="3"/>
        <v>224</v>
      </c>
      <c r="B225" s="27" t="s">
        <v>61</v>
      </c>
      <c r="C225" s="27" t="s">
        <v>63</v>
      </c>
      <c r="D225" s="27" t="s">
        <v>64</v>
      </c>
      <c r="E225" s="95" t="str">
        <f t="shared" si="38"/>
        <v/>
      </c>
      <c r="F225" s="30" t="s">
        <v>35</v>
      </c>
      <c r="G225" s="30" t="s">
        <v>36</v>
      </c>
      <c r="H225" s="27" t="s">
        <v>157</v>
      </c>
      <c r="I225" s="27" t="s">
        <v>286</v>
      </c>
      <c r="J225" s="121" t="s">
        <v>1108</v>
      </c>
      <c r="K225" s="121"/>
      <c r="L225" s="121" t="str">
        <f t="shared" si="39"/>
        <v>Carrera 39 # 9b -06, Cámbulos, Cali</v>
      </c>
      <c r="M225" s="121" t="s">
        <v>231</v>
      </c>
      <c r="N225" s="121" t="s">
        <v>233</v>
      </c>
      <c r="O225" s="27"/>
      <c r="P225" s="27"/>
      <c r="Q225" s="27" t="s">
        <v>81</v>
      </c>
      <c r="R225" s="30"/>
      <c r="S225" s="30"/>
      <c r="T225" s="30">
        <v>1.0</v>
      </c>
      <c r="U225" s="205"/>
      <c r="V225" s="206"/>
      <c r="W225" s="207"/>
      <c r="X225" s="208"/>
      <c r="Y225" s="208"/>
      <c r="Z225" s="121" t="s">
        <v>1109</v>
      </c>
      <c r="AA225" s="121"/>
      <c r="AB225" s="121"/>
      <c r="AD225" s="210"/>
      <c r="AE225" s="211"/>
      <c r="AF225" s="210"/>
      <c r="AG225" s="210"/>
      <c r="AH225" s="210"/>
      <c r="AI225" s="210"/>
      <c r="AJ225" s="210"/>
      <c r="AK225" s="210"/>
      <c r="AL225" s="210"/>
      <c r="AM225" s="210"/>
      <c r="AN225" s="210"/>
      <c r="AO225" s="210"/>
      <c r="AP225" s="210"/>
    </row>
    <row r="226" ht="25.5" customHeight="1">
      <c r="A226" s="27">
        <f t="shared" si="3"/>
        <v>225</v>
      </c>
      <c r="B226" s="27" t="s">
        <v>61</v>
      </c>
      <c r="C226" s="27" t="s">
        <v>63</v>
      </c>
      <c r="D226" s="27" t="s">
        <v>64</v>
      </c>
      <c r="E226" s="28" t="str">
        <f t="shared" si="38"/>
        <v/>
      </c>
      <c r="F226" s="30" t="s">
        <v>119</v>
      </c>
      <c r="G226" s="30" t="s">
        <v>350</v>
      </c>
      <c r="H226" s="27" t="s">
        <v>445</v>
      </c>
      <c r="I226" s="27" t="s">
        <v>286</v>
      </c>
      <c r="J226" s="121" t="s">
        <v>1110</v>
      </c>
      <c r="K226" s="121"/>
      <c r="L226" s="121" t="str">
        <f t="shared" si="39"/>
        <v>Calle 52 # 3-20, Salomia, Cali</v>
      </c>
      <c r="M226" s="121" t="s">
        <v>231</v>
      </c>
      <c r="N226" s="121" t="s">
        <v>233</v>
      </c>
      <c r="O226" s="27"/>
      <c r="P226" s="27"/>
      <c r="Q226" s="27" t="s">
        <v>81</v>
      </c>
      <c r="R226" s="30"/>
      <c r="S226" s="30"/>
      <c r="T226" s="30">
        <v>1.0</v>
      </c>
      <c r="U226" s="209"/>
      <c r="V226" s="209"/>
      <c r="W226" s="209"/>
      <c r="X226" s="209"/>
      <c r="Y226" s="208"/>
      <c r="Z226" s="121" t="s">
        <v>1111</v>
      </c>
      <c r="AA226" s="121"/>
      <c r="AB226" s="121"/>
      <c r="AD226" s="210"/>
      <c r="AE226" s="211"/>
      <c r="AF226" s="210"/>
      <c r="AG226" s="210"/>
      <c r="AH226" s="210"/>
      <c r="AI226" s="210"/>
      <c r="AJ226" s="210"/>
      <c r="AK226" s="210"/>
      <c r="AL226" s="210"/>
      <c r="AM226" s="210"/>
      <c r="AN226" s="210"/>
      <c r="AO226" s="210"/>
      <c r="AP226" s="210"/>
    </row>
    <row r="227" ht="25.5" customHeight="1">
      <c r="A227" s="27">
        <f t="shared" si="3"/>
        <v>226</v>
      </c>
      <c r="B227" s="27" t="s">
        <v>61</v>
      </c>
      <c r="C227" s="27" t="s">
        <v>63</v>
      </c>
      <c r="D227" s="27" t="s">
        <v>64</v>
      </c>
      <c r="E227" s="95" t="str">
        <f t="shared" si="38"/>
        <v/>
      </c>
      <c r="F227" s="30" t="s">
        <v>76</v>
      </c>
      <c r="G227" s="30" t="s">
        <v>350</v>
      </c>
      <c r="H227" s="27" t="s">
        <v>512</v>
      </c>
      <c r="I227" s="27" t="s">
        <v>38</v>
      </c>
      <c r="J227" s="121" t="s">
        <v>1112</v>
      </c>
      <c r="K227" s="121" t="s">
        <v>1113</v>
      </c>
      <c r="L227" s="121" t="str">
        <f t="shared" si="39"/>
        <v>Calle 21n # 5bn -22, Versalles, Cali</v>
      </c>
      <c r="M227" s="121" t="s">
        <v>231</v>
      </c>
      <c r="N227" s="121" t="s">
        <v>233</v>
      </c>
      <c r="O227" s="27"/>
      <c r="P227" s="27"/>
      <c r="Q227" s="27" t="s">
        <v>81</v>
      </c>
      <c r="R227" s="30"/>
      <c r="S227" s="30"/>
      <c r="T227" s="30">
        <v>1.0</v>
      </c>
      <c r="U227" s="205"/>
      <c r="V227" s="206"/>
      <c r="W227" s="207"/>
      <c r="X227" s="208"/>
      <c r="Y227" s="208"/>
      <c r="Z227" s="121" t="s">
        <v>1114</v>
      </c>
      <c r="AA227" s="121"/>
      <c r="AB227" s="121"/>
      <c r="AD227" s="210"/>
      <c r="AE227" s="211"/>
      <c r="AF227" s="210"/>
      <c r="AG227" s="210"/>
      <c r="AH227" s="210"/>
      <c r="AI227" s="210"/>
      <c r="AJ227" s="210"/>
      <c r="AK227" s="210"/>
      <c r="AL227" s="210"/>
      <c r="AM227" s="210"/>
      <c r="AN227" s="210"/>
      <c r="AO227" s="210"/>
      <c r="AP227" s="210"/>
    </row>
    <row r="228" ht="25.5" customHeight="1">
      <c r="A228" s="27">
        <f t="shared" si="3"/>
        <v>227</v>
      </c>
      <c r="B228" s="27" t="s">
        <v>61</v>
      </c>
      <c r="C228" s="27" t="s">
        <v>63</v>
      </c>
      <c r="D228" s="27" t="s">
        <v>64</v>
      </c>
      <c r="E228" s="95" t="str">
        <f t="shared" si="38"/>
        <v/>
      </c>
      <c r="F228" s="30" t="s">
        <v>35</v>
      </c>
      <c r="G228" s="30" t="s">
        <v>36</v>
      </c>
      <c r="H228" s="27" t="s">
        <v>178</v>
      </c>
      <c r="I228" s="27" t="s">
        <v>286</v>
      </c>
      <c r="J228" s="121" t="s">
        <v>1115</v>
      </c>
      <c r="K228" s="121"/>
      <c r="L228" s="121" t="str">
        <f t="shared" si="39"/>
        <v>Calle 9c #31A-25, Champagnat, Cali</v>
      </c>
      <c r="M228" s="121" t="s">
        <v>231</v>
      </c>
      <c r="N228" s="121" t="s">
        <v>233</v>
      </c>
      <c r="O228" s="27"/>
      <c r="P228" s="27"/>
      <c r="Q228" s="27" t="s">
        <v>81</v>
      </c>
      <c r="R228" s="30"/>
      <c r="S228" s="30"/>
      <c r="T228" s="30">
        <v>1.0</v>
      </c>
      <c r="U228" s="209"/>
      <c r="V228" s="209"/>
      <c r="W228" s="209"/>
      <c r="X228" s="209"/>
      <c r="Y228" s="208"/>
      <c r="Z228" s="121" t="s">
        <v>1116</v>
      </c>
      <c r="AA228" s="121"/>
      <c r="AB228" s="121"/>
      <c r="AD228" s="210"/>
      <c r="AE228" s="211"/>
      <c r="AF228" s="210"/>
      <c r="AG228" s="210"/>
      <c r="AH228" s="210"/>
      <c r="AI228" s="210"/>
      <c r="AJ228" s="210"/>
      <c r="AK228" s="210"/>
      <c r="AL228" s="210"/>
      <c r="AM228" s="210"/>
      <c r="AN228" s="210"/>
      <c r="AO228" s="210"/>
      <c r="AP228" s="210"/>
    </row>
    <row r="229" ht="25.5" customHeight="1">
      <c r="A229" s="27">
        <f t="shared" si="3"/>
        <v>228</v>
      </c>
      <c r="B229" s="27" t="s">
        <v>61</v>
      </c>
      <c r="C229" s="27" t="s">
        <v>63</v>
      </c>
      <c r="D229" s="27" t="s">
        <v>64</v>
      </c>
      <c r="E229" s="95" t="str">
        <f t="shared" si="38"/>
        <v/>
      </c>
      <c r="F229" s="30" t="s">
        <v>73</v>
      </c>
      <c r="G229" s="30" t="s">
        <v>36</v>
      </c>
      <c r="H229" s="27" t="s">
        <v>72</v>
      </c>
      <c r="I229" s="27" t="s">
        <v>38</v>
      </c>
      <c r="J229" s="121" t="s">
        <v>1117</v>
      </c>
      <c r="K229" s="121" t="s">
        <v>1118</v>
      </c>
      <c r="L229" s="121" t="str">
        <f t="shared" si="39"/>
        <v>Carrera 59 #1E-45, Alameda, Cali</v>
      </c>
      <c r="M229" s="121" t="s">
        <v>231</v>
      </c>
      <c r="N229" s="121" t="s">
        <v>233</v>
      </c>
      <c r="O229" s="27"/>
      <c r="P229" s="27"/>
      <c r="Q229" s="27" t="s">
        <v>81</v>
      </c>
      <c r="R229" s="30"/>
      <c r="S229" s="30"/>
      <c r="T229" s="30">
        <v>1.0</v>
      </c>
      <c r="U229" s="209"/>
      <c r="V229" s="209"/>
      <c r="W229" s="209"/>
      <c r="X229" s="209"/>
      <c r="Y229" s="208"/>
      <c r="Z229" s="121" t="s">
        <v>1119</v>
      </c>
      <c r="AA229" s="121"/>
      <c r="AB229" s="121"/>
      <c r="AD229" s="210"/>
      <c r="AE229" s="211"/>
      <c r="AF229" s="210"/>
      <c r="AG229" s="210"/>
      <c r="AH229" s="210"/>
      <c r="AI229" s="210"/>
      <c r="AJ229" s="210"/>
      <c r="AK229" s="210"/>
      <c r="AL229" s="210"/>
      <c r="AM229" s="210"/>
      <c r="AN229" s="210"/>
      <c r="AO229" s="210"/>
      <c r="AP229" s="210"/>
    </row>
    <row r="230" ht="25.5" customHeight="1">
      <c r="A230" s="27">
        <f t="shared" si="3"/>
        <v>229</v>
      </c>
      <c r="B230" s="27" t="s">
        <v>61</v>
      </c>
      <c r="C230" s="27" t="s">
        <v>63</v>
      </c>
      <c r="D230" s="27" t="s">
        <v>64</v>
      </c>
      <c r="E230" s="28" t="str">
        <f t="shared" si="38"/>
        <v/>
      </c>
      <c r="F230" s="30" t="s">
        <v>119</v>
      </c>
      <c r="G230" s="30" t="s">
        <v>350</v>
      </c>
      <c r="H230" s="27" t="s">
        <v>148</v>
      </c>
      <c r="I230" s="27" t="s">
        <v>38</v>
      </c>
      <c r="J230" s="121" t="s">
        <v>1120</v>
      </c>
      <c r="K230" s="121" t="s">
        <v>1121</v>
      </c>
      <c r="L230" s="121" t="str">
        <f t="shared" si="39"/>
        <v>Calle 38 #5n-30, Bueno Madrid, Cali</v>
      </c>
      <c r="M230" s="121" t="s">
        <v>231</v>
      </c>
      <c r="N230" s="121" t="s">
        <v>233</v>
      </c>
      <c r="O230" s="27"/>
      <c r="P230" s="27"/>
      <c r="Q230" s="27" t="s">
        <v>81</v>
      </c>
      <c r="R230" s="30"/>
      <c r="S230" s="30"/>
      <c r="T230" s="30">
        <v>1.0</v>
      </c>
      <c r="U230" s="205"/>
      <c r="V230" s="206"/>
      <c r="W230" s="207"/>
      <c r="X230" s="208"/>
      <c r="Y230" s="208"/>
      <c r="Z230" s="121" t="s">
        <v>1122</v>
      </c>
      <c r="AA230" s="121"/>
      <c r="AB230" s="121"/>
      <c r="AD230" s="210"/>
      <c r="AE230" s="211"/>
      <c r="AF230" s="210"/>
      <c r="AG230" s="210"/>
      <c r="AH230" s="210"/>
      <c r="AI230" s="210"/>
      <c r="AJ230" s="210"/>
      <c r="AK230" s="210"/>
      <c r="AL230" s="210"/>
      <c r="AM230" s="210"/>
      <c r="AN230" s="210"/>
      <c r="AO230" s="210"/>
      <c r="AP230" s="210"/>
    </row>
    <row r="231" ht="25.5" customHeight="1">
      <c r="A231" s="27">
        <f t="shared" si="3"/>
        <v>230</v>
      </c>
      <c r="B231" s="27" t="s">
        <v>61</v>
      </c>
      <c r="C231" s="27" t="s">
        <v>63</v>
      </c>
      <c r="D231" s="27" t="s">
        <v>64</v>
      </c>
      <c r="E231" s="95" t="str">
        <f t="shared" si="38"/>
        <v/>
      </c>
      <c r="F231" s="30" t="s">
        <v>70</v>
      </c>
      <c r="G231" s="30" t="s">
        <v>36</v>
      </c>
      <c r="H231" s="27" t="s">
        <v>211</v>
      </c>
      <c r="I231" s="27" t="s">
        <v>286</v>
      </c>
      <c r="J231" s="121" t="s">
        <v>1123</v>
      </c>
      <c r="K231" s="121" t="s">
        <v>1124</v>
      </c>
      <c r="L231" s="121" t="str">
        <f t="shared" si="39"/>
        <v>Calle 12c #29b-115, Colseguros, Cali</v>
      </c>
      <c r="M231" s="121" t="s">
        <v>231</v>
      </c>
      <c r="N231" s="121" t="s">
        <v>233</v>
      </c>
      <c r="O231" s="27"/>
      <c r="P231" s="27"/>
      <c r="Q231" s="27" t="s">
        <v>81</v>
      </c>
      <c r="R231" s="30"/>
      <c r="S231" s="30"/>
      <c r="T231" s="30">
        <v>1.0</v>
      </c>
      <c r="U231" s="205"/>
      <c r="V231" s="206"/>
      <c r="W231" s="207"/>
      <c r="X231" s="208"/>
      <c r="Y231" s="208"/>
      <c r="Z231" s="209"/>
      <c r="AA231" s="209"/>
      <c r="AB231" s="209"/>
      <c r="AD231" s="210"/>
      <c r="AE231" s="211"/>
      <c r="AF231" s="210"/>
      <c r="AG231" s="210"/>
      <c r="AH231" s="210"/>
      <c r="AI231" s="210"/>
      <c r="AJ231" s="210"/>
      <c r="AK231" s="210"/>
      <c r="AL231" s="210"/>
      <c r="AM231" s="210"/>
      <c r="AN231" s="210"/>
      <c r="AO231" s="210"/>
      <c r="AP231" s="210"/>
    </row>
    <row r="232" ht="25.5" customHeight="1">
      <c r="A232" s="63">
        <f t="shared" si="3"/>
        <v>231</v>
      </c>
      <c r="B232" s="63" t="s">
        <v>62</v>
      </c>
      <c r="C232" s="65" t="s">
        <v>133</v>
      </c>
      <c r="D232" s="108" t="s">
        <v>64</v>
      </c>
      <c r="E232" s="68" t="s">
        <v>62</v>
      </c>
      <c r="F232" s="70" t="s">
        <v>62</v>
      </c>
      <c r="G232" s="70" t="s">
        <v>62</v>
      </c>
      <c r="H232" s="71" t="s">
        <v>62</v>
      </c>
      <c r="I232" s="71" t="s">
        <v>62</v>
      </c>
      <c r="J232" s="68" t="s">
        <v>62</v>
      </c>
      <c r="K232" s="68" t="s">
        <v>62</v>
      </c>
      <c r="L232" s="68" t="s">
        <v>62</v>
      </c>
      <c r="M232" s="68" t="s">
        <v>62</v>
      </c>
      <c r="N232" s="68" t="s">
        <v>62</v>
      </c>
      <c r="O232" s="68" t="s">
        <v>62</v>
      </c>
      <c r="P232" s="68" t="s">
        <v>62</v>
      </c>
      <c r="Q232" s="68" t="s">
        <v>62</v>
      </c>
      <c r="R232" s="68" t="s">
        <v>62</v>
      </c>
      <c r="S232" s="68"/>
      <c r="T232" s="68" t="s">
        <v>62</v>
      </c>
      <c r="U232" s="68" t="s">
        <v>62</v>
      </c>
      <c r="V232" s="68" t="s">
        <v>62</v>
      </c>
      <c r="W232" s="68" t="s">
        <v>62</v>
      </c>
      <c r="X232" s="68" t="s">
        <v>62</v>
      </c>
      <c r="Y232" s="68" t="s">
        <v>62</v>
      </c>
      <c r="Z232" s="68" t="s">
        <v>62</v>
      </c>
      <c r="AA232" s="68" t="s">
        <v>62</v>
      </c>
      <c r="AB232" s="68" t="s">
        <v>62</v>
      </c>
      <c r="AD232" s="243"/>
      <c r="AE232" s="244"/>
      <c r="AF232" s="243"/>
      <c r="AG232" s="243"/>
      <c r="AH232" s="243"/>
      <c r="AI232" s="243"/>
      <c r="AJ232" s="243"/>
      <c r="AK232" s="243"/>
      <c r="AL232" s="243"/>
      <c r="AM232" s="243"/>
      <c r="AN232" s="243"/>
      <c r="AO232" s="243"/>
      <c r="AP232" s="243"/>
    </row>
    <row r="233" ht="25.5" customHeight="1">
      <c r="A233" s="27">
        <f t="shared" si="3"/>
        <v>232</v>
      </c>
      <c r="B233" s="27" t="s">
        <v>61</v>
      </c>
      <c r="C233" s="27" t="s">
        <v>63</v>
      </c>
      <c r="D233" s="27" t="s">
        <v>64</v>
      </c>
      <c r="E233" s="95" t="str">
        <f t="shared" ref="E233:E256" si="40">IF(OR($B233="ALTA",AND(ISNUMBER($W233),$W233&gt;0),AND($U233&lt;&gt;"",$U233&lt;&gt;"NO")),"SI","")</f>
        <v/>
      </c>
      <c r="F233" s="30" t="s">
        <v>70</v>
      </c>
      <c r="G233" s="30" t="s">
        <v>36</v>
      </c>
      <c r="H233" s="27" t="s">
        <v>215</v>
      </c>
      <c r="I233" s="27" t="s">
        <v>286</v>
      </c>
      <c r="J233" s="121" t="s">
        <v>1125</v>
      </c>
      <c r="K233" s="121"/>
      <c r="L233" s="121" t="str">
        <f t="shared" ref="L233:L256" si="41">CONCATENATE(J233,", ",H233,", Cali")</f>
        <v>Calle 12 C # 31-23, Colseguros andes, Cali</v>
      </c>
      <c r="M233" s="121" t="s">
        <v>231</v>
      </c>
      <c r="N233" s="121" t="s">
        <v>233</v>
      </c>
      <c r="O233" s="27"/>
      <c r="P233" s="27"/>
      <c r="Q233" s="27" t="s">
        <v>81</v>
      </c>
      <c r="R233" s="30"/>
      <c r="S233" s="30"/>
      <c r="T233" s="30">
        <v>1.0</v>
      </c>
      <c r="U233" s="209"/>
      <c r="V233" s="209"/>
      <c r="W233" s="209"/>
      <c r="X233" s="209"/>
      <c r="Y233" s="208"/>
      <c r="Z233" s="209"/>
      <c r="AA233" s="209"/>
      <c r="AB233" s="209"/>
      <c r="AD233" s="210"/>
      <c r="AE233" s="211"/>
      <c r="AF233" s="210"/>
      <c r="AG233" s="210"/>
      <c r="AH233" s="210"/>
      <c r="AI233" s="210"/>
      <c r="AJ233" s="210"/>
      <c r="AK233" s="210"/>
      <c r="AL233" s="210"/>
      <c r="AM233" s="210"/>
      <c r="AN233" s="210"/>
      <c r="AO233" s="210"/>
      <c r="AP233" s="210"/>
    </row>
    <row r="234" ht="25.5" customHeight="1">
      <c r="A234" s="27">
        <f t="shared" si="3"/>
        <v>233</v>
      </c>
      <c r="B234" s="27" t="s">
        <v>61</v>
      </c>
      <c r="C234" s="27" t="s">
        <v>63</v>
      </c>
      <c r="D234" s="27" t="s">
        <v>64</v>
      </c>
      <c r="E234" s="95" t="str">
        <f t="shared" si="40"/>
        <v/>
      </c>
      <c r="F234" s="30" t="s">
        <v>70</v>
      </c>
      <c r="G234" s="30" t="s">
        <v>36</v>
      </c>
      <c r="H234" s="27" t="s">
        <v>414</v>
      </c>
      <c r="I234" s="27" t="s">
        <v>286</v>
      </c>
      <c r="J234" s="121" t="s">
        <v>1126</v>
      </c>
      <c r="K234" s="121"/>
      <c r="L234" s="121" t="str">
        <f t="shared" si="41"/>
        <v>Carrera 44 #12a -17, Panamericano, Cali</v>
      </c>
      <c r="M234" s="121" t="s">
        <v>231</v>
      </c>
      <c r="N234" s="121" t="s">
        <v>233</v>
      </c>
      <c r="O234" s="27"/>
      <c r="P234" s="27"/>
      <c r="Q234" s="27" t="s">
        <v>81</v>
      </c>
      <c r="R234" s="30"/>
      <c r="S234" s="30"/>
      <c r="T234" s="30">
        <v>1.0</v>
      </c>
      <c r="U234" s="205"/>
      <c r="V234" s="206"/>
      <c r="W234" s="207"/>
      <c r="X234" s="208"/>
      <c r="Y234" s="208"/>
      <c r="Z234" s="121" t="s">
        <v>1127</v>
      </c>
      <c r="AA234" s="121"/>
      <c r="AB234" s="121"/>
      <c r="AD234" s="210"/>
      <c r="AE234" s="211"/>
      <c r="AF234" s="210"/>
      <c r="AG234" s="210"/>
      <c r="AH234" s="210"/>
      <c r="AI234" s="210"/>
      <c r="AJ234" s="210"/>
      <c r="AK234" s="210"/>
      <c r="AL234" s="210"/>
      <c r="AM234" s="210"/>
      <c r="AN234" s="210"/>
      <c r="AO234" s="210"/>
      <c r="AP234" s="210"/>
    </row>
    <row r="235" ht="25.5" customHeight="1">
      <c r="A235" s="27">
        <f t="shared" si="3"/>
        <v>234</v>
      </c>
      <c r="B235" s="27" t="s">
        <v>61</v>
      </c>
      <c r="C235" s="27" t="s">
        <v>63</v>
      </c>
      <c r="D235" s="27" t="s">
        <v>64</v>
      </c>
      <c r="E235" s="28" t="str">
        <f t="shared" si="40"/>
        <v/>
      </c>
      <c r="F235" s="30" t="s">
        <v>110</v>
      </c>
      <c r="G235" s="30" t="s">
        <v>176</v>
      </c>
      <c r="H235" s="27" t="s">
        <v>1128</v>
      </c>
      <c r="I235" s="27" t="s">
        <v>38</v>
      </c>
      <c r="J235" s="121" t="s">
        <v>1129</v>
      </c>
      <c r="K235" s="121"/>
      <c r="L235" s="121" t="str">
        <f t="shared" si="41"/>
        <v>Carrera 3a #6-38, El peñon, Cali</v>
      </c>
      <c r="M235" s="121" t="s">
        <v>231</v>
      </c>
      <c r="N235" s="121" t="s">
        <v>233</v>
      </c>
      <c r="O235" s="27"/>
      <c r="P235" s="27"/>
      <c r="Q235" s="27" t="s">
        <v>81</v>
      </c>
      <c r="R235" s="30"/>
      <c r="S235" s="30"/>
      <c r="T235" s="30">
        <v>1.0</v>
      </c>
      <c r="U235" s="209"/>
      <c r="V235" s="209"/>
      <c r="W235" s="209"/>
      <c r="X235" s="209"/>
      <c r="Y235" s="208"/>
      <c r="Z235" s="209"/>
      <c r="AA235" s="209"/>
      <c r="AB235" s="209"/>
      <c r="AD235" s="210"/>
      <c r="AE235" s="211"/>
      <c r="AF235" s="210"/>
      <c r="AG235" s="210"/>
      <c r="AH235" s="210"/>
      <c r="AI235" s="210"/>
      <c r="AJ235" s="210"/>
      <c r="AK235" s="210"/>
      <c r="AL235" s="210"/>
      <c r="AM235" s="210"/>
      <c r="AN235" s="210"/>
      <c r="AO235" s="210"/>
      <c r="AP235" s="210"/>
    </row>
    <row r="236" ht="25.5" customHeight="1">
      <c r="A236" s="27">
        <f t="shared" si="3"/>
        <v>235</v>
      </c>
      <c r="B236" s="27" t="s">
        <v>61</v>
      </c>
      <c r="C236" s="27" t="s">
        <v>63</v>
      </c>
      <c r="D236" s="27" t="s">
        <v>64</v>
      </c>
      <c r="E236" s="95" t="str">
        <f t="shared" si="40"/>
        <v/>
      </c>
      <c r="F236" s="30" t="s">
        <v>105</v>
      </c>
      <c r="G236" s="30" t="s">
        <v>426</v>
      </c>
      <c r="H236" s="27" t="s">
        <v>104</v>
      </c>
      <c r="I236" s="27" t="s">
        <v>38</v>
      </c>
      <c r="J236" s="121" t="s">
        <v>1130</v>
      </c>
      <c r="K236" s="121" t="s">
        <v>1131</v>
      </c>
      <c r="L236" s="121" t="str">
        <f t="shared" si="41"/>
        <v>Carrera 40 #40-04, Antonio Nariño, Cali</v>
      </c>
      <c r="M236" s="121" t="s">
        <v>231</v>
      </c>
      <c r="N236" s="121" t="s">
        <v>233</v>
      </c>
      <c r="O236" s="27"/>
      <c r="P236" s="27"/>
      <c r="Q236" s="27" t="s">
        <v>81</v>
      </c>
      <c r="R236" s="30"/>
      <c r="S236" s="30"/>
      <c r="T236" s="30">
        <v>1.0</v>
      </c>
      <c r="U236" s="209"/>
      <c r="V236" s="209"/>
      <c r="W236" s="209"/>
      <c r="X236" s="209"/>
      <c r="Y236" s="208"/>
      <c r="Z236" s="121" t="s">
        <v>1132</v>
      </c>
      <c r="AA236" s="121"/>
      <c r="AB236" s="121"/>
      <c r="AD236" s="210"/>
      <c r="AE236" s="211"/>
      <c r="AF236" s="210"/>
      <c r="AG236" s="210"/>
      <c r="AH236" s="210"/>
      <c r="AI236" s="210"/>
      <c r="AJ236" s="210"/>
      <c r="AK236" s="210"/>
      <c r="AL236" s="210"/>
      <c r="AM236" s="210"/>
      <c r="AN236" s="210"/>
      <c r="AO236" s="210"/>
      <c r="AP236" s="210"/>
    </row>
    <row r="237" ht="25.5" customHeight="1">
      <c r="A237" s="27">
        <f t="shared" si="3"/>
        <v>236</v>
      </c>
      <c r="B237" s="27" t="s">
        <v>61</v>
      </c>
      <c r="C237" s="27" t="s">
        <v>63</v>
      </c>
      <c r="D237" s="27" t="s">
        <v>64</v>
      </c>
      <c r="E237" s="95" t="str">
        <f t="shared" si="40"/>
        <v/>
      </c>
      <c r="F237" s="30" t="s">
        <v>76</v>
      </c>
      <c r="G237" s="30" t="s">
        <v>350</v>
      </c>
      <c r="H237" s="27" t="s">
        <v>476</v>
      </c>
      <c r="I237" s="27" t="s">
        <v>38</v>
      </c>
      <c r="J237" s="121" t="s">
        <v>1133</v>
      </c>
      <c r="K237" s="121" t="s">
        <v>1134</v>
      </c>
      <c r="L237" s="121" t="str">
        <f t="shared" si="41"/>
        <v>Calle 31N #6bis 32, Santa Monica Norte, Cali</v>
      </c>
      <c r="M237" s="121" t="s">
        <v>231</v>
      </c>
      <c r="N237" s="121" t="s">
        <v>233</v>
      </c>
      <c r="O237" s="27"/>
      <c r="P237" s="27"/>
      <c r="Q237" s="27" t="s">
        <v>81</v>
      </c>
      <c r="R237" s="30"/>
      <c r="S237" s="30"/>
      <c r="T237" s="30">
        <v>1.0</v>
      </c>
      <c r="U237" s="209"/>
      <c r="V237" s="209"/>
      <c r="W237" s="209"/>
      <c r="X237" s="209"/>
      <c r="Y237" s="208"/>
      <c r="Z237" s="121" t="s">
        <v>1135</v>
      </c>
      <c r="AA237" s="121"/>
      <c r="AB237" s="121"/>
      <c r="AD237" s="210"/>
      <c r="AE237" s="211"/>
      <c r="AF237" s="210"/>
      <c r="AG237" s="210"/>
      <c r="AH237" s="210"/>
      <c r="AI237" s="210"/>
      <c r="AJ237" s="210"/>
      <c r="AK237" s="210"/>
      <c r="AL237" s="210"/>
      <c r="AM237" s="210"/>
      <c r="AN237" s="210"/>
      <c r="AO237" s="210"/>
      <c r="AP237" s="210"/>
    </row>
    <row r="238" ht="25.5" customHeight="1">
      <c r="A238" s="27">
        <f t="shared" si="3"/>
        <v>237</v>
      </c>
      <c r="B238" s="27" t="s">
        <v>61</v>
      </c>
      <c r="C238" s="27" t="s">
        <v>63</v>
      </c>
      <c r="D238" s="27" t="s">
        <v>64</v>
      </c>
      <c r="E238" s="95" t="str">
        <f t="shared" si="40"/>
        <v>SI</v>
      </c>
      <c r="F238" s="30" t="s">
        <v>76</v>
      </c>
      <c r="G238" s="30" t="s">
        <v>350</v>
      </c>
      <c r="H238" s="27" t="s">
        <v>476</v>
      </c>
      <c r="I238" s="27" t="s">
        <v>1136</v>
      </c>
      <c r="J238" s="121" t="s">
        <v>1137</v>
      </c>
      <c r="K238" s="121" t="s">
        <v>1138</v>
      </c>
      <c r="L238" s="121" t="str">
        <f t="shared" si="41"/>
        <v>Avenida 6b norte 28n -56, Santa Monica Norte, Cali</v>
      </c>
      <c r="M238" s="121" t="s">
        <v>231</v>
      </c>
      <c r="N238" s="121" t="s">
        <v>233</v>
      </c>
      <c r="O238" s="27"/>
      <c r="P238" s="27"/>
      <c r="Q238" s="27" t="s">
        <v>1064</v>
      </c>
      <c r="R238" s="30">
        <v>1.0</v>
      </c>
      <c r="S238" s="30"/>
      <c r="T238" s="30">
        <v>1.0</v>
      </c>
      <c r="U238" s="121" t="s">
        <v>83</v>
      </c>
      <c r="V238" s="209"/>
      <c r="W238" s="121">
        <v>1.0</v>
      </c>
      <c r="X238" s="209"/>
      <c r="Y238" s="208"/>
      <c r="Z238" s="121" t="s">
        <v>300</v>
      </c>
      <c r="AA238" s="121"/>
      <c r="AB238" s="121"/>
      <c r="AD238" s="210"/>
      <c r="AE238" s="211"/>
      <c r="AF238" s="210"/>
      <c r="AG238" s="210"/>
      <c r="AH238" s="210"/>
      <c r="AI238" s="210"/>
      <c r="AJ238" s="210"/>
      <c r="AK238" s="210"/>
      <c r="AL238" s="210"/>
      <c r="AM238" s="210"/>
      <c r="AN238" s="210"/>
      <c r="AO238" s="210"/>
      <c r="AP238" s="210"/>
    </row>
    <row r="239" ht="25.5" customHeight="1">
      <c r="A239" s="27">
        <f t="shared" si="3"/>
        <v>238</v>
      </c>
      <c r="B239" s="27" t="s">
        <v>61</v>
      </c>
      <c r="C239" s="27" t="s">
        <v>63</v>
      </c>
      <c r="D239" s="27" t="s">
        <v>64</v>
      </c>
      <c r="E239" s="28" t="str">
        <f t="shared" si="40"/>
        <v/>
      </c>
      <c r="F239" s="30" t="s">
        <v>35</v>
      </c>
      <c r="G239" s="30" t="s">
        <v>36</v>
      </c>
      <c r="H239" s="27" t="s">
        <v>427</v>
      </c>
      <c r="I239" s="27" t="s">
        <v>286</v>
      </c>
      <c r="J239" s="121" t="s">
        <v>1139</v>
      </c>
      <c r="K239" s="121"/>
      <c r="L239" s="121" t="str">
        <f t="shared" si="41"/>
        <v>Carrera 56 #1b-81, Portal de Santillana, Cali</v>
      </c>
      <c r="M239" s="121" t="s">
        <v>231</v>
      </c>
      <c r="N239" s="121" t="s">
        <v>233</v>
      </c>
      <c r="O239" s="27"/>
      <c r="P239" s="27"/>
      <c r="Q239" s="27" t="s">
        <v>81</v>
      </c>
      <c r="R239" s="30"/>
      <c r="S239" s="30"/>
      <c r="T239" s="30">
        <v>1.0</v>
      </c>
      <c r="U239" s="209"/>
      <c r="V239" s="209"/>
      <c r="W239" s="209"/>
      <c r="X239" s="209"/>
      <c r="Y239" s="208"/>
      <c r="Z239" s="209"/>
      <c r="AA239" s="209"/>
      <c r="AB239" s="209"/>
      <c r="AD239" s="210"/>
      <c r="AE239" s="211"/>
      <c r="AF239" s="210"/>
      <c r="AG239" s="210"/>
      <c r="AH239" s="210"/>
      <c r="AI239" s="210"/>
      <c r="AJ239" s="210"/>
      <c r="AK239" s="210"/>
      <c r="AL239" s="210"/>
      <c r="AM239" s="210"/>
      <c r="AN239" s="210"/>
      <c r="AO239" s="210"/>
      <c r="AP239" s="210"/>
    </row>
    <row r="240" ht="25.5" customHeight="1">
      <c r="A240" s="27">
        <f t="shared" si="3"/>
        <v>239</v>
      </c>
      <c r="B240" s="27" t="s">
        <v>61</v>
      </c>
      <c r="C240" s="27" t="s">
        <v>63</v>
      </c>
      <c r="D240" s="27" t="s">
        <v>64</v>
      </c>
      <c r="E240" s="28" t="str">
        <f t="shared" si="40"/>
        <v/>
      </c>
      <c r="F240" s="30" t="s">
        <v>70</v>
      </c>
      <c r="G240" s="30" t="s">
        <v>36</v>
      </c>
      <c r="H240" s="27" t="s">
        <v>211</v>
      </c>
      <c r="I240" s="27" t="s">
        <v>38</v>
      </c>
      <c r="J240" s="121" t="s">
        <v>1140</v>
      </c>
      <c r="K240" s="121" t="s">
        <v>1141</v>
      </c>
      <c r="L240" s="121" t="str">
        <f t="shared" si="41"/>
        <v>Calle 12B#23-24, Colseguros, Cali</v>
      </c>
      <c r="M240" s="121" t="s">
        <v>231</v>
      </c>
      <c r="N240" s="121" t="s">
        <v>233</v>
      </c>
      <c r="O240" s="27"/>
      <c r="P240" s="27"/>
      <c r="Q240" s="27" t="s">
        <v>81</v>
      </c>
      <c r="R240" s="30"/>
      <c r="S240" s="30"/>
      <c r="T240" s="30">
        <v>1.0</v>
      </c>
      <c r="U240" s="209"/>
      <c r="V240" s="209"/>
      <c r="W240" s="209"/>
      <c r="X240" s="209"/>
      <c r="Y240" s="208"/>
      <c r="Z240" s="121" t="s">
        <v>1142</v>
      </c>
      <c r="AA240" s="121"/>
      <c r="AB240" s="121"/>
      <c r="AD240" s="210"/>
      <c r="AE240" s="211"/>
      <c r="AF240" s="210"/>
      <c r="AG240" s="210"/>
      <c r="AH240" s="210"/>
      <c r="AI240" s="210"/>
      <c r="AJ240" s="210"/>
      <c r="AK240" s="210"/>
      <c r="AL240" s="210"/>
      <c r="AM240" s="210"/>
      <c r="AN240" s="210"/>
      <c r="AO240" s="210"/>
      <c r="AP240" s="210"/>
    </row>
    <row r="241" ht="39.75" customHeight="1">
      <c r="A241" s="27">
        <f t="shared" si="3"/>
        <v>240</v>
      </c>
      <c r="B241" s="27" t="s">
        <v>61</v>
      </c>
      <c r="C241" s="27" t="s">
        <v>63</v>
      </c>
      <c r="D241" s="27" t="s">
        <v>64</v>
      </c>
      <c r="E241" s="28" t="str">
        <f t="shared" si="40"/>
        <v>SI</v>
      </c>
      <c r="F241" s="30" t="s">
        <v>35</v>
      </c>
      <c r="G241" s="30" t="s">
        <v>36</v>
      </c>
      <c r="H241" s="27" t="s">
        <v>158</v>
      </c>
      <c r="I241" s="27" t="s">
        <v>286</v>
      </c>
      <c r="J241" s="121" t="s">
        <v>1143</v>
      </c>
      <c r="K241" s="121"/>
      <c r="L241" s="121" t="str">
        <f t="shared" si="41"/>
        <v>Carrera 56 # 3-88, Cuarto de Legua, Cali</v>
      </c>
      <c r="M241" s="121" t="s">
        <v>231</v>
      </c>
      <c r="N241" s="121" t="s">
        <v>233</v>
      </c>
      <c r="O241" s="27"/>
      <c r="P241" s="27"/>
      <c r="Q241" s="27" t="s">
        <v>1144</v>
      </c>
      <c r="R241" s="30"/>
      <c r="S241" s="30"/>
      <c r="T241" s="30">
        <v>1.0</v>
      </c>
      <c r="U241" s="121">
        <v>4.0</v>
      </c>
      <c r="V241" s="209"/>
      <c r="W241" s="121">
        <v>7.0</v>
      </c>
      <c r="X241" s="209"/>
      <c r="Y241" s="261" t="s">
        <v>1145</v>
      </c>
      <c r="Z241" s="121" t="s">
        <v>1146</v>
      </c>
      <c r="AA241" s="121"/>
      <c r="AB241" s="121"/>
      <c r="AD241" s="210"/>
      <c r="AE241" s="211"/>
      <c r="AF241" s="210"/>
      <c r="AG241" s="210"/>
      <c r="AH241" s="210"/>
      <c r="AI241" s="210"/>
      <c r="AJ241" s="210"/>
      <c r="AK241" s="210"/>
      <c r="AL241" s="210"/>
      <c r="AM241" s="210"/>
      <c r="AN241" s="210"/>
      <c r="AO241" s="210"/>
      <c r="AP241" s="210"/>
    </row>
    <row r="242" ht="25.5" customHeight="1">
      <c r="A242" s="27">
        <f t="shared" si="3"/>
        <v>241</v>
      </c>
      <c r="B242" s="27" t="s">
        <v>61</v>
      </c>
      <c r="C242" s="27" t="s">
        <v>63</v>
      </c>
      <c r="D242" s="27" t="s">
        <v>64</v>
      </c>
      <c r="E242" s="95" t="str">
        <f t="shared" si="40"/>
        <v/>
      </c>
      <c r="F242" s="30" t="s">
        <v>35</v>
      </c>
      <c r="G242" s="30" t="s">
        <v>36</v>
      </c>
      <c r="H242" s="27" t="s">
        <v>117</v>
      </c>
      <c r="I242" s="27" t="s">
        <v>38</v>
      </c>
      <c r="J242" s="121" t="s">
        <v>1147</v>
      </c>
      <c r="K242" s="121" t="s">
        <v>1148</v>
      </c>
      <c r="L242" s="121" t="str">
        <f t="shared" si="41"/>
        <v>Calle 5B1 #29-75, Barrio 3 de Julio por el estadio oriental, Cali</v>
      </c>
      <c r="M242" s="121" t="s">
        <v>231</v>
      </c>
      <c r="N242" s="121" t="s">
        <v>233</v>
      </c>
      <c r="O242" s="27"/>
      <c r="P242" s="27"/>
      <c r="Q242" s="27" t="s">
        <v>81</v>
      </c>
      <c r="R242" s="30"/>
      <c r="S242" s="30"/>
      <c r="T242" s="30">
        <v>1.0</v>
      </c>
      <c r="U242" s="209"/>
      <c r="V242" s="209"/>
      <c r="W242" s="209"/>
      <c r="X242" s="209"/>
      <c r="Y242" s="208"/>
      <c r="Z242" s="121" t="s">
        <v>1149</v>
      </c>
      <c r="AA242" s="121"/>
      <c r="AB242" s="121"/>
      <c r="AD242" s="210"/>
      <c r="AE242" s="211"/>
      <c r="AF242" s="210"/>
      <c r="AG242" s="210"/>
      <c r="AH242" s="210"/>
      <c r="AI242" s="210"/>
      <c r="AJ242" s="210"/>
      <c r="AK242" s="210"/>
      <c r="AL242" s="210"/>
      <c r="AM242" s="210"/>
      <c r="AN242" s="210"/>
      <c r="AO242" s="210"/>
      <c r="AP242" s="210"/>
    </row>
    <row r="243" ht="25.5" customHeight="1">
      <c r="A243" s="27">
        <f t="shared" si="3"/>
        <v>242</v>
      </c>
      <c r="B243" s="27" t="s">
        <v>61</v>
      </c>
      <c r="C243" s="27" t="s">
        <v>63</v>
      </c>
      <c r="D243" s="27" t="s">
        <v>64</v>
      </c>
      <c r="E243" s="28" t="str">
        <f t="shared" si="40"/>
        <v/>
      </c>
      <c r="F243" s="30" t="s">
        <v>35</v>
      </c>
      <c r="G243" s="30" t="s">
        <v>36</v>
      </c>
      <c r="H243" s="27" t="s">
        <v>455</v>
      </c>
      <c r="I243" s="27" t="s">
        <v>38</v>
      </c>
      <c r="J243" s="121" t="s">
        <v>1150</v>
      </c>
      <c r="K243" s="121"/>
      <c r="L243" s="121" t="str">
        <f t="shared" si="41"/>
        <v>Carrea 5 b con 39, San Fernando Nuevo, Cali</v>
      </c>
      <c r="M243" s="121" t="s">
        <v>231</v>
      </c>
      <c r="N243" s="121" t="s">
        <v>233</v>
      </c>
      <c r="O243" s="27"/>
      <c r="P243" s="27"/>
      <c r="Q243" s="27" t="s">
        <v>81</v>
      </c>
      <c r="R243" s="30"/>
      <c r="S243" s="30"/>
      <c r="T243" s="30">
        <v>1.0</v>
      </c>
      <c r="U243" s="209"/>
      <c r="V243" s="209"/>
      <c r="W243" s="209"/>
      <c r="X243" s="209"/>
      <c r="Y243" s="208"/>
      <c r="Z243" s="209"/>
      <c r="AA243" s="209"/>
      <c r="AB243" s="209"/>
      <c r="AD243" s="210"/>
      <c r="AE243" s="211"/>
      <c r="AF243" s="210"/>
      <c r="AG243" s="210"/>
      <c r="AH243" s="210"/>
      <c r="AI243" s="210"/>
      <c r="AJ243" s="210"/>
      <c r="AK243" s="210"/>
      <c r="AL243" s="210"/>
      <c r="AM243" s="210"/>
      <c r="AN243" s="210"/>
      <c r="AO243" s="210"/>
      <c r="AP243" s="210"/>
    </row>
    <row r="244" ht="25.5" customHeight="1">
      <c r="A244" s="27">
        <f t="shared" si="3"/>
        <v>243</v>
      </c>
      <c r="B244" s="27" t="s">
        <v>61</v>
      </c>
      <c r="C244" s="27" t="s">
        <v>63</v>
      </c>
      <c r="D244" s="27" t="s">
        <v>64</v>
      </c>
      <c r="E244" s="28" t="str">
        <f t="shared" si="40"/>
        <v/>
      </c>
      <c r="F244" s="30" t="s">
        <v>76</v>
      </c>
      <c r="G244" s="30" t="s">
        <v>350</v>
      </c>
      <c r="H244" s="27" t="s">
        <v>317</v>
      </c>
      <c r="I244" s="27" t="s">
        <v>286</v>
      </c>
      <c r="J244" s="121" t="s">
        <v>1151</v>
      </c>
      <c r="K244" s="121"/>
      <c r="L244" s="121" t="str">
        <f t="shared" si="41"/>
        <v>Avenida 6N # 44-31 La Campiña, La Campiña, Cali</v>
      </c>
      <c r="M244" s="154" t="s">
        <v>1152</v>
      </c>
      <c r="N244" s="154" t="s">
        <v>233</v>
      </c>
      <c r="O244" s="27"/>
      <c r="P244" s="27"/>
      <c r="Q244" s="27" t="s">
        <v>81</v>
      </c>
      <c r="R244" s="30"/>
      <c r="S244" s="30"/>
      <c r="T244" s="30">
        <v>1.0</v>
      </c>
      <c r="U244" s="209"/>
      <c r="V244" s="209"/>
      <c r="W244" s="209"/>
      <c r="X244" s="209"/>
      <c r="Y244" s="227" t="s">
        <v>1153</v>
      </c>
      <c r="Z244" s="121" t="s">
        <v>1154</v>
      </c>
      <c r="AA244" s="121"/>
      <c r="AB244" s="121"/>
      <c r="AD244" s="210"/>
      <c r="AE244" s="211"/>
      <c r="AF244" s="210"/>
      <c r="AG244" s="210"/>
      <c r="AH244" s="210"/>
      <c r="AI244" s="210"/>
      <c r="AJ244" s="210"/>
      <c r="AK244" s="210"/>
      <c r="AL244" s="210"/>
      <c r="AM244" s="210"/>
      <c r="AN244" s="210"/>
      <c r="AO244" s="210"/>
      <c r="AP244" s="210"/>
    </row>
    <row r="245" ht="25.5" customHeight="1">
      <c r="A245" s="27">
        <f t="shared" si="3"/>
        <v>244</v>
      </c>
      <c r="B245" s="27" t="s">
        <v>61</v>
      </c>
      <c r="C245" s="27" t="s">
        <v>63</v>
      </c>
      <c r="D245" s="27" t="s">
        <v>64</v>
      </c>
      <c r="E245" s="28" t="str">
        <f t="shared" si="40"/>
        <v/>
      </c>
      <c r="F245" s="30" t="s">
        <v>35</v>
      </c>
      <c r="G245" s="30" t="s">
        <v>36</v>
      </c>
      <c r="H245" s="27" t="s">
        <v>278</v>
      </c>
      <c r="I245" s="27" t="s">
        <v>286</v>
      </c>
      <c r="J245" s="121" t="s">
        <v>1155</v>
      </c>
      <c r="K245" s="121"/>
      <c r="L245" s="121" t="str">
        <f t="shared" si="41"/>
        <v>Calle 5 b 2 # 38-91, San Fernando, Cali</v>
      </c>
      <c r="M245" s="121" t="s">
        <v>231</v>
      </c>
      <c r="N245" s="121" t="s">
        <v>233</v>
      </c>
      <c r="O245" s="27"/>
      <c r="P245" s="27"/>
      <c r="Q245" s="27" t="s">
        <v>81</v>
      </c>
      <c r="R245" s="30"/>
      <c r="S245" s="30"/>
      <c r="T245" s="30">
        <v>1.0</v>
      </c>
      <c r="U245" s="209"/>
      <c r="V245" s="209"/>
      <c r="W245" s="209"/>
      <c r="X245" s="209"/>
      <c r="Y245" s="208"/>
      <c r="Z245" s="209"/>
      <c r="AA245" s="209"/>
      <c r="AB245" s="209"/>
      <c r="AD245" s="210"/>
      <c r="AE245" s="211"/>
      <c r="AF245" s="210"/>
      <c r="AG245" s="210"/>
      <c r="AH245" s="210"/>
      <c r="AI245" s="210"/>
      <c r="AJ245" s="210"/>
      <c r="AK245" s="210"/>
      <c r="AL245" s="210"/>
      <c r="AM245" s="210"/>
      <c r="AN245" s="210"/>
      <c r="AO245" s="210"/>
      <c r="AP245" s="210"/>
    </row>
    <row r="246" ht="25.5" customHeight="1">
      <c r="A246" s="27">
        <f t="shared" si="3"/>
        <v>245</v>
      </c>
      <c r="B246" s="27" t="s">
        <v>61</v>
      </c>
      <c r="C246" s="27" t="s">
        <v>63</v>
      </c>
      <c r="D246" s="27" t="s">
        <v>64</v>
      </c>
      <c r="E246" s="95" t="str">
        <f t="shared" si="40"/>
        <v/>
      </c>
      <c r="F246" s="30" t="s">
        <v>110</v>
      </c>
      <c r="G246" s="30" t="s">
        <v>176</v>
      </c>
      <c r="H246" s="27" t="s">
        <v>347</v>
      </c>
      <c r="I246" s="27" t="s">
        <v>286</v>
      </c>
      <c r="J246" s="121" t="s">
        <v>1156</v>
      </c>
      <c r="K246" s="121"/>
      <c r="L246" s="121" t="str">
        <f t="shared" si="41"/>
        <v>Calle 1A #22-06, Libertadores, Cali</v>
      </c>
      <c r="M246" s="121" t="s">
        <v>231</v>
      </c>
      <c r="N246" s="121" t="s">
        <v>233</v>
      </c>
      <c r="O246" s="27"/>
      <c r="P246" s="27"/>
      <c r="Q246" s="27" t="s">
        <v>81</v>
      </c>
      <c r="R246" s="30"/>
      <c r="S246" s="30"/>
      <c r="T246" s="30">
        <v>1.0</v>
      </c>
      <c r="U246" s="209"/>
      <c r="V246" s="209"/>
      <c r="W246" s="209"/>
      <c r="X246" s="209"/>
      <c r="Y246" s="208"/>
      <c r="Z246" s="121" t="s">
        <v>1157</v>
      </c>
      <c r="AA246" s="121"/>
      <c r="AB246" s="121"/>
      <c r="AD246" s="210"/>
      <c r="AE246" s="211"/>
      <c r="AF246" s="210"/>
      <c r="AG246" s="210"/>
      <c r="AH246" s="210"/>
      <c r="AI246" s="210"/>
      <c r="AJ246" s="210"/>
      <c r="AK246" s="210"/>
      <c r="AL246" s="210"/>
      <c r="AM246" s="210"/>
      <c r="AN246" s="210"/>
      <c r="AO246" s="210"/>
      <c r="AP246" s="210"/>
    </row>
    <row r="247" ht="25.5" customHeight="1">
      <c r="A247" s="27">
        <f t="shared" si="3"/>
        <v>246</v>
      </c>
      <c r="B247" s="27" t="s">
        <v>61</v>
      </c>
      <c r="C247" s="27" t="s">
        <v>63</v>
      </c>
      <c r="D247" s="27" t="s">
        <v>64</v>
      </c>
      <c r="E247" s="28" t="str">
        <f t="shared" si="40"/>
        <v>SI</v>
      </c>
      <c r="F247" s="30" t="s">
        <v>35</v>
      </c>
      <c r="G247" s="30" t="s">
        <v>36</v>
      </c>
      <c r="H247" s="27" t="s">
        <v>369</v>
      </c>
      <c r="I247" s="27" t="s">
        <v>38</v>
      </c>
      <c r="J247" s="121" t="s">
        <v>1158</v>
      </c>
      <c r="K247" s="121" t="s">
        <v>405</v>
      </c>
      <c r="L247" s="121" t="str">
        <f t="shared" si="41"/>
        <v>carrera 46 # 8b -95, Tequendama, Cali</v>
      </c>
      <c r="M247" s="121" t="s">
        <v>231</v>
      </c>
      <c r="N247" s="121" t="s">
        <v>233</v>
      </c>
      <c r="O247" s="27"/>
      <c r="P247" s="27"/>
      <c r="Q247" s="27" t="s">
        <v>1159</v>
      </c>
      <c r="R247" s="30"/>
      <c r="S247" s="30"/>
      <c r="T247" s="30">
        <v>1.0</v>
      </c>
      <c r="U247" s="121" t="s">
        <v>46</v>
      </c>
      <c r="V247" s="209"/>
      <c r="W247" s="121">
        <v>1.0</v>
      </c>
      <c r="X247" s="209"/>
      <c r="Y247" s="208"/>
      <c r="Z247" s="121" t="s">
        <v>1160</v>
      </c>
      <c r="AA247" s="121"/>
      <c r="AB247" s="121"/>
      <c r="AD247" s="210"/>
      <c r="AE247" s="211"/>
      <c r="AF247" s="210"/>
      <c r="AG247" s="210"/>
      <c r="AH247" s="210"/>
      <c r="AI247" s="210"/>
      <c r="AJ247" s="210"/>
      <c r="AK247" s="210"/>
      <c r="AL247" s="210"/>
      <c r="AM247" s="210"/>
      <c r="AN247" s="210"/>
      <c r="AO247" s="210"/>
      <c r="AP247" s="210"/>
    </row>
    <row r="248" ht="25.5" customHeight="1">
      <c r="A248" s="27">
        <f t="shared" si="3"/>
        <v>247</v>
      </c>
      <c r="B248" s="27" t="s">
        <v>61</v>
      </c>
      <c r="C248" s="27" t="s">
        <v>63</v>
      </c>
      <c r="D248" s="27" t="s">
        <v>64</v>
      </c>
      <c r="E248" s="28" t="str">
        <f t="shared" si="40"/>
        <v/>
      </c>
      <c r="F248" s="30" t="s">
        <v>110</v>
      </c>
      <c r="G248" s="30" t="s">
        <v>176</v>
      </c>
      <c r="H248" s="27" t="s">
        <v>466</v>
      </c>
      <c r="I248" s="27" t="s">
        <v>286</v>
      </c>
      <c r="J248" s="121" t="s">
        <v>1161</v>
      </c>
      <c r="K248" s="121"/>
      <c r="L248" s="121" t="str">
        <f t="shared" si="41"/>
        <v>Carrera 4 con 9, San Pedro, Cali</v>
      </c>
      <c r="M248" s="121" t="s">
        <v>231</v>
      </c>
      <c r="N248" s="121" t="s">
        <v>233</v>
      </c>
      <c r="O248" s="27"/>
      <c r="P248" s="27"/>
      <c r="Q248" s="27" t="s">
        <v>81</v>
      </c>
      <c r="R248" s="30"/>
      <c r="S248" s="30"/>
      <c r="T248" s="30">
        <v>1.0</v>
      </c>
      <c r="U248" s="209"/>
      <c r="V248" s="209"/>
      <c r="W248" s="209"/>
      <c r="X248" s="209"/>
      <c r="Y248" s="208"/>
      <c r="Z248" s="209"/>
      <c r="AA248" s="209"/>
      <c r="AB248" s="209"/>
      <c r="AD248" s="210"/>
      <c r="AE248" s="211"/>
      <c r="AF248" s="210"/>
      <c r="AG248" s="210"/>
      <c r="AH248" s="210"/>
      <c r="AI248" s="210"/>
      <c r="AJ248" s="210"/>
      <c r="AK248" s="210"/>
      <c r="AL248" s="210"/>
      <c r="AM248" s="210"/>
      <c r="AN248" s="210"/>
      <c r="AO248" s="210"/>
      <c r="AP248" s="210"/>
    </row>
    <row r="249" ht="25.5" customHeight="1">
      <c r="A249" s="27">
        <f t="shared" si="3"/>
        <v>248</v>
      </c>
      <c r="B249" s="27" t="s">
        <v>61</v>
      </c>
      <c r="C249" s="27" t="s">
        <v>63</v>
      </c>
      <c r="D249" s="27" t="s">
        <v>64</v>
      </c>
      <c r="E249" s="95" t="str">
        <f t="shared" si="40"/>
        <v/>
      </c>
      <c r="F249" s="35" t="s">
        <v>60</v>
      </c>
      <c r="G249" s="30" t="s">
        <v>36</v>
      </c>
      <c r="H249" s="27" t="s">
        <v>1162</v>
      </c>
      <c r="I249" s="27" t="s">
        <v>38</v>
      </c>
      <c r="J249" s="121" t="s">
        <v>1163</v>
      </c>
      <c r="K249" s="121"/>
      <c r="L249" s="121" t="str">
        <f t="shared" si="41"/>
        <v>Carrera 83 #15-76, El Ingenio, Cali</v>
      </c>
      <c r="M249" s="121" t="s">
        <v>231</v>
      </c>
      <c r="N249" s="121" t="s">
        <v>233</v>
      </c>
      <c r="O249" s="27"/>
      <c r="P249" s="27"/>
      <c r="Q249" s="27" t="s">
        <v>81</v>
      </c>
      <c r="R249" s="30"/>
      <c r="S249" s="30"/>
      <c r="T249" s="30">
        <v>1.0</v>
      </c>
      <c r="U249" s="209"/>
      <c r="V249" s="209"/>
      <c r="W249" s="209"/>
      <c r="X249" s="209"/>
      <c r="Y249" s="208"/>
      <c r="Z249" s="121" t="s">
        <v>1164</v>
      </c>
      <c r="AA249" s="121"/>
      <c r="AB249" s="121"/>
      <c r="AD249" s="210"/>
      <c r="AE249" s="211"/>
      <c r="AF249" s="210"/>
      <c r="AG249" s="210"/>
      <c r="AH249" s="210"/>
      <c r="AI249" s="210"/>
      <c r="AJ249" s="210"/>
      <c r="AK249" s="210"/>
      <c r="AL249" s="210"/>
      <c r="AM249" s="210"/>
      <c r="AN249" s="210"/>
      <c r="AO249" s="210"/>
      <c r="AP249" s="210"/>
    </row>
    <row r="250" ht="25.5" customHeight="1">
      <c r="A250" s="27">
        <f t="shared" si="3"/>
        <v>249</v>
      </c>
      <c r="B250" s="27" t="s">
        <v>61</v>
      </c>
      <c r="C250" s="27" t="s">
        <v>63</v>
      </c>
      <c r="D250" s="27" t="s">
        <v>64</v>
      </c>
      <c r="E250" s="28" t="str">
        <f t="shared" si="40"/>
        <v/>
      </c>
      <c r="F250" s="30" t="s">
        <v>110</v>
      </c>
      <c r="G250" s="30" t="s">
        <v>176</v>
      </c>
      <c r="H250" s="27" t="s">
        <v>457</v>
      </c>
      <c r="I250" s="27" t="s">
        <v>286</v>
      </c>
      <c r="J250" s="121" t="s">
        <v>1165</v>
      </c>
      <c r="K250" s="121"/>
      <c r="L250" s="121" t="str">
        <f t="shared" si="41"/>
        <v>Calle 6 carrera 13, San Juan Bosco, Cali</v>
      </c>
      <c r="M250" s="121" t="s">
        <v>231</v>
      </c>
      <c r="N250" s="121" t="s">
        <v>233</v>
      </c>
      <c r="O250" s="27"/>
      <c r="P250" s="27"/>
      <c r="Q250" s="27" t="s">
        <v>81</v>
      </c>
      <c r="R250" s="30"/>
      <c r="S250" s="30"/>
      <c r="T250" s="30">
        <v>1.0</v>
      </c>
      <c r="U250" s="209"/>
      <c r="V250" s="209"/>
      <c r="W250" s="209"/>
      <c r="X250" s="209"/>
      <c r="Y250" s="208"/>
      <c r="Z250" s="209"/>
      <c r="AA250" s="209"/>
      <c r="AB250" s="209"/>
      <c r="AD250" s="210"/>
      <c r="AE250" s="211"/>
      <c r="AF250" s="210"/>
      <c r="AG250" s="210"/>
      <c r="AH250" s="210"/>
      <c r="AI250" s="210"/>
      <c r="AJ250" s="210"/>
      <c r="AK250" s="210"/>
      <c r="AL250" s="210"/>
      <c r="AM250" s="210"/>
      <c r="AN250" s="210"/>
      <c r="AO250" s="210"/>
      <c r="AP250" s="210"/>
    </row>
    <row r="251" ht="25.5" customHeight="1">
      <c r="A251" s="27">
        <f t="shared" si="3"/>
        <v>250</v>
      </c>
      <c r="B251" s="27" t="s">
        <v>61</v>
      </c>
      <c r="C251" s="27" t="s">
        <v>63</v>
      </c>
      <c r="D251" s="27" t="s">
        <v>64</v>
      </c>
      <c r="E251" s="28" t="str">
        <f t="shared" si="40"/>
        <v/>
      </c>
      <c r="F251" s="30" t="s">
        <v>73</v>
      </c>
      <c r="G251" s="30" t="s">
        <v>176</v>
      </c>
      <c r="H251" s="27" t="s">
        <v>72</v>
      </c>
      <c r="I251" s="27" t="s">
        <v>286</v>
      </c>
      <c r="J251" s="121" t="s">
        <v>1166</v>
      </c>
      <c r="K251" s="121"/>
      <c r="L251" s="121" t="str">
        <f t="shared" si="41"/>
        <v>Carrera 24 # 07 -11, Alameda, Cali</v>
      </c>
      <c r="M251" s="121" t="s">
        <v>231</v>
      </c>
      <c r="N251" s="121" t="s">
        <v>233</v>
      </c>
      <c r="O251" s="27"/>
      <c r="P251" s="27"/>
      <c r="Q251" s="27" t="s">
        <v>81</v>
      </c>
      <c r="R251" s="30"/>
      <c r="S251" s="30"/>
      <c r="T251" s="30">
        <v>1.0</v>
      </c>
      <c r="U251" s="209"/>
      <c r="V251" s="209"/>
      <c r="W251" s="209"/>
      <c r="X251" s="209"/>
      <c r="Y251" s="208"/>
      <c r="Z251" s="209"/>
      <c r="AA251" s="209"/>
      <c r="AB251" s="209"/>
      <c r="AD251" s="210"/>
      <c r="AE251" s="211"/>
      <c r="AF251" s="210"/>
      <c r="AG251" s="210"/>
      <c r="AH251" s="210"/>
      <c r="AI251" s="210"/>
      <c r="AJ251" s="210"/>
      <c r="AK251" s="210"/>
      <c r="AL251" s="210"/>
      <c r="AM251" s="210"/>
      <c r="AN251" s="210"/>
      <c r="AO251" s="210"/>
      <c r="AP251" s="210"/>
    </row>
    <row r="252" ht="25.5" customHeight="1">
      <c r="A252" s="27">
        <f t="shared" si="3"/>
        <v>251</v>
      </c>
      <c r="B252" s="27" t="s">
        <v>61</v>
      </c>
      <c r="C252" s="27" t="s">
        <v>63</v>
      </c>
      <c r="D252" s="27" t="s">
        <v>64</v>
      </c>
      <c r="E252" s="95" t="str">
        <f t="shared" si="40"/>
        <v/>
      </c>
      <c r="F252" s="30" t="s">
        <v>35</v>
      </c>
      <c r="G252" s="35" t="s">
        <v>36</v>
      </c>
      <c r="H252" s="27" t="s">
        <v>158</v>
      </c>
      <c r="I252" s="27" t="s">
        <v>38</v>
      </c>
      <c r="J252" s="121" t="s">
        <v>1167</v>
      </c>
      <c r="K252" s="121" t="s">
        <v>1168</v>
      </c>
      <c r="L252" s="121" t="str">
        <f t="shared" si="41"/>
        <v>Carrera 58 No. 3-125, Cuarto de Legua, Cali</v>
      </c>
      <c r="M252" s="121" t="s">
        <v>231</v>
      </c>
      <c r="N252" s="121" t="s">
        <v>233</v>
      </c>
      <c r="O252" s="27"/>
      <c r="P252" s="27"/>
      <c r="Q252" s="27" t="s">
        <v>81</v>
      </c>
      <c r="R252" s="30"/>
      <c r="S252" s="30"/>
      <c r="T252" s="30">
        <v>1.0</v>
      </c>
      <c r="U252" s="209"/>
      <c r="V252" s="209"/>
      <c r="W252" s="209"/>
      <c r="X252" s="209"/>
      <c r="Y252" s="208"/>
      <c r="Z252" s="121"/>
      <c r="AA252" s="121"/>
      <c r="AB252" s="121"/>
      <c r="AD252" s="210"/>
      <c r="AE252" s="211"/>
      <c r="AF252" s="210"/>
      <c r="AG252" s="210"/>
      <c r="AH252" s="210"/>
      <c r="AI252" s="210"/>
      <c r="AJ252" s="210"/>
      <c r="AK252" s="210"/>
      <c r="AL252" s="210"/>
      <c r="AM252" s="210"/>
      <c r="AN252" s="210"/>
      <c r="AO252" s="210"/>
      <c r="AP252" s="210"/>
    </row>
    <row r="253" ht="25.5" customHeight="1">
      <c r="A253" s="27">
        <f t="shared" si="3"/>
        <v>252</v>
      </c>
      <c r="B253" s="27" t="s">
        <v>61</v>
      </c>
      <c r="C253" s="27" t="s">
        <v>63</v>
      </c>
      <c r="D253" s="27" t="s">
        <v>64</v>
      </c>
      <c r="E253" s="95" t="str">
        <f t="shared" si="40"/>
        <v/>
      </c>
      <c r="F253" s="30" t="s">
        <v>35</v>
      </c>
      <c r="G253" s="30" t="s">
        <v>176</v>
      </c>
      <c r="H253" s="27" t="s">
        <v>488</v>
      </c>
      <c r="I253" s="27" t="s">
        <v>38</v>
      </c>
      <c r="J253" s="121" t="s">
        <v>1169</v>
      </c>
      <c r="K253" s="121" t="s">
        <v>1170</v>
      </c>
      <c r="L253" s="121" t="str">
        <f t="shared" si="41"/>
        <v>Carrera 36a bis # 6-66, Templete, Cali</v>
      </c>
      <c r="M253" s="121" t="s">
        <v>231</v>
      </c>
      <c r="N253" s="121" t="s">
        <v>233</v>
      </c>
      <c r="O253" s="27"/>
      <c r="P253" s="27"/>
      <c r="Q253" s="27" t="s">
        <v>81</v>
      </c>
      <c r="R253" s="30"/>
      <c r="S253" s="30"/>
      <c r="T253" s="30">
        <v>1.0</v>
      </c>
      <c r="U253" s="205"/>
      <c r="V253" s="206"/>
      <c r="W253" s="207"/>
      <c r="X253" s="208"/>
      <c r="Y253" s="208"/>
      <c r="Z253" s="121" t="s">
        <v>1171</v>
      </c>
      <c r="AA253" s="121"/>
      <c r="AB253" s="121"/>
      <c r="AD253" s="210"/>
      <c r="AE253" s="211"/>
      <c r="AF253" s="210"/>
      <c r="AG253" s="210"/>
      <c r="AH253" s="210"/>
      <c r="AI253" s="210"/>
      <c r="AJ253" s="210"/>
      <c r="AK253" s="210"/>
      <c r="AL253" s="210"/>
      <c r="AM253" s="210"/>
      <c r="AN253" s="210"/>
      <c r="AO253" s="210"/>
      <c r="AP253" s="210"/>
    </row>
    <row r="254" ht="25.5" customHeight="1">
      <c r="A254" s="27">
        <f t="shared" si="3"/>
        <v>253</v>
      </c>
      <c r="B254" s="27" t="s">
        <v>61</v>
      </c>
      <c r="C254" s="27" t="s">
        <v>63</v>
      </c>
      <c r="D254" s="27" t="s">
        <v>64</v>
      </c>
      <c r="E254" s="28" t="str">
        <f t="shared" si="40"/>
        <v/>
      </c>
      <c r="F254" s="30" t="s">
        <v>60</v>
      </c>
      <c r="G254" s="30" t="s">
        <v>36</v>
      </c>
      <c r="H254" s="27" t="s">
        <v>278</v>
      </c>
      <c r="I254" s="27" t="s">
        <v>286</v>
      </c>
      <c r="J254" s="121" t="s">
        <v>1172</v>
      </c>
      <c r="K254" s="121"/>
      <c r="L254" s="121" t="str">
        <f t="shared" si="41"/>
        <v>Carrera 36 # con 5, San Fernando, Cali</v>
      </c>
      <c r="M254" s="121" t="s">
        <v>231</v>
      </c>
      <c r="N254" s="121" t="s">
        <v>233</v>
      </c>
      <c r="O254" s="27"/>
      <c r="P254" s="27"/>
      <c r="Q254" s="27" t="s">
        <v>81</v>
      </c>
      <c r="R254" s="30"/>
      <c r="S254" s="30"/>
      <c r="T254" s="30">
        <v>1.0</v>
      </c>
      <c r="U254" s="209"/>
      <c r="V254" s="209"/>
      <c r="W254" s="209"/>
      <c r="X254" s="209"/>
      <c r="Y254" s="208"/>
      <c r="Z254" s="209"/>
      <c r="AA254" s="209"/>
      <c r="AB254" s="209"/>
      <c r="AD254" s="210"/>
      <c r="AE254" s="211"/>
      <c r="AF254" s="210"/>
      <c r="AG254" s="210"/>
      <c r="AH254" s="210"/>
      <c r="AI254" s="210"/>
      <c r="AJ254" s="210"/>
      <c r="AK254" s="210"/>
      <c r="AL254" s="210"/>
      <c r="AM254" s="210"/>
      <c r="AN254" s="210"/>
      <c r="AO254" s="210"/>
      <c r="AP254" s="210"/>
    </row>
    <row r="255" ht="25.5" customHeight="1">
      <c r="A255" s="27">
        <f t="shared" si="3"/>
        <v>254</v>
      </c>
      <c r="B255" s="27" t="s">
        <v>61</v>
      </c>
      <c r="C255" s="27" t="s">
        <v>63</v>
      </c>
      <c r="D255" s="27" t="s">
        <v>64</v>
      </c>
      <c r="E255" s="28" t="str">
        <f t="shared" si="40"/>
        <v/>
      </c>
      <c r="F255" s="30" t="s">
        <v>60</v>
      </c>
      <c r="G255" s="30" t="s">
        <v>36</v>
      </c>
      <c r="H255" s="27" t="s">
        <v>167</v>
      </c>
      <c r="I255" s="27" t="s">
        <v>286</v>
      </c>
      <c r="J255" s="121" t="s">
        <v>1173</v>
      </c>
      <c r="K255" s="121"/>
      <c r="L255" s="121" t="str">
        <f t="shared" si="41"/>
        <v>Carrera 72 #10a - 10, Capri, Cali</v>
      </c>
      <c r="M255" s="121" t="s">
        <v>231</v>
      </c>
      <c r="N255" s="121" t="s">
        <v>233</v>
      </c>
      <c r="O255" s="27"/>
      <c r="P255" s="27"/>
      <c r="Q255" s="27" t="s">
        <v>81</v>
      </c>
      <c r="R255" s="30"/>
      <c r="S255" s="30"/>
      <c r="T255" s="30">
        <v>1.0</v>
      </c>
      <c r="U255" s="209"/>
      <c r="V255" s="209"/>
      <c r="W255" s="209"/>
      <c r="X255" s="209"/>
      <c r="Y255" s="208"/>
      <c r="Z255" s="209"/>
      <c r="AA255" s="209"/>
      <c r="AB255" s="209"/>
      <c r="AD255" s="210"/>
      <c r="AE255" s="211"/>
      <c r="AF255" s="210"/>
      <c r="AG255" s="210"/>
      <c r="AH255" s="210"/>
      <c r="AI255" s="210"/>
      <c r="AJ255" s="210"/>
      <c r="AK255" s="210"/>
      <c r="AL255" s="210"/>
      <c r="AM255" s="210"/>
      <c r="AN255" s="210"/>
      <c r="AO255" s="210"/>
      <c r="AP255" s="210"/>
    </row>
    <row r="256" ht="25.5" customHeight="1">
      <c r="A256" s="27">
        <f t="shared" si="3"/>
        <v>255</v>
      </c>
      <c r="B256" s="27" t="s">
        <v>61</v>
      </c>
      <c r="C256" s="27" t="s">
        <v>63</v>
      </c>
      <c r="D256" s="27" t="s">
        <v>64</v>
      </c>
      <c r="E256" s="28" t="str">
        <f t="shared" si="40"/>
        <v/>
      </c>
      <c r="F256" s="30" t="s">
        <v>119</v>
      </c>
      <c r="G256" s="30" t="s">
        <v>350</v>
      </c>
      <c r="H256" s="27" t="s">
        <v>145</v>
      </c>
      <c r="I256" s="27" t="s">
        <v>38</v>
      </c>
      <c r="J256" s="121" t="s">
        <v>1174</v>
      </c>
      <c r="K256" s="121" t="s">
        <v>1175</v>
      </c>
      <c r="L256" s="121" t="str">
        <f t="shared" si="41"/>
        <v>Avenida 2b2 # 73 bis -99, Brisas de los Alamos, Cali</v>
      </c>
      <c r="M256" s="121" t="s">
        <v>231</v>
      </c>
      <c r="N256" s="121" t="s">
        <v>233</v>
      </c>
      <c r="O256" s="27"/>
      <c r="P256" s="27"/>
      <c r="Q256" s="27" t="s">
        <v>81</v>
      </c>
      <c r="R256" s="30"/>
      <c r="S256" s="30"/>
      <c r="T256" s="30">
        <v>1.0</v>
      </c>
      <c r="U256" s="209"/>
      <c r="V256" s="209"/>
      <c r="W256" s="209"/>
      <c r="X256" s="209"/>
      <c r="Y256" s="208"/>
      <c r="Z256" s="121" t="s">
        <v>1176</v>
      </c>
      <c r="AA256" s="121"/>
      <c r="AB256" s="121"/>
      <c r="AD256" s="210"/>
      <c r="AE256" s="211"/>
      <c r="AF256" s="210"/>
      <c r="AG256" s="210"/>
      <c r="AH256" s="210"/>
      <c r="AI256" s="210"/>
      <c r="AJ256" s="210"/>
      <c r="AK256" s="210"/>
      <c r="AL256" s="210"/>
      <c r="AM256" s="210"/>
      <c r="AN256" s="210"/>
      <c r="AO256" s="210"/>
      <c r="AP256" s="210"/>
    </row>
    <row r="257" ht="25.5" customHeight="1">
      <c r="A257" s="63">
        <f t="shared" si="3"/>
        <v>256</v>
      </c>
      <c r="B257" s="63" t="s">
        <v>62</v>
      </c>
      <c r="C257" s="65" t="s">
        <v>133</v>
      </c>
      <c r="D257" s="108" t="s">
        <v>64</v>
      </c>
      <c r="E257" s="68" t="s">
        <v>62</v>
      </c>
      <c r="F257" s="70" t="s">
        <v>62</v>
      </c>
      <c r="G257" s="70" t="s">
        <v>62</v>
      </c>
      <c r="H257" s="71" t="s">
        <v>62</v>
      </c>
      <c r="I257" s="71" t="s">
        <v>62</v>
      </c>
      <c r="J257" s="68" t="s">
        <v>62</v>
      </c>
      <c r="K257" s="68" t="s">
        <v>62</v>
      </c>
      <c r="L257" s="68" t="s">
        <v>62</v>
      </c>
      <c r="M257" s="68" t="s">
        <v>62</v>
      </c>
      <c r="N257" s="68" t="s">
        <v>62</v>
      </c>
      <c r="O257" s="68" t="s">
        <v>62</v>
      </c>
      <c r="P257" s="68" t="s">
        <v>62</v>
      </c>
      <c r="Q257" s="68" t="s">
        <v>62</v>
      </c>
      <c r="R257" s="68" t="s">
        <v>62</v>
      </c>
      <c r="S257" s="68"/>
      <c r="T257" s="68" t="s">
        <v>62</v>
      </c>
      <c r="U257" s="68" t="s">
        <v>62</v>
      </c>
      <c r="V257" s="68" t="s">
        <v>62</v>
      </c>
      <c r="W257" s="68" t="s">
        <v>62</v>
      </c>
      <c r="X257" s="68" t="s">
        <v>62</v>
      </c>
      <c r="Y257" s="68" t="s">
        <v>62</v>
      </c>
      <c r="Z257" s="68" t="s">
        <v>62</v>
      </c>
      <c r="AA257" s="68" t="s">
        <v>62</v>
      </c>
      <c r="AB257" s="68" t="s">
        <v>62</v>
      </c>
      <c r="AD257" s="243"/>
      <c r="AE257" s="244"/>
      <c r="AF257" s="243"/>
      <c r="AG257" s="243"/>
      <c r="AH257" s="243"/>
      <c r="AI257" s="243"/>
      <c r="AJ257" s="243"/>
      <c r="AK257" s="243"/>
      <c r="AL257" s="243"/>
      <c r="AM257" s="243"/>
      <c r="AN257" s="243"/>
      <c r="AO257" s="243"/>
      <c r="AP257" s="243"/>
    </row>
    <row r="258" ht="25.5" customHeight="1">
      <c r="A258" s="27">
        <f t="shared" si="3"/>
        <v>257</v>
      </c>
      <c r="B258" s="27" t="s">
        <v>61</v>
      </c>
      <c r="C258" s="27" t="s">
        <v>63</v>
      </c>
      <c r="D258" s="27" t="s">
        <v>64</v>
      </c>
      <c r="E258" s="28" t="str">
        <f t="shared" ref="E258:E260" si="42">IF(OR($B258="ALTA",AND(ISNUMBER($W258),$W258&gt;0),AND($U258&lt;&gt;"",$U258&lt;&gt;"NO")),"SI","")</f>
        <v/>
      </c>
      <c r="F258" s="30" t="s">
        <v>60</v>
      </c>
      <c r="G258" s="30" t="s">
        <v>36</v>
      </c>
      <c r="H258" s="27" t="s">
        <v>504</v>
      </c>
      <c r="I258" s="27" t="s">
        <v>38</v>
      </c>
      <c r="J258" s="121" t="s">
        <v>1177</v>
      </c>
      <c r="K258" s="121" t="s">
        <v>1178</v>
      </c>
      <c r="L258" s="121" t="str">
        <f t="shared" ref="L258:L260" si="43">CONCATENATE(J258,", ",H258,", Cali")</f>
        <v>Carrera 98 #48-30, Valle del Lili, Cali</v>
      </c>
      <c r="M258" s="121" t="s">
        <v>231</v>
      </c>
      <c r="N258" s="121" t="s">
        <v>233</v>
      </c>
      <c r="O258" s="27"/>
      <c r="P258" s="27"/>
      <c r="Q258" s="27" t="s">
        <v>81</v>
      </c>
      <c r="R258" s="30"/>
      <c r="S258" s="30"/>
      <c r="T258" s="30">
        <v>1.0</v>
      </c>
      <c r="U258" s="205"/>
      <c r="V258" s="206"/>
      <c r="W258" s="207"/>
      <c r="X258" s="208"/>
      <c r="Y258" s="208"/>
      <c r="Z258" s="121" t="s">
        <v>1179</v>
      </c>
      <c r="AA258" s="121"/>
      <c r="AB258" s="121"/>
      <c r="AD258" s="210"/>
      <c r="AE258" s="211"/>
      <c r="AF258" s="210"/>
      <c r="AG258" s="210"/>
      <c r="AH258" s="210"/>
      <c r="AI258" s="210"/>
      <c r="AJ258" s="210"/>
      <c r="AK258" s="210"/>
      <c r="AL258" s="210"/>
      <c r="AM258" s="210"/>
      <c r="AN258" s="210"/>
      <c r="AO258" s="210"/>
      <c r="AP258" s="210"/>
    </row>
    <row r="259" ht="25.5" customHeight="1">
      <c r="A259" s="27">
        <f t="shared" si="3"/>
        <v>258</v>
      </c>
      <c r="B259" s="27" t="s">
        <v>61</v>
      </c>
      <c r="C259" s="27" t="s">
        <v>63</v>
      </c>
      <c r="D259" s="27" t="s">
        <v>64</v>
      </c>
      <c r="E259" s="28" t="str">
        <f t="shared" si="42"/>
        <v/>
      </c>
      <c r="F259" s="30" t="s">
        <v>35</v>
      </c>
      <c r="G259" s="30" t="s">
        <v>36</v>
      </c>
      <c r="H259" s="27" t="s">
        <v>405</v>
      </c>
      <c r="I259" s="27" t="s">
        <v>286</v>
      </c>
      <c r="J259" s="121" t="s">
        <v>1180</v>
      </c>
      <c r="K259" s="121"/>
      <c r="L259" s="121" t="str">
        <f t="shared" si="43"/>
        <v>Calle 8b #45- 15, Nueva Tequendama, Cali</v>
      </c>
      <c r="M259" s="154" t="s">
        <v>679</v>
      </c>
      <c r="N259" s="154" t="s">
        <v>233</v>
      </c>
      <c r="O259" s="27"/>
      <c r="P259" s="27"/>
      <c r="Q259" s="27" t="s">
        <v>1181</v>
      </c>
      <c r="R259" s="30"/>
      <c r="S259" s="30"/>
      <c r="T259" s="30">
        <v>1.0</v>
      </c>
      <c r="U259" s="205"/>
      <c r="V259" s="206"/>
      <c r="W259" s="11" t="s">
        <v>46</v>
      </c>
      <c r="X259" s="208"/>
      <c r="Y259" s="261" t="s">
        <v>843</v>
      </c>
      <c r="Z259" s="121" t="s">
        <v>1182</v>
      </c>
      <c r="AA259" s="121"/>
      <c r="AB259" s="121"/>
      <c r="AD259" s="210"/>
      <c r="AE259" s="211"/>
      <c r="AF259" s="210"/>
      <c r="AG259" s="210"/>
      <c r="AH259" s="210"/>
      <c r="AI259" s="210"/>
      <c r="AJ259" s="210"/>
      <c r="AK259" s="210"/>
      <c r="AL259" s="210"/>
      <c r="AM259" s="210"/>
      <c r="AN259" s="210"/>
      <c r="AO259" s="210"/>
      <c r="AP259" s="210"/>
    </row>
    <row r="260" ht="25.5" customHeight="1">
      <c r="A260" s="27">
        <f t="shared" si="3"/>
        <v>259</v>
      </c>
      <c r="B260" s="27" t="s">
        <v>61</v>
      </c>
      <c r="C260" s="27" t="s">
        <v>63</v>
      </c>
      <c r="D260" s="27" t="s">
        <v>64</v>
      </c>
      <c r="E260" s="95" t="str">
        <f t="shared" si="42"/>
        <v>SI</v>
      </c>
      <c r="F260" s="30" t="s">
        <v>35</v>
      </c>
      <c r="G260" s="30" t="s">
        <v>36</v>
      </c>
      <c r="H260" s="27" t="s">
        <v>369</v>
      </c>
      <c r="I260" s="27" t="s">
        <v>286</v>
      </c>
      <c r="J260" s="121" t="s">
        <v>1183</v>
      </c>
      <c r="K260" s="121" t="s">
        <v>1184</v>
      </c>
      <c r="L260" s="121" t="str">
        <f t="shared" si="43"/>
        <v>Calle 5 con 56, Tequendama, Cali</v>
      </c>
      <c r="M260" s="121" t="s">
        <v>231</v>
      </c>
      <c r="N260" s="121" t="s">
        <v>233</v>
      </c>
      <c r="O260" s="27"/>
      <c r="P260" s="27"/>
      <c r="Q260" s="27" t="s">
        <v>81</v>
      </c>
      <c r="R260" s="30"/>
      <c r="S260" s="30"/>
      <c r="T260" s="30">
        <v>1.0</v>
      </c>
      <c r="U260" s="205"/>
      <c r="V260" s="206"/>
      <c r="W260" s="11">
        <v>2.0</v>
      </c>
      <c r="X260" s="208"/>
      <c r="Y260" s="261" t="s">
        <v>1185</v>
      </c>
      <c r="Z260" s="121" t="s">
        <v>270</v>
      </c>
      <c r="AA260" s="121"/>
      <c r="AB260" s="121"/>
      <c r="AD260" s="210"/>
      <c r="AE260" s="211"/>
      <c r="AF260" s="210"/>
      <c r="AG260" s="210"/>
      <c r="AH260" s="210"/>
      <c r="AI260" s="210"/>
      <c r="AJ260" s="210"/>
      <c r="AK260" s="210"/>
      <c r="AL260" s="210"/>
      <c r="AM260" s="210"/>
      <c r="AN260" s="210"/>
      <c r="AO260" s="210"/>
      <c r="AP260" s="210"/>
    </row>
    <row r="261" ht="25.5" customHeight="1">
      <c r="A261" s="63">
        <f t="shared" si="3"/>
        <v>260</v>
      </c>
      <c r="B261" s="63" t="s">
        <v>62</v>
      </c>
      <c r="C261" s="65" t="s">
        <v>133</v>
      </c>
      <c r="D261" s="43" t="s">
        <v>64</v>
      </c>
      <c r="E261" s="68" t="s">
        <v>62</v>
      </c>
      <c r="F261" s="70" t="s">
        <v>62</v>
      </c>
      <c r="G261" s="70" t="s">
        <v>62</v>
      </c>
      <c r="H261" s="71" t="s">
        <v>62</v>
      </c>
      <c r="I261" s="71" t="s">
        <v>62</v>
      </c>
      <c r="J261" s="68" t="s">
        <v>62</v>
      </c>
      <c r="K261" s="68" t="s">
        <v>62</v>
      </c>
      <c r="L261" s="68" t="s">
        <v>62</v>
      </c>
      <c r="M261" s="68" t="s">
        <v>62</v>
      </c>
      <c r="N261" s="68" t="s">
        <v>62</v>
      </c>
      <c r="O261" s="68" t="s">
        <v>62</v>
      </c>
      <c r="P261" s="68" t="s">
        <v>62</v>
      </c>
      <c r="Q261" s="68" t="s">
        <v>62</v>
      </c>
      <c r="R261" s="68" t="s">
        <v>62</v>
      </c>
      <c r="S261" s="68"/>
      <c r="T261" s="68" t="s">
        <v>62</v>
      </c>
      <c r="U261" s="68" t="s">
        <v>62</v>
      </c>
      <c r="V261" s="68" t="s">
        <v>62</v>
      </c>
      <c r="W261" s="68" t="s">
        <v>62</v>
      </c>
      <c r="X261" s="68" t="s">
        <v>62</v>
      </c>
      <c r="Y261" s="68" t="s">
        <v>62</v>
      </c>
      <c r="Z261" s="68" t="s">
        <v>62</v>
      </c>
      <c r="AA261" s="68" t="s">
        <v>62</v>
      </c>
      <c r="AB261" s="68" t="s">
        <v>62</v>
      </c>
      <c r="AD261" s="243"/>
      <c r="AE261" s="244"/>
      <c r="AF261" s="243"/>
      <c r="AG261" s="243"/>
      <c r="AH261" s="243"/>
      <c r="AI261" s="243"/>
      <c r="AJ261" s="243"/>
      <c r="AK261" s="243"/>
      <c r="AL261" s="243"/>
      <c r="AM261" s="243"/>
      <c r="AN261" s="243"/>
      <c r="AO261" s="243"/>
      <c r="AP261" s="243"/>
    </row>
    <row r="262" ht="25.5" customHeight="1">
      <c r="A262" s="27">
        <f t="shared" si="3"/>
        <v>261</v>
      </c>
      <c r="B262" s="27" t="s">
        <v>61</v>
      </c>
      <c r="C262" s="27" t="s">
        <v>63</v>
      </c>
      <c r="D262" s="27" t="s">
        <v>64</v>
      </c>
      <c r="E262" s="95" t="str">
        <f t="shared" ref="E262:E271" si="44">IF(OR($B262="ALTA",AND(ISNUMBER($W262),$W262&gt;0),AND($U262&lt;&gt;"",$U262&lt;&gt;"NO")),"SI","")</f>
        <v/>
      </c>
      <c r="F262" s="30" t="s">
        <v>35</v>
      </c>
      <c r="G262" s="30" t="s">
        <v>36</v>
      </c>
      <c r="H262" s="27" t="s">
        <v>278</v>
      </c>
      <c r="I262" s="27" t="s">
        <v>286</v>
      </c>
      <c r="J262" s="121" t="s">
        <v>1186</v>
      </c>
      <c r="K262" s="121"/>
      <c r="L262" s="121" t="str">
        <f t="shared" ref="L262:L271" si="45">CONCATENATE(J262,", ",H262,", Cali")</f>
        <v>Carrera 37 #4A Bis - 49, San Fernando, Cali</v>
      </c>
      <c r="M262" s="121" t="s">
        <v>231</v>
      </c>
      <c r="N262" s="121" t="s">
        <v>233</v>
      </c>
      <c r="O262" s="27"/>
      <c r="P262" s="27"/>
      <c r="Q262" s="27" t="s">
        <v>81</v>
      </c>
      <c r="R262" s="30"/>
      <c r="S262" s="30"/>
      <c r="T262" s="30">
        <v>1.0</v>
      </c>
      <c r="U262" s="205"/>
      <c r="V262" s="206"/>
      <c r="W262" s="207"/>
      <c r="X262" s="208"/>
      <c r="Y262" s="208"/>
      <c r="Z262" s="121" t="s">
        <v>1187</v>
      </c>
      <c r="AA262" s="121"/>
      <c r="AB262" s="121"/>
      <c r="AD262" s="210"/>
      <c r="AE262" s="211"/>
      <c r="AF262" s="210"/>
      <c r="AG262" s="210"/>
      <c r="AH262" s="210"/>
      <c r="AI262" s="210"/>
      <c r="AJ262" s="210"/>
      <c r="AK262" s="210"/>
      <c r="AL262" s="210"/>
      <c r="AM262" s="210"/>
      <c r="AN262" s="210"/>
      <c r="AO262" s="210"/>
      <c r="AP262" s="210"/>
    </row>
    <row r="263" ht="25.5" customHeight="1">
      <c r="A263" s="27">
        <f t="shared" si="3"/>
        <v>262</v>
      </c>
      <c r="B263" s="27" t="s">
        <v>61</v>
      </c>
      <c r="C263" s="27" t="s">
        <v>63</v>
      </c>
      <c r="D263" s="27" t="s">
        <v>64</v>
      </c>
      <c r="E263" s="28" t="str">
        <f t="shared" si="44"/>
        <v/>
      </c>
      <c r="F263" s="30" t="s">
        <v>59</v>
      </c>
      <c r="G263" s="30" t="s">
        <v>939</v>
      </c>
      <c r="H263" s="27" t="s">
        <v>493</v>
      </c>
      <c r="I263" s="27" t="s">
        <v>286</v>
      </c>
      <c r="J263" s="121" t="s">
        <v>1188</v>
      </c>
      <c r="K263" s="121"/>
      <c r="L263" s="121" t="str">
        <f t="shared" si="45"/>
        <v>Avenida 6ta Oeste # 13-115, Terrón colorado, sector Casas Nuevas, Cali</v>
      </c>
      <c r="M263" s="121" t="s">
        <v>231</v>
      </c>
      <c r="N263" s="121" t="s">
        <v>233</v>
      </c>
      <c r="O263" s="27"/>
      <c r="P263" s="27"/>
      <c r="Q263" s="27" t="s">
        <v>81</v>
      </c>
      <c r="R263" s="30"/>
      <c r="S263" s="30"/>
      <c r="T263" s="30">
        <v>1.0</v>
      </c>
      <c r="U263" s="205"/>
      <c r="V263" s="206"/>
      <c r="W263" s="207"/>
      <c r="X263" s="208"/>
      <c r="Y263" s="208"/>
      <c r="Z263" s="121" t="s">
        <v>1189</v>
      </c>
      <c r="AA263" s="121"/>
      <c r="AB263" s="121"/>
      <c r="AD263" s="210"/>
      <c r="AE263" s="211"/>
      <c r="AF263" s="210"/>
      <c r="AG263" s="210"/>
      <c r="AH263" s="210"/>
      <c r="AI263" s="210"/>
      <c r="AJ263" s="210"/>
      <c r="AK263" s="210"/>
      <c r="AL263" s="210"/>
      <c r="AM263" s="210"/>
      <c r="AN263" s="210"/>
      <c r="AO263" s="210"/>
      <c r="AP263" s="210"/>
    </row>
    <row r="264" ht="25.5" customHeight="1">
      <c r="A264" s="27">
        <f t="shared" si="3"/>
        <v>263</v>
      </c>
      <c r="B264" s="27" t="s">
        <v>61</v>
      </c>
      <c r="C264" s="27" t="s">
        <v>63</v>
      </c>
      <c r="D264" s="27" t="s">
        <v>64</v>
      </c>
      <c r="E264" s="28" t="str">
        <f t="shared" si="44"/>
        <v/>
      </c>
      <c r="F264" s="30" t="s">
        <v>70</v>
      </c>
      <c r="G264" s="30" t="s">
        <v>36</v>
      </c>
      <c r="H264" s="27" t="s">
        <v>211</v>
      </c>
      <c r="I264" s="27" t="s">
        <v>286</v>
      </c>
      <c r="J264" s="121" t="s">
        <v>1190</v>
      </c>
      <c r="K264" s="121" t="s">
        <v>1191</v>
      </c>
      <c r="L264" s="121" t="str">
        <f t="shared" si="45"/>
        <v>Carrera 34 #13-51, Colseguros, Cali</v>
      </c>
      <c r="M264" s="121" t="s">
        <v>231</v>
      </c>
      <c r="N264" s="121" t="s">
        <v>233</v>
      </c>
      <c r="O264" s="27"/>
      <c r="P264" s="27"/>
      <c r="Q264" s="27" t="s">
        <v>81</v>
      </c>
      <c r="R264" s="30"/>
      <c r="S264" s="30"/>
      <c r="T264" s="30">
        <v>1.0</v>
      </c>
      <c r="U264" s="205"/>
      <c r="V264" s="206"/>
      <c r="W264" s="207"/>
      <c r="X264" s="208"/>
      <c r="Y264" s="208"/>
      <c r="Z264" s="121" t="s">
        <v>1192</v>
      </c>
      <c r="AA264" s="121"/>
      <c r="AB264" s="121"/>
      <c r="AD264" s="210"/>
      <c r="AE264" s="211"/>
      <c r="AF264" s="210"/>
      <c r="AG264" s="210"/>
      <c r="AH264" s="210"/>
      <c r="AI264" s="210"/>
      <c r="AJ264" s="210"/>
      <c r="AK264" s="210"/>
      <c r="AL264" s="210"/>
      <c r="AM264" s="210"/>
      <c r="AN264" s="210"/>
      <c r="AO264" s="210"/>
      <c r="AP264" s="210"/>
    </row>
    <row r="265" ht="25.5" customHeight="1">
      <c r="A265" s="27">
        <f t="shared" si="3"/>
        <v>264</v>
      </c>
      <c r="B265" s="27" t="s">
        <v>61</v>
      </c>
      <c r="C265" s="27" t="s">
        <v>63</v>
      </c>
      <c r="D265" s="27" t="s">
        <v>64</v>
      </c>
      <c r="E265" s="28" t="str">
        <f t="shared" si="44"/>
        <v/>
      </c>
      <c r="F265" s="30" t="s">
        <v>35</v>
      </c>
      <c r="G265" s="30" t="s">
        <v>36</v>
      </c>
      <c r="H265" s="27" t="s">
        <v>278</v>
      </c>
      <c r="I265" s="27" t="s">
        <v>38</v>
      </c>
      <c r="J265" s="121" t="s">
        <v>1193</v>
      </c>
      <c r="K265" s="121"/>
      <c r="L265" s="121" t="str">
        <f t="shared" si="45"/>
        <v>Carrera 36 #5B3-62, San Fernando, Cali</v>
      </c>
      <c r="M265" s="121" t="s">
        <v>231</v>
      </c>
      <c r="N265" s="121" t="s">
        <v>233</v>
      </c>
      <c r="O265" s="27"/>
      <c r="P265" s="27"/>
      <c r="Q265" s="27" t="s">
        <v>81</v>
      </c>
      <c r="R265" s="30"/>
      <c r="S265" s="30"/>
      <c r="T265" s="30">
        <v>1.0</v>
      </c>
      <c r="U265" s="209"/>
      <c r="V265" s="209"/>
      <c r="W265" s="209"/>
      <c r="X265" s="209"/>
      <c r="Y265" s="208"/>
      <c r="Z265" s="121" t="s">
        <v>1194</v>
      </c>
      <c r="AA265" s="121"/>
      <c r="AB265" s="121"/>
      <c r="AD265" s="210"/>
      <c r="AE265" s="211"/>
      <c r="AF265" s="210"/>
      <c r="AG265" s="210"/>
      <c r="AH265" s="210"/>
      <c r="AI265" s="210"/>
      <c r="AJ265" s="210"/>
      <c r="AK265" s="210"/>
      <c r="AL265" s="210"/>
      <c r="AM265" s="210"/>
      <c r="AN265" s="210"/>
      <c r="AO265" s="210"/>
      <c r="AP265" s="210"/>
    </row>
    <row r="266" ht="25.5" customHeight="1">
      <c r="A266" s="27">
        <f t="shared" si="3"/>
        <v>265</v>
      </c>
      <c r="B266" s="27" t="s">
        <v>61</v>
      </c>
      <c r="C266" s="27" t="s">
        <v>63</v>
      </c>
      <c r="D266" s="27" t="s">
        <v>64</v>
      </c>
      <c r="E266" s="28" t="str">
        <f t="shared" si="44"/>
        <v>SI</v>
      </c>
      <c r="F266" s="30" t="s">
        <v>87</v>
      </c>
      <c r="G266" s="30" t="s">
        <v>36</v>
      </c>
      <c r="H266" s="27" t="s">
        <v>245</v>
      </c>
      <c r="I266" s="27" t="s">
        <v>286</v>
      </c>
      <c r="J266" s="121" t="s">
        <v>1195</v>
      </c>
      <c r="K266" s="121" t="s">
        <v>1196</v>
      </c>
      <c r="L266" s="121" t="str">
        <f t="shared" si="45"/>
        <v>Carrera 94c #2-46, El jordan, Cali</v>
      </c>
      <c r="M266" s="121" t="s">
        <v>231</v>
      </c>
      <c r="N266" s="121" t="s">
        <v>233</v>
      </c>
      <c r="O266" s="27"/>
      <c r="P266" s="27"/>
      <c r="Q266" s="27" t="s">
        <v>81</v>
      </c>
      <c r="R266" s="30"/>
      <c r="S266" s="30"/>
      <c r="T266" s="30">
        <v>1.0</v>
      </c>
      <c r="U266" s="121" t="s">
        <v>83</v>
      </c>
      <c r="V266" s="209"/>
      <c r="W266" s="121">
        <v>1.0</v>
      </c>
      <c r="X266" s="209"/>
      <c r="Y266" s="208"/>
      <c r="Z266" s="121" t="s">
        <v>1197</v>
      </c>
      <c r="AA266" s="121"/>
      <c r="AB266" s="121"/>
      <c r="AD266" s="210"/>
      <c r="AE266" s="211"/>
      <c r="AF266" s="210"/>
      <c r="AG266" s="210"/>
      <c r="AH266" s="210"/>
      <c r="AI266" s="210"/>
      <c r="AJ266" s="210"/>
      <c r="AK266" s="210"/>
      <c r="AL266" s="210"/>
      <c r="AM266" s="210"/>
      <c r="AN266" s="210"/>
      <c r="AO266" s="210"/>
      <c r="AP266" s="210"/>
    </row>
    <row r="267" ht="25.5" customHeight="1">
      <c r="A267" s="27">
        <f t="shared" si="3"/>
        <v>266</v>
      </c>
      <c r="B267" s="27" t="s">
        <v>61</v>
      </c>
      <c r="C267" s="27" t="s">
        <v>63</v>
      </c>
      <c r="D267" s="27" t="s">
        <v>64</v>
      </c>
      <c r="E267" s="95" t="str">
        <f t="shared" si="44"/>
        <v/>
      </c>
      <c r="F267" s="30" t="s">
        <v>76</v>
      </c>
      <c r="G267" s="30" t="s">
        <v>350</v>
      </c>
      <c r="H267" s="27" t="s">
        <v>470</v>
      </c>
      <c r="I267" s="27" t="s">
        <v>38</v>
      </c>
      <c r="J267" s="121" t="s">
        <v>1198</v>
      </c>
      <c r="K267" s="121" t="s">
        <v>1199</v>
      </c>
      <c r="L267" s="121" t="str">
        <f t="shared" si="45"/>
        <v>Calle 23N # 3N-63, San Vicente, Cali</v>
      </c>
      <c r="M267" s="121" t="s">
        <v>231</v>
      </c>
      <c r="N267" s="121" t="s">
        <v>233</v>
      </c>
      <c r="O267" s="27"/>
      <c r="P267" s="27"/>
      <c r="Q267" s="27" t="s">
        <v>81</v>
      </c>
      <c r="R267" s="30"/>
      <c r="S267" s="30"/>
      <c r="T267" s="30">
        <v>1.0</v>
      </c>
      <c r="U267" s="209"/>
      <c r="V267" s="209"/>
      <c r="W267" s="209"/>
      <c r="X267" s="209"/>
      <c r="Y267" s="205"/>
      <c r="Z267" s="121" t="s">
        <v>1200</v>
      </c>
      <c r="AA267" s="121"/>
      <c r="AB267" s="121"/>
      <c r="AD267" s="210"/>
      <c r="AE267" s="211"/>
      <c r="AF267" s="210"/>
      <c r="AG267" s="210"/>
      <c r="AH267" s="210"/>
      <c r="AI267" s="210"/>
      <c r="AJ267" s="210"/>
      <c r="AK267" s="210"/>
      <c r="AL267" s="210"/>
      <c r="AM267" s="210"/>
      <c r="AN267" s="210"/>
      <c r="AO267" s="210"/>
      <c r="AP267" s="210"/>
    </row>
    <row r="268" ht="25.5" customHeight="1">
      <c r="A268" s="27">
        <f t="shared" si="3"/>
        <v>267</v>
      </c>
      <c r="B268" s="27" t="s">
        <v>61</v>
      </c>
      <c r="C268" s="27" t="s">
        <v>63</v>
      </c>
      <c r="D268" s="27" t="s">
        <v>64</v>
      </c>
      <c r="E268" s="28" t="str">
        <f t="shared" si="44"/>
        <v/>
      </c>
      <c r="F268" s="30" t="s">
        <v>35</v>
      </c>
      <c r="G268" s="30" t="s">
        <v>36</v>
      </c>
      <c r="H268" s="27" t="s">
        <v>455</v>
      </c>
      <c r="I268" s="27" t="s">
        <v>286</v>
      </c>
      <c r="J268" s="121" t="s">
        <v>1201</v>
      </c>
      <c r="K268" s="121"/>
      <c r="L268" s="121" t="str">
        <f t="shared" si="45"/>
        <v>Carrera 36C #5B1-81, San Fernando Nuevo, Cali</v>
      </c>
      <c r="M268" s="121" t="s">
        <v>231</v>
      </c>
      <c r="N268" s="121" t="s">
        <v>233</v>
      </c>
      <c r="O268" s="27"/>
      <c r="P268" s="27"/>
      <c r="Q268" s="27" t="s">
        <v>81</v>
      </c>
      <c r="R268" s="30"/>
      <c r="S268" s="30"/>
      <c r="T268" s="30">
        <v>1.0</v>
      </c>
      <c r="U268" s="209"/>
      <c r="V268" s="209"/>
      <c r="W268" s="209"/>
      <c r="X268" s="209"/>
      <c r="Y268" s="205"/>
      <c r="Z268" s="121" t="s">
        <v>1202</v>
      </c>
      <c r="AA268" s="121"/>
      <c r="AB268" s="121"/>
      <c r="AD268" s="210"/>
      <c r="AE268" s="211"/>
      <c r="AF268" s="210"/>
      <c r="AG268" s="210"/>
      <c r="AH268" s="210"/>
      <c r="AI268" s="210"/>
      <c r="AJ268" s="210"/>
      <c r="AK268" s="210"/>
      <c r="AL268" s="210"/>
      <c r="AM268" s="210"/>
      <c r="AN268" s="210"/>
      <c r="AO268" s="210"/>
      <c r="AP268" s="210"/>
    </row>
    <row r="269" ht="25.5" customHeight="1">
      <c r="A269" s="27">
        <f t="shared" si="3"/>
        <v>268</v>
      </c>
      <c r="B269" s="27" t="s">
        <v>61</v>
      </c>
      <c r="C269" s="27" t="s">
        <v>63</v>
      </c>
      <c r="D269" s="27" t="s">
        <v>64</v>
      </c>
      <c r="E269" s="28" t="str">
        <f t="shared" si="44"/>
        <v/>
      </c>
      <c r="F269" s="30" t="s">
        <v>140</v>
      </c>
      <c r="G269" s="30" t="s">
        <v>36</v>
      </c>
      <c r="H269" s="27" t="s">
        <v>504</v>
      </c>
      <c r="I269" s="33" t="s">
        <v>38</v>
      </c>
      <c r="J269" s="121" t="s">
        <v>1203</v>
      </c>
      <c r="K269" s="121"/>
      <c r="L269" s="121" t="str">
        <f t="shared" si="45"/>
        <v>Carrera 90 # 54C - 50, Valle del Lili, Cali</v>
      </c>
      <c r="M269" s="121" t="s">
        <v>231</v>
      </c>
      <c r="N269" s="121" t="s">
        <v>233</v>
      </c>
      <c r="O269" s="27"/>
      <c r="P269" s="27"/>
      <c r="Q269" s="27" t="s">
        <v>81</v>
      </c>
      <c r="R269" s="30"/>
      <c r="S269" s="30"/>
      <c r="T269" s="30">
        <v>1.0</v>
      </c>
      <c r="U269" s="209"/>
      <c r="V269" s="209"/>
      <c r="W269" s="209"/>
      <c r="X269" s="209"/>
      <c r="Y269" s="205"/>
      <c r="Z269" s="121" t="s">
        <v>1204</v>
      </c>
      <c r="AA269" s="121"/>
      <c r="AB269" s="121"/>
      <c r="AD269" s="210"/>
      <c r="AE269" s="211"/>
      <c r="AF269" s="210"/>
      <c r="AG269" s="210"/>
      <c r="AH269" s="210"/>
      <c r="AI269" s="210"/>
      <c r="AJ269" s="210"/>
      <c r="AK269" s="210"/>
      <c r="AL269" s="210"/>
      <c r="AM269" s="210"/>
      <c r="AN269" s="210"/>
      <c r="AO269" s="210"/>
      <c r="AP269" s="210"/>
    </row>
    <row r="270" ht="25.5" customHeight="1">
      <c r="A270" s="27">
        <f t="shared" si="3"/>
        <v>269</v>
      </c>
      <c r="B270" s="27" t="s">
        <v>61</v>
      </c>
      <c r="C270" s="27" t="s">
        <v>63</v>
      </c>
      <c r="D270" s="27" t="s">
        <v>64</v>
      </c>
      <c r="E270" s="28" t="str">
        <f t="shared" si="44"/>
        <v/>
      </c>
      <c r="F270" s="30" t="s">
        <v>76</v>
      </c>
      <c r="G270" s="30" t="s">
        <v>350</v>
      </c>
      <c r="H270" s="27" t="s">
        <v>470</v>
      </c>
      <c r="I270" s="27" t="s">
        <v>38</v>
      </c>
      <c r="J270" s="121" t="s">
        <v>1205</v>
      </c>
      <c r="K270" s="121"/>
      <c r="L270" s="121" t="str">
        <f t="shared" si="45"/>
        <v>Calle 25Norte # 5bn - 45, San Vicente, Cali</v>
      </c>
      <c r="M270" s="121" t="s">
        <v>231</v>
      </c>
      <c r="N270" s="121" t="s">
        <v>233</v>
      </c>
      <c r="O270" s="27"/>
      <c r="P270" s="27"/>
      <c r="Q270" s="27" t="s">
        <v>81</v>
      </c>
      <c r="R270" s="30"/>
      <c r="S270" s="30"/>
      <c r="T270" s="30">
        <v>1.0</v>
      </c>
      <c r="U270" s="209"/>
      <c r="V270" s="209"/>
      <c r="W270" s="209"/>
      <c r="X270" s="209"/>
      <c r="Y270" s="205"/>
      <c r="Z270" s="209"/>
      <c r="AA270" s="209"/>
      <c r="AB270" s="209"/>
      <c r="AD270" s="210"/>
      <c r="AE270" s="211"/>
      <c r="AF270" s="210"/>
      <c r="AG270" s="210"/>
      <c r="AH270" s="210"/>
      <c r="AI270" s="210"/>
      <c r="AJ270" s="210"/>
      <c r="AK270" s="210"/>
      <c r="AL270" s="210"/>
      <c r="AM270" s="210"/>
      <c r="AN270" s="210"/>
      <c r="AO270" s="210"/>
      <c r="AP270" s="210"/>
    </row>
    <row r="271" ht="25.5" customHeight="1">
      <c r="A271" s="27">
        <f t="shared" si="3"/>
        <v>270</v>
      </c>
      <c r="B271" s="27" t="s">
        <v>61</v>
      </c>
      <c r="C271" s="27" t="s">
        <v>63</v>
      </c>
      <c r="D271" s="27" t="s">
        <v>64</v>
      </c>
      <c r="E271" s="28" t="str">
        <f t="shared" si="44"/>
        <v/>
      </c>
      <c r="F271" s="30" t="s">
        <v>35</v>
      </c>
      <c r="G271" s="30" t="s">
        <v>36</v>
      </c>
      <c r="H271" s="27" t="s">
        <v>172</v>
      </c>
      <c r="I271" s="27" t="s">
        <v>286</v>
      </c>
      <c r="J271" s="121" t="s">
        <v>1206</v>
      </c>
      <c r="K271" s="121"/>
      <c r="L271" s="121" t="str">
        <f t="shared" si="45"/>
        <v>Carrera 30a # 6 -17, Cedro, Cali</v>
      </c>
      <c r="M271" s="121" t="s">
        <v>231</v>
      </c>
      <c r="N271" s="121" t="s">
        <v>18</v>
      </c>
      <c r="O271" s="27"/>
      <c r="P271" s="27"/>
      <c r="Q271" s="27" t="s">
        <v>81</v>
      </c>
      <c r="R271" s="30"/>
      <c r="S271" s="30">
        <v>1.0</v>
      </c>
      <c r="T271" s="30"/>
      <c r="U271" s="209"/>
      <c r="V271" s="209"/>
      <c r="W271" s="209"/>
      <c r="X271" s="209"/>
      <c r="Y271" s="205"/>
      <c r="Z271" s="121" t="s">
        <v>1207</v>
      </c>
      <c r="AA271" s="121"/>
      <c r="AB271" s="121"/>
      <c r="AD271" s="210"/>
      <c r="AE271" s="211"/>
      <c r="AF271" s="210"/>
      <c r="AG271" s="210"/>
      <c r="AH271" s="210"/>
      <c r="AI271" s="210"/>
      <c r="AJ271" s="210"/>
      <c r="AK271" s="210"/>
      <c r="AL271" s="210"/>
      <c r="AM271" s="210"/>
      <c r="AN271" s="210"/>
      <c r="AO271" s="210"/>
      <c r="AP271" s="210"/>
    </row>
    <row r="272" ht="25.5" customHeight="1">
      <c r="A272" s="63">
        <f t="shared" si="3"/>
        <v>271</v>
      </c>
      <c r="B272" s="63" t="s">
        <v>62</v>
      </c>
      <c r="C272" s="65" t="s">
        <v>133</v>
      </c>
      <c r="D272" s="43" t="s">
        <v>64</v>
      </c>
      <c r="E272" s="68" t="s">
        <v>62</v>
      </c>
      <c r="F272" s="70" t="s">
        <v>62</v>
      </c>
      <c r="G272" s="70" t="s">
        <v>62</v>
      </c>
      <c r="H272" s="71" t="s">
        <v>62</v>
      </c>
      <c r="I272" s="71" t="s">
        <v>62</v>
      </c>
      <c r="J272" s="68" t="s">
        <v>62</v>
      </c>
      <c r="K272" s="68" t="s">
        <v>62</v>
      </c>
      <c r="L272" s="68" t="s">
        <v>62</v>
      </c>
      <c r="M272" s="68" t="s">
        <v>62</v>
      </c>
      <c r="N272" s="68" t="s">
        <v>62</v>
      </c>
      <c r="O272" s="68" t="s">
        <v>62</v>
      </c>
      <c r="P272" s="68" t="s">
        <v>62</v>
      </c>
      <c r="Q272" s="68" t="s">
        <v>62</v>
      </c>
      <c r="R272" s="68" t="s">
        <v>62</v>
      </c>
      <c r="S272" s="68"/>
      <c r="T272" s="68" t="s">
        <v>62</v>
      </c>
      <c r="U272" s="68" t="s">
        <v>62</v>
      </c>
      <c r="V272" s="68" t="s">
        <v>62</v>
      </c>
      <c r="W272" s="68" t="s">
        <v>62</v>
      </c>
      <c r="X272" s="68" t="s">
        <v>62</v>
      </c>
      <c r="Y272" s="68" t="s">
        <v>62</v>
      </c>
      <c r="Z272" s="68" t="s">
        <v>62</v>
      </c>
      <c r="AA272" s="68" t="s">
        <v>62</v>
      </c>
      <c r="AB272" s="68" t="s">
        <v>62</v>
      </c>
      <c r="AD272" s="243"/>
      <c r="AE272" s="244"/>
      <c r="AF272" s="243"/>
      <c r="AG272" s="243"/>
      <c r="AH272" s="243"/>
      <c r="AI272" s="243"/>
      <c r="AJ272" s="243"/>
      <c r="AK272" s="243"/>
      <c r="AL272" s="243"/>
      <c r="AM272" s="243"/>
      <c r="AN272" s="243"/>
      <c r="AO272" s="243"/>
      <c r="AP272" s="243"/>
    </row>
    <row r="273" ht="25.5" customHeight="1">
      <c r="A273" s="27">
        <f t="shared" si="3"/>
        <v>272</v>
      </c>
      <c r="B273" s="27" t="s">
        <v>61</v>
      </c>
      <c r="C273" s="27" t="s">
        <v>63</v>
      </c>
      <c r="D273" s="27" t="s">
        <v>64</v>
      </c>
      <c r="E273" s="28" t="str">
        <f t="shared" ref="E273:E278" si="46">IF(OR($B273="ALTA",AND(ISNUMBER($W273),$W273&gt;0),AND($U273&lt;&gt;"",$U273&lt;&gt;"NO")),"SI","")</f>
        <v/>
      </c>
      <c r="F273" s="30" t="s">
        <v>35</v>
      </c>
      <c r="G273" s="30" t="s">
        <v>36</v>
      </c>
      <c r="H273" s="27" t="s">
        <v>208</v>
      </c>
      <c r="I273" s="27" t="s">
        <v>38</v>
      </c>
      <c r="J273" s="121" t="s">
        <v>1208</v>
      </c>
      <c r="K273" s="121" t="s">
        <v>1209</v>
      </c>
      <c r="L273" s="121" t="str">
        <f t="shared" ref="L273:L278" si="47">CONCATENATE(J273,", ",H273,", Cali")</f>
        <v>Calle 10 Oe 36B 151, Club residencial los cristales, Cali</v>
      </c>
      <c r="M273" s="121" t="s">
        <v>231</v>
      </c>
      <c r="N273" s="121" t="s">
        <v>233</v>
      </c>
      <c r="O273" s="27"/>
      <c r="P273" s="27"/>
      <c r="Q273" s="27" t="s">
        <v>81</v>
      </c>
      <c r="R273" s="30"/>
      <c r="S273" s="30"/>
      <c r="T273" s="30">
        <v>1.0</v>
      </c>
      <c r="U273" s="209"/>
      <c r="V273" s="209"/>
      <c r="W273" s="209"/>
      <c r="X273" s="209"/>
      <c r="Y273" s="205"/>
      <c r="Z273" s="209"/>
      <c r="AA273" s="209"/>
      <c r="AB273" s="209"/>
      <c r="AD273" s="210"/>
      <c r="AE273" s="211"/>
      <c r="AF273" s="210"/>
      <c r="AG273" s="210"/>
      <c r="AH273" s="210"/>
      <c r="AI273" s="210"/>
      <c r="AJ273" s="210"/>
      <c r="AK273" s="210"/>
      <c r="AL273" s="210"/>
      <c r="AM273" s="210"/>
      <c r="AN273" s="210"/>
      <c r="AO273" s="210"/>
      <c r="AP273" s="210"/>
    </row>
    <row r="274" ht="25.5" customHeight="1">
      <c r="A274" s="27">
        <f t="shared" si="3"/>
        <v>273</v>
      </c>
      <c r="B274" s="27" t="s">
        <v>61</v>
      </c>
      <c r="C274" s="27" t="s">
        <v>63</v>
      </c>
      <c r="D274" s="27" t="s">
        <v>64</v>
      </c>
      <c r="E274" s="28" t="str">
        <f t="shared" si="46"/>
        <v/>
      </c>
      <c r="F274" s="30" t="s">
        <v>116</v>
      </c>
      <c r="G274" s="30" t="s">
        <v>350</v>
      </c>
      <c r="H274" s="27" t="s">
        <v>186</v>
      </c>
      <c r="I274" s="27" t="s">
        <v>38</v>
      </c>
      <c r="J274" s="121" t="s">
        <v>1210</v>
      </c>
      <c r="K274" s="121" t="s">
        <v>1211</v>
      </c>
      <c r="L274" s="121" t="str">
        <f t="shared" si="47"/>
        <v>Calle 62B 1A9-80 Sector 6, Agrupacion 4, Torre i, Chiminangos II, Cali</v>
      </c>
      <c r="M274" s="121" t="s">
        <v>231</v>
      </c>
      <c r="N274" s="121" t="s">
        <v>233</v>
      </c>
      <c r="O274" s="27"/>
      <c r="P274" s="27"/>
      <c r="Q274" s="27" t="s">
        <v>81</v>
      </c>
      <c r="R274" s="30"/>
      <c r="S274" s="30"/>
      <c r="T274" s="30">
        <v>1.0</v>
      </c>
      <c r="U274" s="209"/>
      <c r="V274" s="209"/>
      <c r="W274" s="209"/>
      <c r="X274" s="209"/>
      <c r="Y274" s="205"/>
      <c r="Z274" s="121" t="s">
        <v>1212</v>
      </c>
      <c r="AA274" s="121"/>
      <c r="AB274" s="121"/>
      <c r="AD274" s="210"/>
      <c r="AE274" s="211"/>
      <c r="AF274" s="210"/>
      <c r="AG274" s="210"/>
      <c r="AH274" s="210"/>
      <c r="AI274" s="210"/>
      <c r="AJ274" s="210"/>
      <c r="AK274" s="210"/>
      <c r="AL274" s="210"/>
      <c r="AM274" s="210"/>
      <c r="AN274" s="210"/>
      <c r="AO274" s="210"/>
      <c r="AP274" s="210"/>
    </row>
    <row r="275" ht="25.5" customHeight="1">
      <c r="A275" s="27">
        <f t="shared" si="3"/>
        <v>274</v>
      </c>
      <c r="B275" s="27" t="s">
        <v>61</v>
      </c>
      <c r="C275" s="27" t="s">
        <v>63</v>
      </c>
      <c r="D275" s="27" t="s">
        <v>64</v>
      </c>
      <c r="E275" s="95" t="str">
        <f t="shared" si="46"/>
        <v/>
      </c>
      <c r="F275" s="30" t="s">
        <v>35</v>
      </c>
      <c r="G275" s="30" t="s">
        <v>176</v>
      </c>
      <c r="H275" s="27" t="s">
        <v>404</v>
      </c>
      <c r="I275" s="27" t="s">
        <v>38</v>
      </c>
      <c r="J275" s="27" t="s">
        <v>1213</v>
      </c>
      <c r="K275" s="27" t="s">
        <v>1214</v>
      </c>
      <c r="L275" s="27" t="str">
        <f t="shared" si="47"/>
        <v>carrera 40 # 4 - 30, nueva granada, Cali</v>
      </c>
      <c r="M275" s="27" t="s">
        <v>231</v>
      </c>
      <c r="N275" s="27" t="s">
        <v>233</v>
      </c>
      <c r="O275" s="27"/>
      <c r="P275" s="27"/>
      <c r="Q275" s="27" t="s">
        <v>81</v>
      </c>
      <c r="R275" s="30"/>
      <c r="S275" s="30"/>
      <c r="T275" s="30">
        <v>1.0</v>
      </c>
      <c r="U275" s="27" t="s">
        <v>83</v>
      </c>
      <c r="V275" s="33"/>
      <c r="W275" s="33"/>
      <c r="X275" s="33"/>
      <c r="Y275" s="27" t="s">
        <v>1215</v>
      </c>
      <c r="Z275" s="27" t="s">
        <v>1216</v>
      </c>
      <c r="AA275" s="27"/>
      <c r="AB275" s="27" t="s">
        <v>171</v>
      </c>
      <c r="AD275" s="22"/>
      <c r="AE275" s="22"/>
      <c r="AF275" s="22"/>
      <c r="AG275" s="22"/>
      <c r="AH275" s="22"/>
      <c r="AI275" s="22"/>
      <c r="AJ275" s="22"/>
      <c r="AK275" s="22"/>
      <c r="AL275" s="22"/>
      <c r="AM275" s="22"/>
      <c r="AN275" s="22"/>
      <c r="AO275" s="22"/>
      <c r="AP275" s="22"/>
    </row>
    <row r="276" ht="25.5" customHeight="1">
      <c r="A276" s="27">
        <f t="shared" si="3"/>
        <v>275</v>
      </c>
      <c r="B276" s="27" t="s">
        <v>61</v>
      </c>
      <c r="C276" s="27" t="s">
        <v>63</v>
      </c>
      <c r="D276" s="27" t="s">
        <v>64</v>
      </c>
      <c r="E276" s="95" t="str">
        <f t="shared" si="46"/>
        <v/>
      </c>
      <c r="F276" s="30" t="s">
        <v>35</v>
      </c>
      <c r="G276" s="30" t="s">
        <v>176</v>
      </c>
      <c r="H276" s="27" t="s">
        <v>67</v>
      </c>
      <c r="I276" s="27" t="s">
        <v>286</v>
      </c>
      <c r="J276" s="27" t="s">
        <v>1217</v>
      </c>
      <c r="K276" s="27"/>
      <c r="L276" s="27" t="str">
        <f t="shared" si="47"/>
        <v>Carrera 30 # 5a - 52, 3 de Julio, Cali</v>
      </c>
      <c r="M276" s="27" t="s">
        <v>231</v>
      </c>
      <c r="N276" s="27" t="s">
        <v>233</v>
      </c>
      <c r="O276" s="27"/>
      <c r="P276" s="27"/>
      <c r="Q276" s="27" t="s">
        <v>81</v>
      </c>
      <c r="R276" s="30"/>
      <c r="S276" s="30"/>
      <c r="T276" s="30">
        <v>1.0</v>
      </c>
      <c r="U276" s="33"/>
      <c r="V276" s="33"/>
      <c r="W276" s="33"/>
      <c r="X276" s="33"/>
      <c r="Y276" s="33"/>
      <c r="Z276" s="33"/>
      <c r="AA276" s="33"/>
      <c r="AB276" s="33"/>
      <c r="AD276" s="22"/>
      <c r="AE276" s="22"/>
      <c r="AF276" s="22"/>
      <c r="AG276" s="22"/>
      <c r="AH276" s="22"/>
      <c r="AI276" s="22"/>
      <c r="AJ276" s="22"/>
      <c r="AK276" s="22"/>
      <c r="AL276" s="22"/>
      <c r="AM276" s="22"/>
      <c r="AN276" s="22"/>
      <c r="AO276" s="22"/>
      <c r="AP276" s="22"/>
    </row>
    <row r="277" ht="25.5" customHeight="1">
      <c r="A277" s="27">
        <f t="shared" si="3"/>
        <v>276</v>
      </c>
      <c r="B277" s="27" t="s">
        <v>61</v>
      </c>
      <c r="C277" s="27" t="s">
        <v>63</v>
      </c>
      <c r="D277" s="27" t="s">
        <v>64</v>
      </c>
      <c r="E277" s="28" t="str">
        <f t="shared" si="46"/>
        <v/>
      </c>
      <c r="F277" s="30" t="s">
        <v>35</v>
      </c>
      <c r="G277" s="30" t="s">
        <v>1218</v>
      </c>
      <c r="H277" s="27" t="s">
        <v>259</v>
      </c>
      <c r="I277" s="27" t="s">
        <v>38</v>
      </c>
      <c r="J277" s="27" t="s">
        <v>1219</v>
      </c>
      <c r="K277" s="27"/>
      <c r="L277" s="27" t="str">
        <f t="shared" si="47"/>
        <v>calle 1 e # 56-205, El Seminario, Cali</v>
      </c>
      <c r="M277" s="27" t="s">
        <v>231</v>
      </c>
      <c r="N277" s="27" t="s">
        <v>18</v>
      </c>
      <c r="O277" s="27"/>
      <c r="P277" s="27"/>
      <c r="Q277" s="27" t="s">
        <v>81</v>
      </c>
      <c r="R277" s="30"/>
      <c r="S277" s="30">
        <v>1.0</v>
      </c>
      <c r="T277" s="30"/>
      <c r="U277" s="27"/>
      <c r="V277" s="27"/>
      <c r="W277" s="27"/>
      <c r="X277" s="27"/>
      <c r="Y277" s="33"/>
      <c r="Z277" s="27" t="s">
        <v>1220</v>
      </c>
      <c r="AA277" s="33"/>
      <c r="AB277" s="33"/>
      <c r="AD277" s="22"/>
      <c r="AE277" s="22"/>
      <c r="AF277" s="22"/>
      <c r="AG277" s="22"/>
      <c r="AH277" s="22"/>
      <c r="AI277" s="22"/>
      <c r="AJ277" s="22"/>
      <c r="AK277" s="22"/>
      <c r="AL277" s="22"/>
      <c r="AM277" s="22"/>
      <c r="AN277" s="22"/>
      <c r="AO277" s="22"/>
      <c r="AP277" s="22"/>
    </row>
    <row r="278" ht="25.5" customHeight="1">
      <c r="A278" s="27">
        <f t="shared" si="3"/>
        <v>277</v>
      </c>
      <c r="B278" s="27" t="s">
        <v>61</v>
      </c>
      <c r="C278" s="27" t="s">
        <v>63</v>
      </c>
      <c r="D278" s="27" t="s">
        <v>64</v>
      </c>
      <c r="E278" s="95" t="str">
        <f t="shared" si="46"/>
        <v/>
      </c>
      <c r="F278" s="30" t="s">
        <v>35</v>
      </c>
      <c r="G278" s="30" t="s">
        <v>1221</v>
      </c>
      <c r="H278" s="27" t="s">
        <v>197</v>
      </c>
      <c r="I278" s="27" t="s">
        <v>38</v>
      </c>
      <c r="J278" s="27" t="s">
        <v>1222</v>
      </c>
      <c r="K278" s="27" t="s">
        <v>1223</v>
      </c>
      <c r="L278" s="27" t="str">
        <f t="shared" si="47"/>
        <v>Carrera 96 # 59 42, Ciudad Melendez, Cali</v>
      </c>
      <c r="M278" s="27" t="s">
        <v>231</v>
      </c>
      <c r="N278" s="27" t="s">
        <v>233</v>
      </c>
      <c r="O278" s="27"/>
      <c r="P278" s="27"/>
      <c r="Q278" s="27" t="s">
        <v>81</v>
      </c>
      <c r="R278" s="30"/>
      <c r="S278" s="30"/>
      <c r="T278" s="30">
        <v>1.0</v>
      </c>
      <c r="U278" s="33"/>
      <c r="V278" s="33"/>
      <c r="W278" s="33"/>
      <c r="X278" s="33"/>
      <c r="Y278" s="33"/>
      <c r="Z278" s="33"/>
      <c r="AA278" s="33"/>
      <c r="AB278" s="33"/>
      <c r="AD278" s="22"/>
      <c r="AE278" s="22"/>
      <c r="AF278" s="22"/>
      <c r="AG278" s="22"/>
      <c r="AH278" s="22"/>
      <c r="AI278" s="22"/>
      <c r="AJ278" s="22"/>
      <c r="AK278" s="22"/>
      <c r="AL278" s="22"/>
      <c r="AM278" s="22"/>
      <c r="AN278" s="22"/>
      <c r="AO278" s="22"/>
      <c r="AP278" s="22"/>
    </row>
    <row r="279" ht="25.5" customHeight="1">
      <c r="A279" s="63">
        <f t="shared" si="3"/>
        <v>278</v>
      </c>
      <c r="B279" s="63" t="s">
        <v>62</v>
      </c>
      <c r="C279" s="65" t="s">
        <v>133</v>
      </c>
      <c r="D279" s="108" t="s">
        <v>64</v>
      </c>
      <c r="E279" s="68" t="s">
        <v>62</v>
      </c>
      <c r="F279" s="70" t="s">
        <v>62</v>
      </c>
      <c r="G279" s="70" t="s">
        <v>62</v>
      </c>
      <c r="H279" s="71" t="s">
        <v>62</v>
      </c>
      <c r="I279" s="71" t="s">
        <v>62</v>
      </c>
      <c r="J279" s="68" t="s">
        <v>62</v>
      </c>
      <c r="K279" s="68" t="s">
        <v>62</v>
      </c>
      <c r="L279" s="68" t="s">
        <v>62</v>
      </c>
      <c r="M279" s="68" t="s">
        <v>62</v>
      </c>
      <c r="N279" s="68" t="s">
        <v>62</v>
      </c>
      <c r="O279" s="68" t="s">
        <v>62</v>
      </c>
      <c r="P279" s="68" t="s">
        <v>62</v>
      </c>
      <c r="Q279" s="68" t="s">
        <v>62</v>
      </c>
      <c r="R279" s="68" t="s">
        <v>62</v>
      </c>
      <c r="S279" s="68"/>
      <c r="T279" s="68" t="s">
        <v>62</v>
      </c>
      <c r="U279" s="68" t="s">
        <v>62</v>
      </c>
      <c r="V279" s="68" t="s">
        <v>62</v>
      </c>
      <c r="W279" s="68" t="s">
        <v>62</v>
      </c>
      <c r="X279" s="68" t="s">
        <v>62</v>
      </c>
      <c r="Y279" s="68" t="s">
        <v>62</v>
      </c>
      <c r="Z279" s="68" t="s">
        <v>62</v>
      </c>
      <c r="AA279" s="68" t="s">
        <v>62</v>
      </c>
      <c r="AB279" s="68" t="s">
        <v>62</v>
      </c>
      <c r="AD279" s="196"/>
      <c r="AE279" s="196"/>
      <c r="AF279" s="196"/>
      <c r="AG279" s="196"/>
      <c r="AH279" s="196"/>
      <c r="AI279" s="196"/>
      <c r="AJ279" s="196"/>
      <c r="AK279" s="196"/>
      <c r="AL279" s="196"/>
      <c r="AM279" s="196"/>
      <c r="AN279" s="196"/>
      <c r="AO279" s="196"/>
      <c r="AP279" s="196"/>
    </row>
    <row r="280" ht="25.5" customHeight="1">
      <c r="A280" s="27">
        <f t="shared" si="3"/>
        <v>279</v>
      </c>
      <c r="B280" s="27" t="s">
        <v>61</v>
      </c>
      <c r="C280" s="27" t="s">
        <v>63</v>
      </c>
      <c r="D280" s="27" t="s">
        <v>64</v>
      </c>
      <c r="E280" s="95" t="str">
        <f t="shared" ref="E280:E288" si="48">IF(OR($B280="ALTA",AND(ISNUMBER($W280),$W280&gt;0),AND($U280&lt;&gt;"",$U280&lt;&gt;"NO")),"SI","")</f>
        <v/>
      </c>
      <c r="F280" s="30" t="s">
        <v>35</v>
      </c>
      <c r="G280" s="30" t="s">
        <v>36</v>
      </c>
      <c r="H280" s="27" t="s">
        <v>1224</v>
      </c>
      <c r="I280" s="27" t="s">
        <v>286</v>
      </c>
      <c r="J280" s="27" t="s">
        <v>1225</v>
      </c>
      <c r="K280" s="27" t="s">
        <v>1226</v>
      </c>
      <c r="L280" s="27" t="str">
        <f t="shared" ref="L280:L288" si="49">CONCATENATE(J280,", ",H280,", Cali")</f>
        <v>calle 9 con carrera 39, Los cambulos, Cali</v>
      </c>
      <c r="M280" s="27" t="s">
        <v>231</v>
      </c>
      <c r="N280" s="27" t="s">
        <v>233</v>
      </c>
      <c r="O280" s="27"/>
      <c r="P280" s="27"/>
      <c r="Q280" s="27" t="s">
        <v>81</v>
      </c>
      <c r="R280" s="30"/>
      <c r="S280" s="30"/>
      <c r="T280" s="30">
        <v>1.0</v>
      </c>
      <c r="U280" s="33"/>
      <c r="V280" s="33"/>
      <c r="W280" s="33"/>
      <c r="X280" s="33"/>
      <c r="Y280" s="33"/>
      <c r="Z280" s="33"/>
      <c r="AA280" s="33"/>
      <c r="AB280" s="33"/>
      <c r="AD280" s="22"/>
      <c r="AE280" s="22"/>
      <c r="AF280" s="22"/>
      <c r="AG280" s="22"/>
      <c r="AH280" s="22"/>
      <c r="AI280" s="22"/>
      <c r="AJ280" s="22"/>
      <c r="AK280" s="22"/>
      <c r="AL280" s="22"/>
      <c r="AM280" s="22"/>
      <c r="AN280" s="22"/>
      <c r="AO280" s="22"/>
      <c r="AP280" s="22"/>
    </row>
    <row r="281" ht="25.5" customHeight="1">
      <c r="A281" s="27">
        <f t="shared" si="3"/>
        <v>280</v>
      </c>
      <c r="B281" s="27" t="s">
        <v>61</v>
      </c>
      <c r="C281" s="27" t="s">
        <v>63</v>
      </c>
      <c r="D281" s="27" t="s">
        <v>64</v>
      </c>
      <c r="E281" s="95" t="str">
        <f t="shared" si="48"/>
        <v/>
      </c>
      <c r="F281" s="35" t="s">
        <v>60</v>
      </c>
      <c r="G281" s="35" t="s">
        <v>36</v>
      </c>
      <c r="H281" s="27" t="s">
        <v>103</v>
      </c>
      <c r="I281" s="27" t="s">
        <v>38</v>
      </c>
      <c r="J281" s="27" t="s">
        <v>1227</v>
      </c>
      <c r="K281" s="27" t="s">
        <v>1228</v>
      </c>
      <c r="L281" s="27" t="str">
        <f t="shared" si="49"/>
        <v>Cra 64A # 13A-74, Limonar, Cali</v>
      </c>
      <c r="M281" s="27" t="s">
        <v>231</v>
      </c>
      <c r="N281" s="27" t="s">
        <v>233</v>
      </c>
      <c r="O281" s="27"/>
      <c r="P281" s="27"/>
      <c r="Q281" s="27" t="s">
        <v>81</v>
      </c>
      <c r="R281" s="30"/>
      <c r="S281" s="30"/>
      <c r="T281" s="30">
        <v>1.0</v>
      </c>
      <c r="U281" s="33"/>
      <c r="V281" s="33"/>
      <c r="W281" s="33"/>
      <c r="X281" s="33"/>
      <c r="Y281" s="33"/>
      <c r="Z281" s="33"/>
      <c r="AA281" s="33"/>
      <c r="AB281" s="33"/>
      <c r="AD281" s="22"/>
      <c r="AE281" s="22"/>
      <c r="AF281" s="22"/>
      <c r="AG281" s="22"/>
      <c r="AH281" s="22"/>
      <c r="AI281" s="22"/>
      <c r="AJ281" s="22"/>
      <c r="AK281" s="22"/>
      <c r="AL281" s="22"/>
      <c r="AM281" s="22"/>
      <c r="AN281" s="22"/>
      <c r="AO281" s="22"/>
      <c r="AP281" s="22"/>
    </row>
    <row r="282" ht="25.5" customHeight="1">
      <c r="A282" s="27">
        <f t="shared" si="3"/>
        <v>281</v>
      </c>
      <c r="B282" s="27" t="s">
        <v>61</v>
      </c>
      <c r="C282" s="27" t="s">
        <v>63</v>
      </c>
      <c r="D282" s="27" t="s">
        <v>64</v>
      </c>
      <c r="E282" s="95" t="str">
        <f t="shared" si="48"/>
        <v/>
      </c>
      <c r="F282" s="30" t="s">
        <v>35</v>
      </c>
      <c r="G282" s="30" t="s">
        <v>36</v>
      </c>
      <c r="H282" s="27" t="s">
        <v>1224</v>
      </c>
      <c r="I282" s="27" t="s">
        <v>38</v>
      </c>
      <c r="J282" s="121" t="s">
        <v>1229</v>
      </c>
      <c r="K282" s="121" t="s">
        <v>1230</v>
      </c>
      <c r="L282" s="121" t="str">
        <f t="shared" si="49"/>
        <v>Carrera 41 #7-05, Los cambulos, Cali</v>
      </c>
      <c r="M282" s="121" t="s">
        <v>231</v>
      </c>
      <c r="N282" s="121" t="s">
        <v>233</v>
      </c>
      <c r="O282" s="27"/>
      <c r="P282" s="27"/>
      <c r="Q282" s="27" t="s">
        <v>81</v>
      </c>
      <c r="R282" s="30"/>
      <c r="S282" s="30"/>
      <c r="T282" s="30">
        <v>1.0</v>
      </c>
      <c r="U282" s="209"/>
      <c r="V282" s="209"/>
      <c r="W282" s="209"/>
      <c r="X282" s="209"/>
      <c r="Y282" s="205"/>
      <c r="Z282" s="121" t="s">
        <v>1231</v>
      </c>
      <c r="AA282" s="121"/>
      <c r="AB282" s="121"/>
      <c r="AD282" s="210"/>
      <c r="AE282" s="211"/>
      <c r="AF282" s="210"/>
      <c r="AG282" s="210"/>
      <c r="AH282" s="210"/>
      <c r="AI282" s="210"/>
      <c r="AJ282" s="210"/>
      <c r="AK282" s="210"/>
      <c r="AL282" s="210"/>
      <c r="AM282" s="210"/>
      <c r="AN282" s="210"/>
      <c r="AO282" s="210"/>
      <c r="AP282" s="210"/>
    </row>
    <row r="283" ht="25.5" customHeight="1">
      <c r="A283" s="27">
        <f t="shared" si="3"/>
        <v>282</v>
      </c>
      <c r="B283" s="27" t="s">
        <v>61</v>
      </c>
      <c r="C283" s="27" t="s">
        <v>63</v>
      </c>
      <c r="D283" s="27" t="s">
        <v>64</v>
      </c>
      <c r="E283" s="95" t="str">
        <f t="shared" si="48"/>
        <v/>
      </c>
      <c r="F283" s="30" t="s">
        <v>35</v>
      </c>
      <c r="G283" s="30" t="s">
        <v>36</v>
      </c>
      <c r="H283" s="27" t="s">
        <v>369</v>
      </c>
      <c r="I283" s="27" t="s">
        <v>286</v>
      </c>
      <c r="J283" s="121" t="s">
        <v>1232</v>
      </c>
      <c r="K283" s="121"/>
      <c r="L283" s="121" t="str">
        <f t="shared" si="49"/>
        <v>Calle 5C #39-41, Tequendama, Cali</v>
      </c>
      <c r="M283" s="121" t="s">
        <v>231</v>
      </c>
      <c r="N283" s="121" t="s">
        <v>233</v>
      </c>
      <c r="O283" s="27"/>
      <c r="P283" s="27"/>
      <c r="Q283" s="27" t="s">
        <v>81</v>
      </c>
      <c r="R283" s="30"/>
      <c r="S283" s="30"/>
      <c r="T283" s="30">
        <v>1.0</v>
      </c>
      <c r="U283" s="209"/>
      <c r="V283" s="209"/>
      <c r="W283" s="209"/>
      <c r="X283" s="209"/>
      <c r="Y283" s="205"/>
      <c r="Z283" s="193" t="s">
        <v>1233</v>
      </c>
      <c r="AA283" s="193"/>
      <c r="AB283" s="193"/>
      <c r="AD283" s="210"/>
      <c r="AE283" s="211"/>
      <c r="AF283" s="210"/>
      <c r="AG283" s="210"/>
      <c r="AH283" s="210"/>
      <c r="AI283" s="210"/>
      <c r="AJ283" s="210"/>
      <c r="AK283" s="210"/>
      <c r="AL283" s="210"/>
      <c r="AM283" s="210"/>
      <c r="AN283" s="210"/>
      <c r="AO283" s="210"/>
      <c r="AP283" s="210"/>
    </row>
    <row r="284" ht="25.5" customHeight="1">
      <c r="A284" s="27">
        <f t="shared" si="3"/>
        <v>283</v>
      </c>
      <c r="B284" s="27" t="s">
        <v>61</v>
      </c>
      <c r="C284" s="27" t="s">
        <v>63</v>
      </c>
      <c r="D284" s="27" t="s">
        <v>64</v>
      </c>
      <c r="E284" s="28" t="str">
        <f t="shared" si="48"/>
        <v/>
      </c>
      <c r="F284" s="30" t="s">
        <v>95</v>
      </c>
      <c r="G284" s="30" t="s">
        <v>36</v>
      </c>
      <c r="H284" s="27" t="s">
        <v>421</v>
      </c>
      <c r="I284" s="27" t="s">
        <v>286</v>
      </c>
      <c r="J284" s="121" t="s">
        <v>1234</v>
      </c>
      <c r="K284" s="121"/>
      <c r="L284" s="121" t="str">
        <f t="shared" si="49"/>
        <v>carrera 28 e6 calle 123 a 1-03, Pizamos II, Cali</v>
      </c>
      <c r="M284" s="121" t="s">
        <v>231</v>
      </c>
      <c r="N284" s="121" t="s">
        <v>233</v>
      </c>
      <c r="O284" s="27"/>
      <c r="P284" s="27"/>
      <c r="Q284" s="27" t="s">
        <v>81</v>
      </c>
      <c r="R284" s="30"/>
      <c r="S284" s="30"/>
      <c r="T284" s="30">
        <v>1.0</v>
      </c>
      <c r="U284" s="209"/>
      <c r="V284" s="209"/>
      <c r="W284" s="209"/>
      <c r="X284" s="209"/>
      <c r="Y284" s="205"/>
      <c r="Z284" s="209"/>
      <c r="AA284" s="209"/>
      <c r="AB284" s="209"/>
      <c r="AD284" s="210"/>
      <c r="AE284" s="211"/>
      <c r="AF284" s="210"/>
      <c r="AG284" s="210"/>
      <c r="AH284" s="210"/>
      <c r="AI284" s="210"/>
      <c r="AJ284" s="210"/>
      <c r="AK284" s="210"/>
      <c r="AL284" s="210"/>
      <c r="AM284" s="210"/>
      <c r="AN284" s="210"/>
      <c r="AO284" s="210"/>
      <c r="AP284" s="210"/>
    </row>
    <row r="285" ht="25.5" customHeight="1">
      <c r="A285" s="27">
        <f t="shared" si="3"/>
        <v>284</v>
      </c>
      <c r="B285" s="27" t="s">
        <v>61</v>
      </c>
      <c r="C285" s="27" t="s">
        <v>63</v>
      </c>
      <c r="D285" s="27" t="s">
        <v>64</v>
      </c>
      <c r="E285" s="28" t="str">
        <f t="shared" si="48"/>
        <v/>
      </c>
      <c r="F285" s="30" t="s">
        <v>76</v>
      </c>
      <c r="G285" s="30" t="s">
        <v>350</v>
      </c>
      <c r="H285" s="27" t="s">
        <v>321</v>
      </c>
      <c r="I285" s="27" t="s">
        <v>38</v>
      </c>
      <c r="J285" s="121" t="s">
        <v>1235</v>
      </c>
      <c r="K285" s="121" t="s">
        <v>1236</v>
      </c>
      <c r="L285" s="121" t="str">
        <f t="shared" si="49"/>
        <v>Avenida 3 CN #61N-40, La Flora, Cali</v>
      </c>
      <c r="M285" s="121" t="s">
        <v>231</v>
      </c>
      <c r="N285" s="121" t="s">
        <v>233</v>
      </c>
      <c r="O285" s="27"/>
      <c r="P285" s="27"/>
      <c r="Q285" s="27" t="s">
        <v>81</v>
      </c>
      <c r="R285" s="30"/>
      <c r="S285" s="30"/>
      <c r="T285" s="30">
        <v>1.0</v>
      </c>
      <c r="U285" s="209"/>
      <c r="V285" s="209"/>
      <c r="W285" s="209"/>
      <c r="X285" s="209"/>
      <c r="Y285" s="205"/>
      <c r="Z285" s="193" t="s">
        <v>1237</v>
      </c>
      <c r="AA285" s="193"/>
      <c r="AB285" s="193"/>
      <c r="AD285" s="210"/>
      <c r="AE285" s="211"/>
      <c r="AF285" s="210"/>
      <c r="AG285" s="210"/>
      <c r="AH285" s="210"/>
      <c r="AI285" s="210"/>
      <c r="AJ285" s="210"/>
      <c r="AK285" s="210"/>
      <c r="AL285" s="210"/>
      <c r="AM285" s="210"/>
      <c r="AN285" s="210"/>
      <c r="AO285" s="210"/>
      <c r="AP285" s="210"/>
    </row>
    <row r="286" ht="25.5" customHeight="1">
      <c r="A286" s="27">
        <f t="shared" si="3"/>
        <v>285</v>
      </c>
      <c r="B286" s="27" t="s">
        <v>61</v>
      </c>
      <c r="C286" s="27" t="s">
        <v>63</v>
      </c>
      <c r="D286" s="27" t="s">
        <v>64</v>
      </c>
      <c r="E286" s="28" t="str">
        <f t="shared" si="48"/>
        <v/>
      </c>
      <c r="F286" s="30" t="s">
        <v>35</v>
      </c>
      <c r="G286" s="30" t="s">
        <v>36</v>
      </c>
      <c r="H286" s="27" t="s">
        <v>474</v>
      </c>
      <c r="I286" s="27" t="s">
        <v>1238</v>
      </c>
      <c r="J286" s="121" t="s">
        <v>1239</v>
      </c>
      <c r="K286" s="121" t="s">
        <v>1240</v>
      </c>
      <c r="L286" s="121" t="str">
        <f t="shared" si="49"/>
        <v>Carrera 39 # 4b - 29, Santa Isabel, Cali</v>
      </c>
      <c r="M286" s="121" t="s">
        <v>231</v>
      </c>
      <c r="N286" s="121" t="s">
        <v>233</v>
      </c>
      <c r="O286" s="27"/>
      <c r="P286" s="27"/>
      <c r="Q286" s="27" t="s">
        <v>81</v>
      </c>
      <c r="R286" s="30"/>
      <c r="S286" s="30"/>
      <c r="T286" s="30">
        <v>1.0</v>
      </c>
      <c r="U286" s="209"/>
      <c r="V286" s="209"/>
      <c r="W286" s="209"/>
      <c r="X286" s="209"/>
      <c r="Y286" s="205"/>
      <c r="Z286" s="209"/>
      <c r="AA286" s="209"/>
      <c r="AB286" s="209"/>
      <c r="AD286" s="210"/>
      <c r="AE286" s="211"/>
      <c r="AF286" s="210"/>
      <c r="AG286" s="210"/>
      <c r="AH286" s="210"/>
      <c r="AI286" s="210"/>
      <c r="AJ286" s="210"/>
      <c r="AK286" s="210"/>
      <c r="AL286" s="210"/>
      <c r="AM286" s="210"/>
      <c r="AN286" s="210"/>
      <c r="AO286" s="210"/>
      <c r="AP286" s="210"/>
    </row>
    <row r="287" ht="25.5" customHeight="1">
      <c r="A287" s="27">
        <f t="shared" si="3"/>
        <v>286</v>
      </c>
      <c r="B287" s="27" t="s">
        <v>61</v>
      </c>
      <c r="C287" s="27" t="s">
        <v>63</v>
      </c>
      <c r="D287" s="27" t="s">
        <v>64</v>
      </c>
      <c r="E287" s="28" t="str">
        <f t="shared" si="48"/>
        <v/>
      </c>
      <c r="F287" s="30" t="s">
        <v>35</v>
      </c>
      <c r="G287" s="30" t="s">
        <v>36</v>
      </c>
      <c r="H287" s="27" t="s">
        <v>474</v>
      </c>
      <c r="I287" s="27" t="s">
        <v>1238</v>
      </c>
      <c r="J287" s="121" t="s">
        <v>1241</v>
      </c>
      <c r="K287" s="121"/>
      <c r="L287" s="121" t="str">
        <f t="shared" si="49"/>
        <v>Carrera 39 # 4b-13, Santa Isabel, Cali</v>
      </c>
      <c r="M287" s="121" t="s">
        <v>231</v>
      </c>
      <c r="N287" s="121" t="s">
        <v>233</v>
      </c>
      <c r="O287" s="27"/>
      <c r="P287" s="27"/>
      <c r="Q287" s="27" t="s">
        <v>81</v>
      </c>
      <c r="R287" s="30"/>
      <c r="S287" s="30"/>
      <c r="T287" s="30">
        <v>1.0</v>
      </c>
      <c r="U287" s="209"/>
      <c r="V287" s="209"/>
      <c r="W287" s="209"/>
      <c r="X287" s="209"/>
      <c r="Y287" s="194" t="s">
        <v>261</v>
      </c>
      <c r="Z287" s="209"/>
      <c r="AA287" s="209"/>
      <c r="AB287" s="209"/>
      <c r="AD287" s="210"/>
      <c r="AE287" s="211"/>
      <c r="AF287" s="210"/>
      <c r="AG287" s="210"/>
      <c r="AH287" s="210"/>
      <c r="AI287" s="210"/>
      <c r="AJ287" s="210"/>
      <c r="AK287" s="210"/>
      <c r="AL287" s="210"/>
      <c r="AM287" s="210"/>
      <c r="AN287" s="210"/>
      <c r="AO287" s="210"/>
      <c r="AP287" s="210"/>
    </row>
    <row r="288" ht="25.5" customHeight="1">
      <c r="A288" s="27">
        <f t="shared" si="3"/>
        <v>287</v>
      </c>
      <c r="B288" s="27" t="s">
        <v>61</v>
      </c>
      <c r="C288" s="27" t="s">
        <v>63</v>
      </c>
      <c r="D288" s="27" t="s">
        <v>64</v>
      </c>
      <c r="E288" s="28" t="str">
        <f t="shared" si="48"/>
        <v/>
      </c>
      <c r="F288" s="30" t="s">
        <v>35</v>
      </c>
      <c r="G288" s="30" t="s">
        <v>36</v>
      </c>
      <c r="H288" s="27" t="s">
        <v>442</v>
      </c>
      <c r="I288" s="27" t="s">
        <v>38</v>
      </c>
      <c r="J288" s="121" t="s">
        <v>1242</v>
      </c>
      <c r="K288" s="121" t="s">
        <v>1243</v>
      </c>
      <c r="L288" s="121" t="str">
        <f t="shared" si="49"/>
        <v>Calle 2 # 66b -89, Refugio, Cali</v>
      </c>
      <c r="M288" s="121" t="s">
        <v>231</v>
      </c>
      <c r="N288" s="121" t="s">
        <v>233</v>
      </c>
      <c r="O288" s="27"/>
      <c r="P288" s="27"/>
      <c r="Q288" s="27" t="s">
        <v>81</v>
      </c>
      <c r="R288" s="30"/>
      <c r="S288" s="30"/>
      <c r="T288" s="30">
        <v>1.0</v>
      </c>
      <c r="U288" s="209"/>
      <c r="V288" s="209"/>
      <c r="W288" s="209"/>
      <c r="X288" s="209"/>
      <c r="Y288" s="205"/>
      <c r="Z288" s="121" t="s">
        <v>1244</v>
      </c>
      <c r="AA288" s="121"/>
      <c r="AB288" s="121"/>
      <c r="AD288" s="210"/>
      <c r="AE288" s="211"/>
      <c r="AF288" s="210"/>
      <c r="AG288" s="210"/>
      <c r="AH288" s="210"/>
      <c r="AI288" s="210"/>
      <c r="AJ288" s="210"/>
      <c r="AK288" s="210"/>
      <c r="AL288" s="210"/>
      <c r="AM288" s="210"/>
      <c r="AN288" s="210"/>
      <c r="AO288" s="210"/>
      <c r="AP288" s="210"/>
    </row>
    <row r="289" ht="25.5" customHeight="1">
      <c r="A289" s="63">
        <f t="shared" si="3"/>
        <v>288</v>
      </c>
      <c r="B289" s="63" t="s">
        <v>62</v>
      </c>
      <c r="C289" s="65" t="s">
        <v>133</v>
      </c>
      <c r="D289" s="108" t="s">
        <v>64</v>
      </c>
      <c r="E289" s="68" t="s">
        <v>62</v>
      </c>
      <c r="F289" s="70" t="s">
        <v>62</v>
      </c>
      <c r="G289" s="70" t="s">
        <v>62</v>
      </c>
      <c r="H289" s="71" t="s">
        <v>62</v>
      </c>
      <c r="I289" s="71" t="s">
        <v>62</v>
      </c>
      <c r="J289" s="68" t="s">
        <v>62</v>
      </c>
      <c r="K289" s="68" t="s">
        <v>62</v>
      </c>
      <c r="L289" s="68" t="s">
        <v>62</v>
      </c>
      <c r="M289" s="68" t="s">
        <v>62</v>
      </c>
      <c r="N289" s="68" t="s">
        <v>62</v>
      </c>
      <c r="O289" s="68" t="s">
        <v>62</v>
      </c>
      <c r="P289" s="68" t="s">
        <v>62</v>
      </c>
      <c r="Q289" s="68" t="s">
        <v>62</v>
      </c>
      <c r="R289" s="68" t="s">
        <v>62</v>
      </c>
      <c r="S289" s="68"/>
      <c r="T289" s="68" t="s">
        <v>62</v>
      </c>
      <c r="U289" s="68" t="s">
        <v>62</v>
      </c>
      <c r="V289" s="68" t="s">
        <v>62</v>
      </c>
      <c r="W289" s="68" t="s">
        <v>62</v>
      </c>
      <c r="X289" s="68" t="s">
        <v>62</v>
      </c>
      <c r="Y289" s="68" t="s">
        <v>62</v>
      </c>
      <c r="Z289" s="68" t="s">
        <v>62</v>
      </c>
      <c r="AA289" s="68" t="s">
        <v>62</v>
      </c>
      <c r="AB289" s="68" t="s">
        <v>62</v>
      </c>
      <c r="AD289" s="243"/>
      <c r="AE289" s="244"/>
      <c r="AF289" s="243"/>
      <c r="AG289" s="243"/>
      <c r="AH289" s="243"/>
      <c r="AI289" s="243"/>
      <c r="AJ289" s="243"/>
      <c r="AK289" s="243"/>
      <c r="AL289" s="243"/>
      <c r="AM289" s="243"/>
      <c r="AN289" s="243"/>
      <c r="AO289" s="243"/>
      <c r="AP289" s="243"/>
    </row>
    <row r="290" ht="25.5" customHeight="1">
      <c r="A290" s="27">
        <f t="shared" si="3"/>
        <v>289</v>
      </c>
      <c r="B290" s="27" t="s">
        <v>61</v>
      </c>
      <c r="C290" s="27" t="s">
        <v>63</v>
      </c>
      <c r="D290" s="27" t="s">
        <v>64</v>
      </c>
      <c r="E290" s="28" t="str">
        <f t="shared" ref="E290:E327" si="50">IF(OR($B290="ALTA",AND(ISNUMBER($W290),$W290&gt;0),AND($U290&lt;&gt;"",$U290&lt;&gt;"NO")),"SI","")</f>
        <v/>
      </c>
      <c r="F290" s="30" t="s">
        <v>35</v>
      </c>
      <c r="G290" s="30" t="s">
        <v>36</v>
      </c>
      <c r="H290" s="27" t="s">
        <v>262</v>
      </c>
      <c r="I290" s="27" t="s">
        <v>38</v>
      </c>
      <c r="J290" s="121" t="s">
        <v>1245</v>
      </c>
      <c r="K290" s="121"/>
      <c r="L290" s="121" t="str">
        <f t="shared" ref="L290:L327" si="51">CONCATENATE(J290,", ",H290,", Cali")</f>
        <v>Calle 7 Oeste # 35 - 09, El Sindical, Cali</v>
      </c>
      <c r="M290" s="121" t="s">
        <v>231</v>
      </c>
      <c r="N290" s="121" t="s">
        <v>233</v>
      </c>
      <c r="O290" s="27"/>
      <c r="P290" s="27"/>
      <c r="Q290" s="27" t="s">
        <v>81</v>
      </c>
      <c r="R290" s="30"/>
      <c r="S290" s="30"/>
      <c r="T290" s="30">
        <v>1.0</v>
      </c>
      <c r="U290" s="209"/>
      <c r="V290" s="209"/>
      <c r="W290" s="209"/>
      <c r="X290" s="209"/>
      <c r="Y290" s="205"/>
      <c r="Z290" s="209"/>
      <c r="AA290" s="209"/>
      <c r="AB290" s="209"/>
      <c r="AD290" s="210"/>
      <c r="AE290" s="211"/>
      <c r="AF290" s="210"/>
      <c r="AG290" s="210"/>
      <c r="AH290" s="210"/>
      <c r="AI290" s="210"/>
      <c r="AJ290" s="210"/>
      <c r="AK290" s="210"/>
      <c r="AL290" s="210"/>
      <c r="AM290" s="210"/>
      <c r="AN290" s="210"/>
      <c r="AO290" s="210"/>
      <c r="AP290" s="210"/>
    </row>
    <row r="291" ht="25.5" customHeight="1">
      <c r="A291" s="27">
        <f t="shared" si="3"/>
        <v>290</v>
      </c>
      <c r="B291" s="27" t="s">
        <v>61</v>
      </c>
      <c r="C291" s="27" t="s">
        <v>63</v>
      </c>
      <c r="D291" s="27" t="s">
        <v>64</v>
      </c>
      <c r="E291" s="28" t="str">
        <f t="shared" si="50"/>
        <v/>
      </c>
      <c r="F291" s="30" t="s">
        <v>76</v>
      </c>
      <c r="G291" s="30" t="s">
        <v>350</v>
      </c>
      <c r="H291" s="27" t="s">
        <v>321</v>
      </c>
      <c r="I291" s="27" t="s">
        <v>38</v>
      </c>
      <c r="J291" s="121" t="s">
        <v>1246</v>
      </c>
      <c r="K291" s="121" t="s">
        <v>1247</v>
      </c>
      <c r="L291" s="121" t="str">
        <f t="shared" si="51"/>
        <v>Avenida 3F Nte #55N-120, La Flora, Cali</v>
      </c>
      <c r="M291" s="121" t="s">
        <v>231</v>
      </c>
      <c r="N291" s="121" t="s">
        <v>233</v>
      </c>
      <c r="O291" s="27"/>
      <c r="P291" s="27"/>
      <c r="Q291" s="27" t="s">
        <v>81</v>
      </c>
      <c r="R291" s="30"/>
      <c r="S291" s="30"/>
      <c r="T291" s="30">
        <v>1.0</v>
      </c>
      <c r="U291" s="209"/>
      <c r="V291" s="209"/>
      <c r="W291" s="209"/>
      <c r="X291" s="209"/>
      <c r="Y291" s="205"/>
      <c r="Z291" s="121" t="s">
        <v>1248</v>
      </c>
      <c r="AA291" s="121"/>
      <c r="AB291" s="121"/>
      <c r="AD291" s="210"/>
      <c r="AE291" s="211"/>
      <c r="AF291" s="210"/>
      <c r="AG291" s="210"/>
      <c r="AH291" s="210"/>
      <c r="AI291" s="210"/>
      <c r="AJ291" s="210"/>
      <c r="AK291" s="210"/>
      <c r="AL291" s="210"/>
      <c r="AM291" s="210"/>
      <c r="AN291" s="210"/>
      <c r="AO291" s="210"/>
      <c r="AP291" s="210"/>
    </row>
    <row r="292" ht="25.5" customHeight="1">
      <c r="A292" s="27">
        <f t="shared" si="3"/>
        <v>291</v>
      </c>
      <c r="B292" s="27" t="s">
        <v>61</v>
      </c>
      <c r="C292" s="27" t="s">
        <v>63</v>
      </c>
      <c r="D292" s="27" t="s">
        <v>64</v>
      </c>
      <c r="E292" s="28" t="str">
        <f t="shared" si="50"/>
        <v/>
      </c>
      <c r="F292" s="30" t="s">
        <v>60</v>
      </c>
      <c r="G292" s="30" t="s">
        <v>36</v>
      </c>
      <c r="H292" s="27" t="s">
        <v>440</v>
      </c>
      <c r="I292" s="27" t="s">
        <v>38</v>
      </c>
      <c r="J292" s="121" t="s">
        <v>1249</v>
      </c>
      <c r="K292" s="121" t="s">
        <v>1250</v>
      </c>
      <c r="L292" s="121" t="str">
        <f t="shared" si="51"/>
        <v>Carrera 76 #13a -05, Quintas de Don Simón, Cali</v>
      </c>
      <c r="M292" s="121" t="s">
        <v>231</v>
      </c>
      <c r="N292" s="121" t="s">
        <v>233</v>
      </c>
      <c r="O292" s="27"/>
      <c r="P292" s="27"/>
      <c r="Q292" s="27" t="s">
        <v>81</v>
      </c>
      <c r="R292" s="30"/>
      <c r="S292" s="30"/>
      <c r="T292" s="30">
        <v>1.0</v>
      </c>
      <c r="U292" s="209"/>
      <c r="V292" s="209"/>
      <c r="W292" s="209"/>
      <c r="X292" s="209"/>
      <c r="Y292" s="205"/>
      <c r="Z292" s="209"/>
      <c r="AA292" s="209"/>
      <c r="AB292" s="209"/>
      <c r="AD292" s="210"/>
      <c r="AE292" s="211"/>
      <c r="AF292" s="210"/>
      <c r="AG292" s="210"/>
      <c r="AH292" s="210"/>
      <c r="AI292" s="210"/>
      <c r="AJ292" s="210"/>
      <c r="AK292" s="210"/>
      <c r="AL292" s="210"/>
      <c r="AM292" s="210"/>
      <c r="AN292" s="210"/>
      <c r="AO292" s="210"/>
      <c r="AP292" s="210"/>
    </row>
    <row r="293" ht="25.5" customHeight="1">
      <c r="A293" s="27">
        <f t="shared" si="3"/>
        <v>292</v>
      </c>
      <c r="B293" s="27" t="s">
        <v>61</v>
      </c>
      <c r="C293" s="27" t="s">
        <v>63</v>
      </c>
      <c r="D293" s="27" t="s">
        <v>64</v>
      </c>
      <c r="E293" s="28" t="str">
        <f t="shared" si="50"/>
        <v/>
      </c>
      <c r="F293" s="30" t="s">
        <v>192</v>
      </c>
      <c r="G293" s="30" t="s">
        <v>426</v>
      </c>
      <c r="H293" s="27" t="s">
        <v>191</v>
      </c>
      <c r="I293" s="27" t="s">
        <v>286</v>
      </c>
      <c r="J293" s="121" t="s">
        <v>1251</v>
      </c>
      <c r="K293" s="121"/>
      <c r="L293" s="121" t="str">
        <f t="shared" si="51"/>
        <v>calle 55c # 47-96, Ciudad Cordoba, Cali</v>
      </c>
      <c r="M293" s="154" t="s">
        <v>1252</v>
      </c>
      <c r="N293" s="154" t="s">
        <v>233</v>
      </c>
      <c r="O293" s="27"/>
      <c r="P293" s="27"/>
      <c r="Q293" s="27" t="s">
        <v>81</v>
      </c>
      <c r="R293" s="30"/>
      <c r="S293" s="30"/>
      <c r="T293" s="30">
        <v>1.0</v>
      </c>
      <c r="U293" s="209"/>
      <c r="V293" s="209"/>
      <c r="W293" s="209"/>
      <c r="X293" s="209"/>
      <c r="Y293" s="205"/>
      <c r="Z293" s="209"/>
      <c r="AA293" s="209"/>
      <c r="AB293" s="209"/>
      <c r="AD293" s="210"/>
      <c r="AE293" s="211"/>
      <c r="AF293" s="210"/>
      <c r="AG293" s="210"/>
      <c r="AH293" s="210"/>
      <c r="AI293" s="210"/>
      <c r="AJ293" s="210"/>
      <c r="AK293" s="210"/>
      <c r="AL293" s="210"/>
      <c r="AM293" s="210"/>
      <c r="AN293" s="210"/>
      <c r="AO293" s="210"/>
      <c r="AP293" s="210"/>
    </row>
    <row r="294" ht="25.5" customHeight="1">
      <c r="A294" s="27">
        <f t="shared" si="3"/>
        <v>293</v>
      </c>
      <c r="B294" s="27" t="s">
        <v>61</v>
      </c>
      <c r="C294" s="27" t="s">
        <v>63</v>
      </c>
      <c r="D294" s="27" t="s">
        <v>64</v>
      </c>
      <c r="E294" s="28" t="str">
        <f t="shared" si="50"/>
        <v/>
      </c>
      <c r="F294" s="30" t="s">
        <v>110</v>
      </c>
      <c r="G294" s="30" t="s">
        <v>176</v>
      </c>
      <c r="H294" s="27" t="s">
        <v>323</v>
      </c>
      <c r="I294" s="27" t="s">
        <v>38</v>
      </c>
      <c r="J294" s="121" t="s">
        <v>1253</v>
      </c>
      <c r="K294" s="121" t="s">
        <v>1254</v>
      </c>
      <c r="L294" s="121" t="str">
        <f t="shared" si="51"/>
        <v>Calle 6 #5-14, La Merced, Cali</v>
      </c>
      <c r="M294" s="121" t="s">
        <v>231</v>
      </c>
      <c r="N294" s="121" t="s">
        <v>233</v>
      </c>
      <c r="O294" s="27"/>
      <c r="P294" s="27"/>
      <c r="Q294" s="27" t="s">
        <v>81</v>
      </c>
      <c r="R294" s="30"/>
      <c r="S294" s="30"/>
      <c r="T294" s="30">
        <v>1.0</v>
      </c>
      <c r="U294" s="209"/>
      <c r="V294" s="209"/>
      <c r="W294" s="209"/>
      <c r="X294" s="209"/>
      <c r="Y294" s="205"/>
      <c r="Z294" s="121" t="s">
        <v>1255</v>
      </c>
      <c r="AA294" s="121"/>
      <c r="AB294" s="121"/>
      <c r="AD294" s="210"/>
      <c r="AE294" s="211"/>
      <c r="AF294" s="210"/>
      <c r="AG294" s="210"/>
      <c r="AH294" s="210"/>
      <c r="AI294" s="210"/>
      <c r="AJ294" s="210"/>
      <c r="AK294" s="210"/>
      <c r="AL294" s="210"/>
      <c r="AM294" s="210"/>
      <c r="AN294" s="210"/>
      <c r="AO294" s="210"/>
      <c r="AP294" s="210"/>
    </row>
    <row r="295" ht="25.5" customHeight="1">
      <c r="A295" s="27">
        <f t="shared" si="3"/>
        <v>294</v>
      </c>
      <c r="B295" s="27" t="s">
        <v>61</v>
      </c>
      <c r="C295" s="27" t="s">
        <v>63</v>
      </c>
      <c r="D295" s="27" t="s">
        <v>64</v>
      </c>
      <c r="E295" s="28" t="str">
        <f t="shared" si="50"/>
        <v/>
      </c>
      <c r="F295" s="30" t="s">
        <v>35</v>
      </c>
      <c r="G295" s="30" t="s">
        <v>36</v>
      </c>
      <c r="H295" s="27" t="s">
        <v>413</v>
      </c>
      <c r="I295" s="27" t="s">
        <v>338</v>
      </c>
      <c r="J295" s="121" t="s">
        <v>1256</v>
      </c>
      <c r="K295" s="121" t="s">
        <v>1257</v>
      </c>
      <c r="L295" s="121" t="str">
        <f t="shared" si="51"/>
        <v>Calle 2a #60a-60, Pampa Linda, Cali</v>
      </c>
      <c r="M295" s="121" t="s">
        <v>231</v>
      </c>
      <c r="N295" s="121" t="s">
        <v>233</v>
      </c>
      <c r="O295" s="27"/>
      <c r="P295" s="27"/>
      <c r="Q295" s="27" t="s">
        <v>81</v>
      </c>
      <c r="R295" s="30"/>
      <c r="S295" s="30"/>
      <c r="T295" s="30">
        <v>1.0</v>
      </c>
      <c r="U295" s="209"/>
      <c r="V295" s="209"/>
      <c r="W295" s="209"/>
      <c r="X295" s="209"/>
      <c r="Y295" s="205"/>
      <c r="Z295" s="121" t="s">
        <v>1258</v>
      </c>
      <c r="AA295" s="121"/>
      <c r="AB295" s="121"/>
      <c r="AD295" s="210"/>
      <c r="AE295" s="211"/>
      <c r="AF295" s="210"/>
      <c r="AG295" s="210"/>
      <c r="AH295" s="210"/>
      <c r="AI295" s="210"/>
      <c r="AJ295" s="210"/>
      <c r="AK295" s="210"/>
      <c r="AL295" s="210"/>
      <c r="AM295" s="210"/>
      <c r="AN295" s="210"/>
      <c r="AO295" s="210"/>
      <c r="AP295" s="210"/>
    </row>
    <row r="296" ht="25.5" customHeight="1">
      <c r="A296" s="27">
        <f t="shared" si="3"/>
        <v>295</v>
      </c>
      <c r="B296" s="27" t="s">
        <v>61</v>
      </c>
      <c r="C296" s="27" t="s">
        <v>63</v>
      </c>
      <c r="D296" s="27" t="s">
        <v>64</v>
      </c>
      <c r="E296" s="28" t="str">
        <f t="shared" si="50"/>
        <v/>
      </c>
      <c r="F296" s="30" t="s">
        <v>60</v>
      </c>
      <c r="G296" s="30" t="s">
        <v>36</v>
      </c>
      <c r="H296" s="27" t="s">
        <v>513</v>
      </c>
      <c r="I296" s="27" t="s">
        <v>38</v>
      </c>
      <c r="J296" s="121" t="s">
        <v>1259</v>
      </c>
      <c r="K296" s="121"/>
      <c r="L296" s="121" t="str">
        <f t="shared" si="51"/>
        <v>Calle 14# 54-15, Vientos de Guadalupe, Cali</v>
      </c>
      <c r="M296" s="121" t="s">
        <v>231</v>
      </c>
      <c r="N296" s="121" t="s">
        <v>233</v>
      </c>
      <c r="O296" s="27"/>
      <c r="P296" s="27"/>
      <c r="Q296" s="27" t="s">
        <v>81</v>
      </c>
      <c r="R296" s="30"/>
      <c r="S296" s="30"/>
      <c r="T296" s="30">
        <v>1.0</v>
      </c>
      <c r="U296" s="209"/>
      <c r="V296" s="209"/>
      <c r="W296" s="209"/>
      <c r="X296" s="209"/>
      <c r="Y296" s="205"/>
      <c r="Z296" s="209"/>
      <c r="AA296" s="209"/>
      <c r="AB296" s="209"/>
      <c r="AD296" s="210"/>
      <c r="AE296" s="211"/>
      <c r="AF296" s="210"/>
      <c r="AG296" s="210"/>
      <c r="AH296" s="210"/>
      <c r="AI296" s="210"/>
      <c r="AJ296" s="210"/>
      <c r="AK296" s="210"/>
      <c r="AL296" s="210"/>
      <c r="AM296" s="210"/>
      <c r="AN296" s="210"/>
      <c r="AO296" s="210"/>
      <c r="AP296" s="210"/>
    </row>
    <row r="297" ht="25.5" customHeight="1">
      <c r="A297" s="27">
        <f t="shared" si="3"/>
        <v>296</v>
      </c>
      <c r="B297" s="27" t="s">
        <v>61</v>
      </c>
      <c r="C297" s="27" t="s">
        <v>63</v>
      </c>
      <c r="D297" s="27" t="s">
        <v>64</v>
      </c>
      <c r="E297" s="28" t="str">
        <f t="shared" si="50"/>
        <v/>
      </c>
      <c r="F297" s="30" t="s">
        <v>35</v>
      </c>
      <c r="G297" s="30" t="s">
        <v>36</v>
      </c>
      <c r="H297" s="27" t="s">
        <v>225</v>
      </c>
      <c r="I297" s="27" t="s">
        <v>38</v>
      </c>
      <c r="J297" s="121" t="s">
        <v>1260</v>
      </c>
      <c r="K297" s="121" t="s">
        <v>1261</v>
      </c>
      <c r="L297" s="121" t="str">
        <f t="shared" si="51"/>
        <v>Cra 57 # 2a-95, Cuarto de Llegua, Cali</v>
      </c>
      <c r="M297" s="121" t="s">
        <v>231</v>
      </c>
      <c r="N297" s="121" t="s">
        <v>233</v>
      </c>
      <c r="O297" s="27"/>
      <c r="P297" s="27"/>
      <c r="Q297" s="27" t="s">
        <v>81</v>
      </c>
      <c r="R297" s="30"/>
      <c r="S297" s="30"/>
      <c r="T297" s="30">
        <v>1.0</v>
      </c>
      <c r="U297" s="209"/>
      <c r="V297" s="209"/>
      <c r="W297" s="209"/>
      <c r="X297" s="209"/>
      <c r="Y297" s="205"/>
      <c r="Z297" s="209"/>
      <c r="AA297" s="209"/>
      <c r="AB297" s="209"/>
      <c r="AD297" s="210"/>
      <c r="AE297" s="211"/>
      <c r="AF297" s="210"/>
      <c r="AG297" s="210"/>
      <c r="AH297" s="210"/>
      <c r="AI297" s="210"/>
      <c r="AJ297" s="210"/>
      <c r="AK297" s="210"/>
      <c r="AL297" s="210"/>
      <c r="AM297" s="210"/>
      <c r="AN297" s="210"/>
      <c r="AO297" s="210"/>
      <c r="AP297" s="210"/>
    </row>
    <row r="298" ht="25.5" customHeight="1">
      <c r="A298" s="27">
        <f t="shared" si="3"/>
        <v>297</v>
      </c>
      <c r="B298" s="27" t="s">
        <v>61</v>
      </c>
      <c r="C298" s="27" t="s">
        <v>63</v>
      </c>
      <c r="D298" s="27" t="s">
        <v>64</v>
      </c>
      <c r="E298" s="28" t="str">
        <f t="shared" si="50"/>
        <v/>
      </c>
      <c r="F298" s="30" t="s">
        <v>76</v>
      </c>
      <c r="G298" s="30" t="s">
        <v>350</v>
      </c>
      <c r="H298" s="27" t="s">
        <v>305</v>
      </c>
      <c r="I298" s="27" t="s">
        <v>38</v>
      </c>
      <c r="J298" s="121" t="s">
        <v>1262</v>
      </c>
      <c r="K298" s="121" t="s">
        <v>305</v>
      </c>
      <c r="L298" s="121" t="str">
        <f t="shared" si="51"/>
        <v>AV 11 NORTE 7 - 178, Juanambu, Cali</v>
      </c>
      <c r="M298" s="142" t="s">
        <v>1263</v>
      </c>
      <c r="N298" s="142" t="s">
        <v>233</v>
      </c>
      <c r="O298" s="27"/>
      <c r="P298" s="27"/>
      <c r="Q298" s="27" t="s">
        <v>81</v>
      </c>
      <c r="R298" s="30"/>
      <c r="S298" s="30"/>
      <c r="T298" s="30">
        <v>1.0</v>
      </c>
      <c r="U298" s="209"/>
      <c r="V298" s="209"/>
      <c r="W298" s="209"/>
      <c r="X298" s="209"/>
      <c r="Y298" s="205"/>
      <c r="Z298" s="209"/>
      <c r="AA298" s="209"/>
      <c r="AB298" s="209"/>
      <c r="AD298" s="210"/>
      <c r="AE298" s="211"/>
      <c r="AF298" s="210"/>
      <c r="AG298" s="210"/>
      <c r="AH298" s="210"/>
      <c r="AI298" s="210"/>
      <c r="AJ298" s="210"/>
      <c r="AK298" s="210"/>
      <c r="AL298" s="210"/>
      <c r="AM298" s="210"/>
      <c r="AN298" s="210"/>
      <c r="AO298" s="210"/>
      <c r="AP298" s="210"/>
    </row>
    <row r="299" ht="25.5" customHeight="1">
      <c r="A299" s="27">
        <f t="shared" si="3"/>
        <v>298</v>
      </c>
      <c r="B299" s="27" t="s">
        <v>61</v>
      </c>
      <c r="C299" s="27" t="s">
        <v>63</v>
      </c>
      <c r="D299" s="27" t="s">
        <v>64</v>
      </c>
      <c r="E299" s="28" t="str">
        <f t="shared" si="50"/>
        <v/>
      </c>
      <c r="F299" s="30" t="s">
        <v>35</v>
      </c>
      <c r="G299" s="30" t="s">
        <v>36</v>
      </c>
      <c r="H299" s="27" t="s">
        <v>163</v>
      </c>
      <c r="I299" s="27" t="s">
        <v>38</v>
      </c>
      <c r="J299" s="121" t="s">
        <v>1264</v>
      </c>
      <c r="K299" s="121" t="s">
        <v>1265</v>
      </c>
      <c r="L299" s="121" t="str">
        <f t="shared" si="51"/>
        <v>Cra 64 # 6a 57, Cañaveralejo, Cali</v>
      </c>
      <c r="M299" s="121" t="s">
        <v>231</v>
      </c>
      <c r="N299" s="121" t="s">
        <v>233</v>
      </c>
      <c r="O299" s="27"/>
      <c r="P299" s="27"/>
      <c r="Q299" s="27" t="s">
        <v>81</v>
      </c>
      <c r="R299" s="30"/>
      <c r="S299" s="30"/>
      <c r="T299" s="30">
        <v>1.0</v>
      </c>
      <c r="U299" s="209"/>
      <c r="V299" s="209"/>
      <c r="W299" s="209"/>
      <c r="X299" s="209"/>
      <c r="Y299" s="194" t="s">
        <v>1266</v>
      </c>
      <c r="Z299" s="121" t="s">
        <v>1267</v>
      </c>
      <c r="AA299" s="121"/>
      <c r="AB299" s="121"/>
      <c r="AD299" s="210"/>
      <c r="AE299" s="211"/>
      <c r="AF299" s="210"/>
      <c r="AG299" s="210"/>
      <c r="AH299" s="210"/>
      <c r="AI299" s="210"/>
      <c r="AJ299" s="210"/>
      <c r="AK299" s="210"/>
      <c r="AL299" s="210"/>
      <c r="AM299" s="210"/>
      <c r="AN299" s="210"/>
      <c r="AO299" s="210"/>
      <c r="AP299" s="210"/>
    </row>
    <row r="300" ht="25.5" customHeight="1">
      <c r="A300" s="27">
        <f t="shared" si="3"/>
        <v>299</v>
      </c>
      <c r="B300" s="27" t="s">
        <v>61</v>
      </c>
      <c r="C300" s="27" t="s">
        <v>63</v>
      </c>
      <c r="D300" s="27" t="s">
        <v>64</v>
      </c>
      <c r="E300" s="28" t="str">
        <f t="shared" si="50"/>
        <v/>
      </c>
      <c r="F300" s="30" t="s">
        <v>121</v>
      </c>
      <c r="G300" s="30" t="s">
        <v>350</v>
      </c>
      <c r="H300" s="27" t="s">
        <v>516</v>
      </c>
      <c r="I300" s="27" t="s">
        <v>286</v>
      </c>
      <c r="J300" s="121" t="s">
        <v>1268</v>
      </c>
      <c r="K300" s="121"/>
      <c r="L300" s="121" t="str">
        <f t="shared" si="51"/>
        <v>Carrera 14 #55-15, villacolombia, Cali</v>
      </c>
      <c r="M300" s="121" t="s">
        <v>231</v>
      </c>
      <c r="N300" s="121" t="s">
        <v>233</v>
      </c>
      <c r="O300" s="27"/>
      <c r="P300" s="27"/>
      <c r="Q300" s="27" t="s">
        <v>81</v>
      </c>
      <c r="R300" s="30"/>
      <c r="S300" s="30"/>
      <c r="T300" s="30">
        <v>1.0</v>
      </c>
      <c r="U300" s="209"/>
      <c r="V300" s="209"/>
      <c r="W300" s="209"/>
      <c r="X300" s="209"/>
      <c r="Y300" s="205"/>
      <c r="Z300" s="209"/>
      <c r="AA300" s="209"/>
      <c r="AB300" s="209"/>
      <c r="AD300" s="210"/>
      <c r="AE300" s="211"/>
      <c r="AF300" s="210"/>
      <c r="AG300" s="210"/>
      <c r="AH300" s="210"/>
      <c r="AI300" s="210"/>
      <c r="AJ300" s="210"/>
      <c r="AK300" s="210"/>
      <c r="AL300" s="210"/>
      <c r="AM300" s="210"/>
      <c r="AN300" s="210"/>
      <c r="AO300" s="210"/>
      <c r="AP300" s="210"/>
    </row>
    <row r="301" ht="25.5" customHeight="1">
      <c r="A301" s="27">
        <f t="shared" si="3"/>
        <v>300</v>
      </c>
      <c r="B301" s="27" t="s">
        <v>61</v>
      </c>
      <c r="C301" s="27" t="s">
        <v>63</v>
      </c>
      <c r="D301" s="27" t="s">
        <v>64</v>
      </c>
      <c r="E301" s="28" t="str">
        <f t="shared" si="50"/>
        <v/>
      </c>
      <c r="F301" s="30" t="s">
        <v>60</v>
      </c>
      <c r="G301" s="30" t="s">
        <v>36</v>
      </c>
      <c r="H301" s="27" t="s">
        <v>1269</v>
      </c>
      <c r="I301" s="27" t="s">
        <v>38</v>
      </c>
      <c r="J301" s="121" t="s">
        <v>1270</v>
      </c>
      <c r="K301" s="121"/>
      <c r="L301" s="121" t="str">
        <f t="shared" si="51"/>
        <v>calle 13d 57-81, primero de mayo, Cali</v>
      </c>
      <c r="M301" s="154" t="s">
        <v>1271</v>
      </c>
      <c r="N301" s="154" t="s">
        <v>233</v>
      </c>
      <c r="O301" s="27"/>
      <c r="P301" s="27"/>
      <c r="Q301" s="27" t="s">
        <v>81</v>
      </c>
      <c r="R301" s="30"/>
      <c r="S301" s="30"/>
      <c r="T301" s="30">
        <v>1.0</v>
      </c>
      <c r="U301" s="209"/>
      <c r="V301" s="209"/>
      <c r="W301" s="209"/>
      <c r="X301" s="209"/>
      <c r="Y301" s="205"/>
      <c r="Z301" s="209"/>
      <c r="AA301" s="209"/>
      <c r="AB301" s="209"/>
      <c r="AD301" s="210"/>
      <c r="AE301" s="211"/>
      <c r="AF301" s="210"/>
      <c r="AG301" s="210"/>
      <c r="AH301" s="210"/>
      <c r="AI301" s="210"/>
      <c r="AJ301" s="210"/>
      <c r="AK301" s="210"/>
      <c r="AL301" s="210"/>
      <c r="AM301" s="210"/>
      <c r="AN301" s="210"/>
      <c r="AO301" s="210"/>
      <c r="AP301" s="210"/>
    </row>
    <row r="302" ht="25.5" customHeight="1">
      <c r="A302" s="27">
        <f t="shared" si="3"/>
        <v>301</v>
      </c>
      <c r="B302" s="27" t="s">
        <v>61</v>
      </c>
      <c r="C302" s="27" t="s">
        <v>63</v>
      </c>
      <c r="D302" s="27" t="s">
        <v>64</v>
      </c>
      <c r="E302" s="28" t="str">
        <f t="shared" si="50"/>
        <v/>
      </c>
      <c r="F302" s="30" t="s">
        <v>121</v>
      </c>
      <c r="G302" s="30" t="s">
        <v>176</v>
      </c>
      <c r="H302" s="27" t="s">
        <v>333</v>
      </c>
      <c r="I302" s="27" t="s">
        <v>286</v>
      </c>
      <c r="J302" s="121" t="s">
        <v>1272</v>
      </c>
      <c r="K302" s="121"/>
      <c r="L302" s="121" t="str">
        <f t="shared" si="51"/>
        <v>Calle 25 # 24 - 98, Las Acacias, Cali</v>
      </c>
      <c r="M302" s="121" t="s">
        <v>231</v>
      </c>
      <c r="N302" s="121" t="s">
        <v>233</v>
      </c>
      <c r="O302" s="27"/>
      <c r="P302" s="27"/>
      <c r="Q302" s="27" t="s">
        <v>81</v>
      </c>
      <c r="R302" s="30"/>
      <c r="S302" s="30"/>
      <c r="T302" s="30">
        <v>1.0</v>
      </c>
      <c r="U302" s="209"/>
      <c r="V302" s="209"/>
      <c r="W302" s="209"/>
      <c r="X302" s="209"/>
      <c r="Y302" s="205"/>
      <c r="Z302" s="121" t="s">
        <v>1273</v>
      </c>
      <c r="AA302" s="121"/>
      <c r="AB302" s="121"/>
      <c r="AD302" s="210"/>
      <c r="AE302" s="211"/>
      <c r="AF302" s="210"/>
      <c r="AG302" s="210"/>
      <c r="AH302" s="210"/>
      <c r="AI302" s="210"/>
      <c r="AJ302" s="210"/>
      <c r="AK302" s="210"/>
      <c r="AL302" s="210"/>
      <c r="AM302" s="210"/>
      <c r="AN302" s="210"/>
      <c r="AO302" s="210"/>
      <c r="AP302" s="210"/>
    </row>
    <row r="303" ht="25.5" customHeight="1">
      <c r="A303" s="27">
        <f t="shared" si="3"/>
        <v>302</v>
      </c>
      <c r="B303" s="27" t="s">
        <v>61</v>
      </c>
      <c r="C303" s="27" t="s">
        <v>63</v>
      </c>
      <c r="D303" s="27" t="s">
        <v>64</v>
      </c>
      <c r="E303" s="95" t="str">
        <f t="shared" si="50"/>
        <v/>
      </c>
      <c r="F303" s="30" t="s">
        <v>35</v>
      </c>
      <c r="G303" s="30" t="s">
        <v>939</v>
      </c>
      <c r="H303" s="27" t="s">
        <v>487</v>
      </c>
      <c r="I303" s="27" t="s">
        <v>1274</v>
      </c>
      <c r="J303" s="121" t="s">
        <v>1275</v>
      </c>
      <c r="K303" s="121"/>
      <c r="L303" s="121" t="str">
        <f t="shared" si="51"/>
        <v>Carrera 24e Oeste # 6 - 41, Tejares de San Fernando, Cali</v>
      </c>
      <c r="M303" s="121" t="s">
        <v>231</v>
      </c>
      <c r="N303" s="121" t="s">
        <v>233</v>
      </c>
      <c r="O303" s="27"/>
      <c r="P303" s="27"/>
      <c r="Q303" s="27" t="s">
        <v>81</v>
      </c>
      <c r="R303" s="30"/>
      <c r="S303" s="30"/>
      <c r="T303" s="30">
        <v>1.0</v>
      </c>
      <c r="U303" s="209"/>
      <c r="V303" s="209"/>
      <c r="W303" s="209"/>
      <c r="X303" s="209"/>
      <c r="Y303" s="205"/>
      <c r="Z303" s="209"/>
      <c r="AA303" s="209"/>
      <c r="AB303" s="209"/>
      <c r="AD303" s="210"/>
      <c r="AE303" s="211"/>
      <c r="AF303" s="210"/>
      <c r="AG303" s="210"/>
      <c r="AH303" s="210"/>
      <c r="AI303" s="210"/>
      <c r="AJ303" s="210"/>
      <c r="AK303" s="210"/>
      <c r="AL303" s="210"/>
      <c r="AM303" s="210"/>
      <c r="AN303" s="210"/>
      <c r="AO303" s="210"/>
      <c r="AP303" s="210"/>
    </row>
    <row r="304" ht="25.5" customHeight="1">
      <c r="A304" s="27">
        <f t="shared" si="3"/>
        <v>303</v>
      </c>
      <c r="B304" s="27" t="s">
        <v>61</v>
      </c>
      <c r="C304" s="27" t="s">
        <v>63</v>
      </c>
      <c r="D304" s="27" t="s">
        <v>64</v>
      </c>
      <c r="E304" s="95" t="str">
        <f t="shared" si="50"/>
        <v/>
      </c>
      <c r="F304" s="30" t="s">
        <v>76</v>
      </c>
      <c r="G304" s="30" t="s">
        <v>350</v>
      </c>
      <c r="H304" s="27" t="s">
        <v>1276</v>
      </c>
      <c r="I304" s="27" t="s">
        <v>38</v>
      </c>
      <c r="J304" s="121" t="s">
        <v>1277</v>
      </c>
      <c r="K304" s="121" t="s">
        <v>1278</v>
      </c>
      <c r="L304" s="121" t="str">
        <f t="shared" si="51"/>
        <v>Calle 34 A Norte # 2 A 70, Prados del norte, Cali</v>
      </c>
      <c r="M304" s="121" t="s">
        <v>231</v>
      </c>
      <c r="N304" s="121" t="s">
        <v>233</v>
      </c>
      <c r="O304" s="27"/>
      <c r="P304" s="27"/>
      <c r="Q304" s="27" t="s">
        <v>81</v>
      </c>
      <c r="R304" s="30"/>
      <c r="S304" s="30"/>
      <c r="T304" s="30">
        <v>1.0</v>
      </c>
      <c r="U304" s="209"/>
      <c r="V304" s="209"/>
      <c r="W304" s="209"/>
      <c r="X304" s="209"/>
      <c r="Y304" s="205"/>
      <c r="Z304" s="121" t="s">
        <v>1279</v>
      </c>
      <c r="AA304" s="121"/>
      <c r="AB304" s="121"/>
      <c r="AD304" s="210"/>
      <c r="AE304" s="211"/>
      <c r="AF304" s="210"/>
      <c r="AG304" s="210"/>
      <c r="AH304" s="210"/>
      <c r="AI304" s="210"/>
      <c r="AJ304" s="210"/>
      <c r="AK304" s="210"/>
      <c r="AL304" s="210"/>
      <c r="AM304" s="210"/>
      <c r="AN304" s="210"/>
      <c r="AO304" s="210"/>
      <c r="AP304" s="210"/>
    </row>
    <row r="305" ht="25.5" customHeight="1">
      <c r="A305" s="27">
        <f t="shared" si="3"/>
        <v>304</v>
      </c>
      <c r="B305" s="27" t="s">
        <v>61</v>
      </c>
      <c r="C305" s="27" t="s">
        <v>63</v>
      </c>
      <c r="D305" s="27" t="s">
        <v>64</v>
      </c>
      <c r="E305" s="95" t="str">
        <f t="shared" si="50"/>
        <v/>
      </c>
      <c r="F305" s="30" t="s">
        <v>76</v>
      </c>
      <c r="G305" s="30" t="s">
        <v>350</v>
      </c>
      <c r="H305" s="27" t="s">
        <v>480</v>
      </c>
      <c r="I305" s="27" t="s">
        <v>1274</v>
      </c>
      <c r="J305" s="121" t="s">
        <v>1280</v>
      </c>
      <c r="K305" s="121"/>
      <c r="L305" s="121" t="str">
        <f t="shared" si="51"/>
        <v>Av. 7 Norte # 24N - 09, Santa Monica Residencial, Cali</v>
      </c>
      <c r="M305" s="121" t="s">
        <v>231</v>
      </c>
      <c r="N305" s="121" t="s">
        <v>233</v>
      </c>
      <c r="O305" s="27"/>
      <c r="P305" s="27"/>
      <c r="Q305" s="27" t="s">
        <v>81</v>
      </c>
      <c r="R305" s="30"/>
      <c r="S305" s="30"/>
      <c r="T305" s="30">
        <v>1.0</v>
      </c>
      <c r="U305" s="209"/>
      <c r="V305" s="209"/>
      <c r="W305" s="209"/>
      <c r="X305" s="209"/>
      <c r="Y305" s="205"/>
      <c r="Z305" s="209"/>
      <c r="AA305" s="209"/>
      <c r="AB305" s="209"/>
      <c r="AD305" s="210"/>
      <c r="AE305" s="211"/>
      <c r="AF305" s="210"/>
      <c r="AG305" s="210"/>
      <c r="AH305" s="210"/>
      <c r="AI305" s="210"/>
      <c r="AJ305" s="210"/>
      <c r="AK305" s="210"/>
      <c r="AL305" s="210"/>
      <c r="AM305" s="210"/>
      <c r="AN305" s="210"/>
      <c r="AO305" s="210"/>
      <c r="AP305" s="210"/>
    </row>
    <row r="306" ht="25.5" customHeight="1">
      <c r="A306" s="27">
        <f t="shared" si="3"/>
        <v>305</v>
      </c>
      <c r="B306" s="27" t="s">
        <v>61</v>
      </c>
      <c r="C306" s="27" t="s">
        <v>63</v>
      </c>
      <c r="D306" s="27" t="s">
        <v>64</v>
      </c>
      <c r="E306" s="28" t="str">
        <f t="shared" si="50"/>
        <v/>
      </c>
      <c r="F306" s="30" t="s">
        <v>119</v>
      </c>
      <c r="G306" s="30" t="s">
        <v>350</v>
      </c>
      <c r="H306" s="27" t="s">
        <v>1281</v>
      </c>
      <c r="I306" s="27" t="s">
        <v>38</v>
      </c>
      <c r="J306" s="121" t="s">
        <v>1282</v>
      </c>
      <c r="K306" s="121"/>
      <c r="L306" s="121" t="str">
        <f t="shared" si="51"/>
        <v>Calle 45 Nte #7n-27, versalles, Cali</v>
      </c>
      <c r="M306" s="121" t="s">
        <v>231</v>
      </c>
      <c r="N306" s="121" t="s">
        <v>233</v>
      </c>
      <c r="O306" s="27"/>
      <c r="P306" s="27"/>
      <c r="Q306" s="27" t="s">
        <v>81</v>
      </c>
      <c r="R306" s="30"/>
      <c r="S306" s="30"/>
      <c r="T306" s="30">
        <v>1.0</v>
      </c>
      <c r="U306" s="209"/>
      <c r="V306" s="209"/>
      <c r="W306" s="209"/>
      <c r="X306" s="209"/>
      <c r="Y306" s="205"/>
      <c r="Z306" s="121" t="s">
        <v>1283</v>
      </c>
      <c r="AA306" s="121"/>
      <c r="AB306" s="121"/>
      <c r="AD306" s="210"/>
      <c r="AE306" s="211"/>
      <c r="AF306" s="210"/>
      <c r="AG306" s="210"/>
      <c r="AH306" s="210"/>
      <c r="AI306" s="210"/>
      <c r="AJ306" s="210"/>
      <c r="AK306" s="210"/>
      <c r="AL306" s="210"/>
      <c r="AM306" s="210"/>
      <c r="AN306" s="210"/>
      <c r="AO306" s="210"/>
      <c r="AP306" s="210"/>
    </row>
    <row r="307" ht="25.5" customHeight="1">
      <c r="A307" s="27">
        <f t="shared" si="3"/>
        <v>306</v>
      </c>
      <c r="B307" s="27" t="s">
        <v>61</v>
      </c>
      <c r="C307" s="27" t="s">
        <v>63</v>
      </c>
      <c r="D307" s="27" t="s">
        <v>64</v>
      </c>
      <c r="E307" s="28" t="str">
        <f t="shared" si="50"/>
        <v/>
      </c>
      <c r="F307" s="30" t="s">
        <v>73</v>
      </c>
      <c r="G307" s="30" t="s">
        <v>176</v>
      </c>
      <c r="H307" s="27" t="s">
        <v>144</v>
      </c>
      <c r="I307" s="27" t="s">
        <v>38</v>
      </c>
      <c r="J307" s="121" t="s">
        <v>1284</v>
      </c>
      <c r="K307" s="121"/>
      <c r="L307" s="121" t="str">
        <f t="shared" si="51"/>
        <v>carrera 15 # 12 - 60, Bretaña, Cali</v>
      </c>
      <c r="M307" s="154" t="s">
        <v>1285</v>
      </c>
      <c r="N307" s="154" t="s">
        <v>233</v>
      </c>
      <c r="O307" s="27"/>
      <c r="P307" s="27"/>
      <c r="Q307" s="27" t="s">
        <v>81</v>
      </c>
      <c r="R307" s="30"/>
      <c r="S307" s="30"/>
      <c r="T307" s="30">
        <v>1.0</v>
      </c>
      <c r="U307" s="209"/>
      <c r="V307" s="209"/>
      <c r="W307" s="209"/>
      <c r="X307" s="209"/>
      <c r="Y307" s="205"/>
      <c r="Z307" s="209"/>
      <c r="AA307" s="209"/>
      <c r="AB307" s="209"/>
      <c r="AD307" s="210"/>
      <c r="AE307" s="211"/>
      <c r="AF307" s="210"/>
      <c r="AG307" s="210"/>
      <c r="AH307" s="210"/>
      <c r="AI307" s="210"/>
      <c r="AJ307" s="210"/>
      <c r="AK307" s="210"/>
      <c r="AL307" s="210"/>
      <c r="AM307" s="210"/>
      <c r="AN307" s="210"/>
      <c r="AO307" s="210"/>
      <c r="AP307" s="210"/>
    </row>
    <row r="308" ht="25.5" customHeight="1">
      <c r="A308" s="27">
        <f t="shared" si="3"/>
        <v>307</v>
      </c>
      <c r="B308" s="27" t="s">
        <v>61</v>
      </c>
      <c r="C308" s="27" t="s">
        <v>63</v>
      </c>
      <c r="D308" s="27" t="s">
        <v>64</v>
      </c>
      <c r="E308" s="258" t="str">
        <f t="shared" si="50"/>
        <v/>
      </c>
      <c r="F308" s="11" t="s">
        <v>80</v>
      </c>
      <c r="G308" s="259" t="s">
        <v>426</v>
      </c>
      <c r="H308" s="121" t="s">
        <v>79</v>
      </c>
      <c r="I308" s="121" t="s">
        <v>546</v>
      </c>
      <c r="J308" s="121" t="s">
        <v>1286</v>
      </c>
      <c r="K308" s="121" t="s">
        <v>1287</v>
      </c>
      <c r="L308" s="121" t="str">
        <f t="shared" si="51"/>
        <v>calle 76 # 28 - 20, Alfonso Bonilla, Cali</v>
      </c>
      <c r="M308" s="121" t="s">
        <v>231</v>
      </c>
      <c r="N308" s="121" t="s">
        <v>233</v>
      </c>
      <c r="O308" s="27"/>
      <c r="P308" s="27"/>
      <c r="Q308" s="27" t="s">
        <v>81</v>
      </c>
      <c r="R308" s="30"/>
      <c r="S308" s="30"/>
      <c r="T308" s="30">
        <v>1.0</v>
      </c>
      <c r="U308" s="209"/>
      <c r="V308" s="209"/>
      <c r="W308" s="209"/>
      <c r="X308" s="209"/>
      <c r="Y308" s="205"/>
      <c r="Z308" s="209"/>
      <c r="AA308" s="209"/>
      <c r="AB308" s="209"/>
      <c r="AD308" s="210"/>
      <c r="AE308" s="211"/>
      <c r="AF308" s="210"/>
      <c r="AG308" s="210"/>
      <c r="AH308" s="210"/>
      <c r="AI308" s="210"/>
      <c r="AJ308" s="210"/>
      <c r="AK308" s="210"/>
      <c r="AL308" s="210"/>
      <c r="AM308" s="210"/>
      <c r="AN308" s="210"/>
      <c r="AO308" s="210"/>
      <c r="AP308" s="210"/>
    </row>
    <row r="309" ht="25.5" customHeight="1">
      <c r="A309" s="27">
        <f t="shared" si="3"/>
        <v>308</v>
      </c>
      <c r="B309" s="27" t="s">
        <v>61</v>
      </c>
      <c r="C309" s="27" t="s">
        <v>63</v>
      </c>
      <c r="D309" s="27" t="s">
        <v>64</v>
      </c>
      <c r="E309" s="258" t="str">
        <f t="shared" si="50"/>
        <v/>
      </c>
      <c r="F309" s="30" t="s">
        <v>35</v>
      </c>
      <c r="G309" s="11" t="s">
        <v>36</v>
      </c>
      <c r="H309" s="121" t="s">
        <v>278</v>
      </c>
      <c r="I309" s="121" t="s">
        <v>38</v>
      </c>
      <c r="J309" s="121" t="s">
        <v>1288</v>
      </c>
      <c r="K309" s="121" t="s">
        <v>1289</v>
      </c>
      <c r="L309" s="121" t="str">
        <f t="shared" si="51"/>
        <v>Carrera 36A 5B1-37, San Fernando, Cali</v>
      </c>
      <c r="M309" s="192" t="s">
        <v>231</v>
      </c>
      <c r="N309" s="192" t="s">
        <v>233</v>
      </c>
      <c r="O309" s="27"/>
      <c r="P309" s="27"/>
      <c r="Q309" s="27" t="s">
        <v>81</v>
      </c>
      <c r="R309" s="30"/>
      <c r="S309" s="30"/>
      <c r="T309" s="30">
        <v>1.0</v>
      </c>
      <c r="U309" s="209"/>
      <c r="V309" s="209"/>
      <c r="W309" s="209"/>
      <c r="X309" s="209"/>
      <c r="Y309" s="205"/>
      <c r="Z309" s="27" t="s">
        <v>1290</v>
      </c>
      <c r="AA309" s="27"/>
      <c r="AB309" s="27"/>
      <c r="AD309" s="210"/>
      <c r="AE309" s="211"/>
      <c r="AF309" s="210"/>
      <c r="AG309" s="210"/>
      <c r="AH309" s="210"/>
      <c r="AI309" s="210"/>
      <c r="AJ309" s="210"/>
      <c r="AK309" s="210"/>
      <c r="AL309" s="210"/>
      <c r="AM309" s="210"/>
      <c r="AN309" s="210"/>
      <c r="AO309" s="210"/>
      <c r="AP309" s="210"/>
    </row>
    <row r="310" ht="25.5" customHeight="1">
      <c r="A310" s="27">
        <f t="shared" si="3"/>
        <v>309</v>
      </c>
      <c r="B310" s="27" t="s">
        <v>61</v>
      </c>
      <c r="C310" s="27" t="s">
        <v>63</v>
      </c>
      <c r="D310" s="27" t="s">
        <v>64</v>
      </c>
      <c r="E310" s="28" t="str">
        <f t="shared" si="50"/>
        <v/>
      </c>
      <c r="F310" s="30" t="s">
        <v>78</v>
      </c>
      <c r="G310" s="30" t="s">
        <v>36</v>
      </c>
      <c r="H310" s="27" t="s">
        <v>77</v>
      </c>
      <c r="I310" s="27" t="s">
        <v>38</v>
      </c>
      <c r="J310" s="121" t="s">
        <v>1291</v>
      </c>
      <c r="K310" s="121" t="s">
        <v>1292</v>
      </c>
      <c r="L310" s="121" t="str">
        <f t="shared" si="51"/>
        <v>calle 4 # 73 91, Alférez real, Cali</v>
      </c>
      <c r="M310" s="121" t="s">
        <v>231</v>
      </c>
      <c r="N310" s="121" t="s">
        <v>233</v>
      </c>
      <c r="O310" s="27"/>
      <c r="P310" s="27"/>
      <c r="Q310" s="27" t="s">
        <v>81</v>
      </c>
      <c r="R310" s="30"/>
      <c r="S310" s="30"/>
      <c r="T310" s="30">
        <v>1.0</v>
      </c>
      <c r="U310" s="209"/>
      <c r="V310" s="209"/>
      <c r="W310" s="209"/>
      <c r="X310" s="209"/>
      <c r="Y310" s="208"/>
      <c r="Z310" s="121" t="s">
        <v>1293</v>
      </c>
      <c r="AA310" s="121"/>
      <c r="AB310" s="121"/>
      <c r="AD310" s="210"/>
      <c r="AE310" s="211"/>
      <c r="AF310" s="210"/>
      <c r="AG310" s="210"/>
      <c r="AH310" s="210"/>
      <c r="AI310" s="210"/>
      <c r="AJ310" s="210"/>
      <c r="AK310" s="210"/>
      <c r="AL310" s="210"/>
      <c r="AM310" s="210"/>
      <c r="AN310" s="210"/>
      <c r="AO310" s="210"/>
      <c r="AP310" s="210"/>
    </row>
    <row r="311" ht="25.5" customHeight="1">
      <c r="A311" s="27">
        <f t="shared" si="3"/>
        <v>310</v>
      </c>
      <c r="B311" s="27" t="s">
        <v>61</v>
      </c>
      <c r="C311" s="27" t="s">
        <v>63</v>
      </c>
      <c r="D311" s="27" t="s">
        <v>64</v>
      </c>
      <c r="E311" s="28" t="str">
        <f t="shared" si="50"/>
        <v/>
      </c>
      <c r="F311" s="30" t="s">
        <v>119</v>
      </c>
      <c r="G311" s="30" t="s">
        <v>350</v>
      </c>
      <c r="H311" s="27" t="s">
        <v>1294</v>
      </c>
      <c r="I311" s="27" t="s">
        <v>286</v>
      </c>
      <c r="J311" s="27" t="s">
        <v>1295</v>
      </c>
      <c r="K311" s="27"/>
      <c r="L311" s="27" t="str">
        <f t="shared" si="51"/>
        <v>Carrera 6ta # 26 G 22, Buenos aires, Cali</v>
      </c>
      <c r="M311" s="27" t="s">
        <v>231</v>
      </c>
      <c r="N311" s="27" t="s">
        <v>233</v>
      </c>
      <c r="O311" s="27"/>
      <c r="P311" s="27"/>
      <c r="Q311" s="27" t="s">
        <v>81</v>
      </c>
      <c r="R311" s="30"/>
      <c r="S311" s="30"/>
      <c r="T311" s="30">
        <v>1.0</v>
      </c>
      <c r="U311" s="33"/>
      <c r="V311" s="33"/>
      <c r="W311" s="33"/>
      <c r="X311" s="33"/>
      <c r="Y311" s="33"/>
      <c r="Z311" s="33"/>
      <c r="AA311" s="33"/>
      <c r="AB311" s="33"/>
      <c r="AD311" s="22"/>
      <c r="AE311" s="22"/>
      <c r="AF311" s="22"/>
      <c r="AG311" s="22"/>
      <c r="AH311" s="22"/>
      <c r="AI311" s="22"/>
      <c r="AJ311" s="22"/>
      <c r="AK311" s="22"/>
      <c r="AL311" s="22"/>
      <c r="AM311" s="22"/>
      <c r="AN311" s="22"/>
      <c r="AO311" s="22"/>
      <c r="AP311" s="22"/>
    </row>
    <row r="312" ht="25.5" customHeight="1">
      <c r="A312" s="27">
        <f t="shared" si="3"/>
        <v>311</v>
      </c>
      <c r="B312" s="27" t="s">
        <v>61</v>
      </c>
      <c r="C312" s="27" t="s">
        <v>63</v>
      </c>
      <c r="D312" s="27" t="s">
        <v>64</v>
      </c>
      <c r="E312" s="28" t="str">
        <f t="shared" si="50"/>
        <v/>
      </c>
      <c r="F312" s="30" t="s">
        <v>88</v>
      </c>
      <c r="G312" s="30" t="s">
        <v>426</v>
      </c>
      <c r="H312" s="27" t="s">
        <v>322</v>
      </c>
      <c r="I312" s="27" t="s">
        <v>286</v>
      </c>
      <c r="J312" s="27" t="s">
        <v>1296</v>
      </c>
      <c r="K312" s="27"/>
      <c r="L312" s="27" t="str">
        <f t="shared" si="51"/>
        <v>calle 26C # 41a -19, La Independencia, Cali</v>
      </c>
      <c r="M312" s="154" t="s">
        <v>1297</v>
      </c>
      <c r="N312" s="154" t="s">
        <v>233</v>
      </c>
      <c r="O312" s="27"/>
      <c r="P312" s="27"/>
      <c r="Q312" s="27" t="s">
        <v>81</v>
      </c>
      <c r="R312" s="30"/>
      <c r="S312" s="30"/>
      <c r="T312" s="30">
        <v>1.0</v>
      </c>
      <c r="U312" s="33"/>
      <c r="V312" s="33"/>
      <c r="W312" s="33"/>
      <c r="X312" s="33"/>
      <c r="Y312" s="33"/>
      <c r="Z312" s="33"/>
      <c r="AA312" s="33"/>
      <c r="AB312" s="33"/>
      <c r="AD312" s="22"/>
      <c r="AE312" s="22"/>
      <c r="AF312" s="22"/>
      <c r="AG312" s="22"/>
      <c r="AH312" s="22"/>
      <c r="AI312" s="22"/>
      <c r="AJ312" s="22"/>
      <c r="AK312" s="22"/>
      <c r="AL312" s="22"/>
      <c r="AM312" s="22"/>
      <c r="AN312" s="22"/>
      <c r="AO312" s="22"/>
      <c r="AP312" s="22"/>
    </row>
    <row r="313" ht="25.5" customHeight="1">
      <c r="A313" s="27">
        <f t="shared" si="3"/>
        <v>312</v>
      </c>
      <c r="B313" s="27" t="s">
        <v>61</v>
      </c>
      <c r="C313" s="27" t="s">
        <v>63</v>
      </c>
      <c r="D313" s="27" t="s">
        <v>64</v>
      </c>
      <c r="E313" s="95" t="str">
        <f t="shared" si="50"/>
        <v/>
      </c>
      <c r="F313" s="30" t="s">
        <v>35</v>
      </c>
      <c r="G313" s="30" t="s">
        <v>36</v>
      </c>
      <c r="H313" s="27" t="s">
        <v>442</v>
      </c>
      <c r="I313" s="27" t="s">
        <v>1238</v>
      </c>
      <c r="J313" s="27" t="s">
        <v>1298</v>
      </c>
      <c r="K313" s="27" t="s">
        <v>1299</v>
      </c>
      <c r="L313" s="27" t="str">
        <f t="shared" si="51"/>
        <v>calle 2c # 65 56, Refugio, Cali</v>
      </c>
      <c r="M313" s="27" t="s">
        <v>231</v>
      </c>
      <c r="N313" s="27" t="s">
        <v>233</v>
      </c>
      <c r="O313" s="27"/>
      <c r="P313" s="27"/>
      <c r="Q313" s="27" t="s">
        <v>81</v>
      </c>
      <c r="R313" s="30"/>
      <c r="S313" s="30"/>
      <c r="T313" s="30">
        <v>1.0</v>
      </c>
      <c r="U313" s="33"/>
      <c r="V313" s="33"/>
      <c r="W313" s="33"/>
      <c r="X313" s="33"/>
      <c r="Y313" s="33"/>
      <c r="Z313" s="33"/>
      <c r="AA313" s="33"/>
      <c r="AB313" s="33"/>
      <c r="AD313" s="22"/>
      <c r="AE313" s="22"/>
      <c r="AF313" s="22"/>
      <c r="AG313" s="22"/>
      <c r="AH313" s="22"/>
      <c r="AI313" s="22"/>
      <c r="AJ313" s="22"/>
      <c r="AK313" s="22"/>
      <c r="AL313" s="22"/>
      <c r="AM313" s="22"/>
      <c r="AN313" s="22"/>
      <c r="AO313" s="22"/>
      <c r="AP313" s="22"/>
    </row>
    <row r="314" ht="25.5" customHeight="1">
      <c r="A314" s="27">
        <f t="shared" si="3"/>
        <v>313</v>
      </c>
      <c r="B314" s="27" t="s">
        <v>61</v>
      </c>
      <c r="C314" s="27" t="s">
        <v>63</v>
      </c>
      <c r="D314" s="27" t="s">
        <v>64</v>
      </c>
      <c r="E314" s="28" t="str">
        <f t="shared" si="50"/>
        <v/>
      </c>
      <c r="F314" s="30" t="s">
        <v>87</v>
      </c>
      <c r="G314" s="30" t="s">
        <v>1300</v>
      </c>
      <c r="H314" s="27" t="s">
        <v>1301</v>
      </c>
      <c r="I314" s="27" t="s">
        <v>38</v>
      </c>
      <c r="J314" s="27" t="s">
        <v>1302</v>
      </c>
      <c r="K314" s="27" t="s">
        <v>1303</v>
      </c>
      <c r="L314" s="27" t="str">
        <f t="shared" si="51"/>
        <v>calle 1A oeste KR 100 bis 61, melendez, Cali</v>
      </c>
      <c r="M314" s="27" t="s">
        <v>231</v>
      </c>
      <c r="N314" s="27" t="s">
        <v>233</v>
      </c>
      <c r="O314" s="27"/>
      <c r="P314" s="27"/>
      <c r="Q314" s="27" t="s">
        <v>81</v>
      </c>
      <c r="R314" s="30"/>
      <c r="S314" s="30"/>
      <c r="T314" s="30">
        <v>1.0</v>
      </c>
      <c r="U314" s="33"/>
      <c r="V314" s="33"/>
      <c r="W314" s="33"/>
      <c r="X314" s="33"/>
      <c r="Y314" s="33"/>
      <c r="Z314" s="33"/>
      <c r="AA314" s="33"/>
      <c r="AB314" s="33"/>
      <c r="AD314" s="22"/>
      <c r="AE314" s="22"/>
      <c r="AF314" s="22"/>
      <c r="AG314" s="22"/>
      <c r="AH314" s="22"/>
      <c r="AI314" s="22"/>
      <c r="AJ314" s="22"/>
      <c r="AK314" s="22"/>
      <c r="AL314" s="22"/>
      <c r="AM314" s="22"/>
      <c r="AN314" s="22"/>
      <c r="AO314" s="22"/>
      <c r="AP314" s="22"/>
    </row>
    <row r="315" ht="25.5" customHeight="1">
      <c r="A315" s="27">
        <f t="shared" si="3"/>
        <v>314</v>
      </c>
      <c r="B315" s="27" t="s">
        <v>61</v>
      </c>
      <c r="C315" s="27" t="s">
        <v>63</v>
      </c>
      <c r="D315" s="27" t="s">
        <v>64</v>
      </c>
      <c r="E315" s="28" t="str">
        <f t="shared" si="50"/>
        <v/>
      </c>
      <c r="F315" s="30" t="s">
        <v>87</v>
      </c>
      <c r="G315" s="30" t="s">
        <v>36</v>
      </c>
      <c r="H315" s="27" t="s">
        <v>1301</v>
      </c>
      <c r="I315" s="27" t="s">
        <v>38</v>
      </c>
      <c r="J315" s="27" t="s">
        <v>1304</v>
      </c>
      <c r="K315" s="27"/>
      <c r="L315" s="27" t="str">
        <f t="shared" si="51"/>
        <v>Carrera 94b1- calle 2abis, melendez, Cali</v>
      </c>
      <c r="M315" s="154" t="s">
        <v>1305</v>
      </c>
      <c r="N315" s="154" t="s">
        <v>233</v>
      </c>
      <c r="O315" s="27"/>
      <c r="P315" s="27"/>
      <c r="Q315" s="27" t="s">
        <v>81</v>
      </c>
      <c r="R315" s="30"/>
      <c r="S315" s="30"/>
      <c r="T315" s="30">
        <v>1.0</v>
      </c>
      <c r="U315" s="33"/>
      <c r="V315" s="33"/>
      <c r="W315" s="33"/>
      <c r="X315" s="33"/>
      <c r="Y315" s="33"/>
      <c r="Z315" s="27" t="s">
        <v>1306</v>
      </c>
      <c r="AA315" s="27"/>
      <c r="AB315" s="27"/>
      <c r="AD315" s="22"/>
      <c r="AE315" s="22"/>
      <c r="AF315" s="22"/>
      <c r="AG315" s="22"/>
      <c r="AH315" s="22"/>
      <c r="AI315" s="22"/>
      <c r="AJ315" s="22"/>
      <c r="AK315" s="22"/>
      <c r="AL315" s="22"/>
      <c r="AM315" s="22"/>
      <c r="AN315" s="22"/>
      <c r="AO315" s="22"/>
      <c r="AP315" s="22"/>
    </row>
    <row r="316" ht="25.5" customHeight="1">
      <c r="A316" s="27">
        <f t="shared" si="3"/>
        <v>315</v>
      </c>
      <c r="B316" s="27" t="s">
        <v>61</v>
      </c>
      <c r="C316" s="27" t="s">
        <v>63</v>
      </c>
      <c r="D316" s="27" t="s">
        <v>64</v>
      </c>
      <c r="E316" s="28" t="str">
        <f t="shared" si="50"/>
        <v/>
      </c>
      <c r="F316" s="30" t="s">
        <v>76</v>
      </c>
      <c r="G316" s="30" t="s">
        <v>350</v>
      </c>
      <c r="H316" s="27" t="s">
        <v>408</v>
      </c>
      <c r="I316" s="27" t="s">
        <v>38</v>
      </c>
      <c r="J316" s="27" t="s">
        <v>1307</v>
      </c>
      <c r="K316" s="27" t="s">
        <v>1308</v>
      </c>
      <c r="L316" s="27" t="str">
        <f t="shared" si="51"/>
        <v>Calle 55 norte 2 an 107, pacara, Cali</v>
      </c>
      <c r="M316" s="142" t="s">
        <v>1309</v>
      </c>
      <c r="N316" s="142" t="s">
        <v>233</v>
      </c>
      <c r="O316" s="27"/>
      <c r="P316" s="27"/>
      <c r="Q316" s="27" t="s">
        <v>81</v>
      </c>
      <c r="R316" s="30"/>
      <c r="S316" s="30"/>
      <c r="T316" s="30">
        <v>1.0</v>
      </c>
      <c r="U316" s="33"/>
      <c r="V316" s="33"/>
      <c r="W316" s="33"/>
      <c r="X316" s="33"/>
      <c r="Y316" s="33"/>
      <c r="Z316" s="33"/>
      <c r="AA316" s="33"/>
      <c r="AB316" s="33"/>
      <c r="AD316" s="22"/>
      <c r="AE316" s="22"/>
      <c r="AF316" s="22"/>
      <c r="AG316" s="22"/>
      <c r="AH316" s="22"/>
      <c r="AI316" s="22"/>
      <c r="AJ316" s="22"/>
      <c r="AK316" s="22"/>
      <c r="AL316" s="22"/>
      <c r="AM316" s="22"/>
      <c r="AN316" s="22"/>
      <c r="AO316" s="22"/>
      <c r="AP316" s="22"/>
    </row>
    <row r="317" ht="25.5" customHeight="1">
      <c r="A317" s="27">
        <f t="shared" si="3"/>
        <v>316</v>
      </c>
      <c r="B317" s="27" t="s">
        <v>61</v>
      </c>
      <c r="C317" s="27" t="s">
        <v>63</v>
      </c>
      <c r="D317" s="27" t="s">
        <v>64</v>
      </c>
      <c r="E317" s="28" t="str">
        <f t="shared" si="50"/>
        <v/>
      </c>
      <c r="F317" s="30" t="s">
        <v>87</v>
      </c>
      <c r="G317" s="30" t="s">
        <v>36</v>
      </c>
      <c r="H317" s="27" t="s">
        <v>411</v>
      </c>
      <c r="I317" s="27" t="s">
        <v>286</v>
      </c>
      <c r="J317" s="27" t="s">
        <v>1310</v>
      </c>
      <c r="K317" s="27"/>
      <c r="L317" s="27" t="str">
        <f t="shared" si="51"/>
        <v>calle 3D 75 a 30, palma real, Cali</v>
      </c>
      <c r="M317" s="27" t="s">
        <v>231</v>
      </c>
      <c r="N317" s="27" t="s">
        <v>233</v>
      </c>
      <c r="O317" s="27"/>
      <c r="P317" s="27"/>
      <c r="Q317" s="27" t="s">
        <v>81</v>
      </c>
      <c r="R317" s="30"/>
      <c r="S317" s="30"/>
      <c r="T317" s="30">
        <v>1.0</v>
      </c>
      <c r="U317" s="33"/>
      <c r="V317" s="33"/>
      <c r="W317" s="33"/>
      <c r="X317" s="33"/>
      <c r="Y317" s="33"/>
      <c r="Z317" s="33"/>
      <c r="AA317" s="33"/>
      <c r="AB317" s="33"/>
      <c r="AD317" s="22"/>
      <c r="AE317" s="22"/>
      <c r="AF317" s="22"/>
      <c r="AG317" s="22"/>
      <c r="AH317" s="22"/>
      <c r="AI317" s="22"/>
      <c r="AJ317" s="22"/>
      <c r="AK317" s="22"/>
      <c r="AL317" s="22"/>
      <c r="AM317" s="22"/>
      <c r="AN317" s="22"/>
      <c r="AO317" s="22"/>
      <c r="AP317" s="22"/>
    </row>
    <row r="318" ht="25.5" customHeight="1">
      <c r="A318" s="27">
        <f t="shared" si="3"/>
        <v>317</v>
      </c>
      <c r="B318" s="27" t="s">
        <v>61</v>
      </c>
      <c r="C318" s="27" t="s">
        <v>63</v>
      </c>
      <c r="D318" s="27" t="s">
        <v>64</v>
      </c>
      <c r="E318" s="28" t="str">
        <f t="shared" si="50"/>
        <v/>
      </c>
      <c r="F318" s="30" t="s">
        <v>73</v>
      </c>
      <c r="G318" s="30" t="s">
        <v>36</v>
      </c>
      <c r="H318" s="27" t="s">
        <v>72</v>
      </c>
      <c r="I318" s="27" t="s">
        <v>286</v>
      </c>
      <c r="J318" s="27" t="s">
        <v>1311</v>
      </c>
      <c r="K318" s="27"/>
      <c r="L318" s="27" t="str">
        <f t="shared" si="51"/>
        <v>Cra 24 3 # 7 - 86, Alameda, Cali</v>
      </c>
      <c r="M318" s="154" t="s">
        <v>1312</v>
      </c>
      <c r="N318" s="154" t="s">
        <v>233</v>
      </c>
      <c r="O318" s="27"/>
      <c r="P318" s="27"/>
      <c r="Q318" s="27" t="s">
        <v>81</v>
      </c>
      <c r="R318" s="30"/>
      <c r="S318" s="30"/>
      <c r="T318" s="30">
        <v>1.0</v>
      </c>
      <c r="U318" s="33"/>
      <c r="V318" s="33"/>
      <c r="W318" s="33"/>
      <c r="X318" s="33"/>
      <c r="Y318" s="33"/>
      <c r="Z318" s="33"/>
      <c r="AA318" s="33"/>
      <c r="AB318" s="33"/>
      <c r="AD318" s="22"/>
      <c r="AE318" s="22"/>
      <c r="AF318" s="22"/>
      <c r="AG318" s="22"/>
      <c r="AH318" s="22"/>
      <c r="AI318" s="22"/>
      <c r="AJ318" s="22"/>
      <c r="AK318" s="22"/>
      <c r="AL318" s="22"/>
      <c r="AM318" s="22"/>
      <c r="AN318" s="22"/>
      <c r="AO318" s="22"/>
      <c r="AP318" s="22"/>
    </row>
    <row r="319" ht="25.5" customHeight="1">
      <c r="A319" s="27">
        <f t="shared" si="3"/>
        <v>318</v>
      </c>
      <c r="B319" s="27" t="s">
        <v>61</v>
      </c>
      <c r="C319" s="27" t="s">
        <v>63</v>
      </c>
      <c r="D319" s="27" t="s">
        <v>64</v>
      </c>
      <c r="E319" s="28" t="str">
        <f t="shared" si="50"/>
        <v/>
      </c>
      <c r="F319" s="30" t="s">
        <v>35</v>
      </c>
      <c r="G319" s="30" t="s">
        <v>36</v>
      </c>
      <c r="H319" s="27" t="s">
        <v>456</v>
      </c>
      <c r="I319" s="27" t="s">
        <v>38</v>
      </c>
      <c r="J319" s="27" t="s">
        <v>1313</v>
      </c>
      <c r="K319" s="27"/>
      <c r="L319" s="27" t="str">
        <f t="shared" si="51"/>
        <v>cra 25 # 2 oeste - 41, San Fernando Viejo, Cali</v>
      </c>
      <c r="M319" s="27" t="s">
        <v>231</v>
      </c>
      <c r="N319" s="27" t="s">
        <v>233</v>
      </c>
      <c r="O319" s="27"/>
      <c r="P319" s="27"/>
      <c r="Q319" s="27" t="s">
        <v>81</v>
      </c>
      <c r="R319" s="30"/>
      <c r="S319" s="30"/>
      <c r="T319" s="30">
        <v>1.0</v>
      </c>
      <c r="U319" s="33"/>
      <c r="V319" s="33"/>
      <c r="W319" s="33"/>
      <c r="X319" s="33"/>
      <c r="Y319" s="33"/>
      <c r="Z319" s="33"/>
      <c r="AA319" s="33"/>
      <c r="AB319" s="33"/>
      <c r="AD319" s="22"/>
      <c r="AE319" s="22"/>
      <c r="AF319" s="22"/>
      <c r="AG319" s="22"/>
      <c r="AH319" s="22"/>
      <c r="AI319" s="22"/>
      <c r="AJ319" s="22"/>
      <c r="AK319" s="22"/>
      <c r="AL319" s="22"/>
      <c r="AM319" s="22"/>
      <c r="AN319" s="22"/>
      <c r="AO319" s="22"/>
      <c r="AP319" s="22"/>
    </row>
    <row r="320" ht="25.5" customHeight="1">
      <c r="A320" s="27">
        <f t="shared" si="3"/>
        <v>319</v>
      </c>
      <c r="B320" s="27" t="s">
        <v>61</v>
      </c>
      <c r="C320" s="27" t="s">
        <v>63</v>
      </c>
      <c r="D320" s="27" t="s">
        <v>64</v>
      </c>
      <c r="E320" s="95" t="str">
        <f t="shared" si="50"/>
        <v/>
      </c>
      <c r="F320" s="30" t="s">
        <v>76</v>
      </c>
      <c r="G320" s="30" t="s">
        <v>350</v>
      </c>
      <c r="H320" s="27" t="s">
        <v>321</v>
      </c>
      <c r="I320" s="27" t="s">
        <v>38</v>
      </c>
      <c r="J320" s="27" t="s">
        <v>1314</v>
      </c>
      <c r="K320" s="27" t="s">
        <v>1315</v>
      </c>
      <c r="L320" s="27" t="str">
        <f t="shared" si="51"/>
        <v>calle 64 Norte # 4 - 90, La Flora, Cali</v>
      </c>
      <c r="M320" s="27" t="s">
        <v>231</v>
      </c>
      <c r="N320" s="27" t="s">
        <v>233</v>
      </c>
      <c r="O320" s="27"/>
      <c r="P320" s="27"/>
      <c r="Q320" s="27" t="s">
        <v>81</v>
      </c>
      <c r="R320" s="30"/>
      <c r="S320" s="30"/>
      <c r="T320" s="30">
        <v>1.0</v>
      </c>
      <c r="U320" s="33"/>
      <c r="V320" s="33"/>
      <c r="W320" s="33"/>
      <c r="X320" s="33"/>
      <c r="Y320" s="33"/>
      <c r="Z320" s="33"/>
      <c r="AA320" s="33"/>
      <c r="AB320" s="33"/>
      <c r="AD320" s="22"/>
      <c r="AE320" s="22"/>
      <c r="AF320" s="22"/>
      <c r="AG320" s="22"/>
      <c r="AH320" s="22"/>
      <c r="AI320" s="22"/>
      <c r="AJ320" s="22"/>
      <c r="AK320" s="22"/>
      <c r="AL320" s="22"/>
      <c r="AM320" s="22"/>
      <c r="AN320" s="22"/>
      <c r="AO320" s="22"/>
      <c r="AP320" s="22"/>
    </row>
    <row r="321" ht="25.5" customHeight="1">
      <c r="A321" s="27">
        <f t="shared" si="3"/>
        <v>320</v>
      </c>
      <c r="B321" s="27" t="s">
        <v>61</v>
      </c>
      <c r="C321" s="27" t="s">
        <v>63</v>
      </c>
      <c r="D321" s="27" t="s">
        <v>64</v>
      </c>
      <c r="E321" s="95" t="str">
        <f t="shared" si="50"/>
        <v/>
      </c>
      <c r="F321" s="30" t="s">
        <v>35</v>
      </c>
      <c r="G321" s="30" t="s">
        <v>36</v>
      </c>
      <c r="H321" s="27" t="s">
        <v>1316</v>
      </c>
      <c r="I321" s="27" t="s">
        <v>38</v>
      </c>
      <c r="J321" s="27" t="s">
        <v>1317</v>
      </c>
      <c r="K321" s="27"/>
      <c r="L321" s="27" t="str">
        <f t="shared" si="51"/>
        <v>Cra 36c # 5b5 - 84, san fernando, Cali</v>
      </c>
      <c r="M321" s="27" t="s">
        <v>231</v>
      </c>
      <c r="N321" s="27" t="s">
        <v>233</v>
      </c>
      <c r="O321" s="27"/>
      <c r="P321" s="27"/>
      <c r="Q321" s="27" t="s">
        <v>81</v>
      </c>
      <c r="R321" s="30"/>
      <c r="S321" s="30"/>
      <c r="T321" s="30">
        <v>1.0</v>
      </c>
      <c r="U321" s="33"/>
      <c r="V321" s="33"/>
      <c r="W321" s="33"/>
      <c r="X321" s="33"/>
      <c r="Y321" s="33"/>
      <c r="Z321" s="33"/>
      <c r="AA321" s="33"/>
      <c r="AB321" s="33"/>
      <c r="AD321" s="22"/>
      <c r="AE321" s="22"/>
      <c r="AF321" s="22"/>
      <c r="AG321" s="22"/>
      <c r="AH321" s="22"/>
      <c r="AI321" s="22"/>
      <c r="AJ321" s="22"/>
      <c r="AK321" s="22"/>
      <c r="AL321" s="22"/>
      <c r="AM321" s="22"/>
      <c r="AN321" s="22"/>
      <c r="AO321" s="22"/>
      <c r="AP321" s="22"/>
    </row>
    <row r="322" ht="25.5" customHeight="1">
      <c r="A322" s="27">
        <f t="shared" si="3"/>
        <v>321</v>
      </c>
      <c r="B322" s="27" t="s">
        <v>61</v>
      </c>
      <c r="C322" s="27" t="s">
        <v>63</v>
      </c>
      <c r="D322" s="27" t="s">
        <v>64</v>
      </c>
      <c r="E322" s="28" t="str">
        <f t="shared" si="50"/>
        <v/>
      </c>
      <c r="F322" s="30" t="s">
        <v>91</v>
      </c>
      <c r="G322" s="30" t="s">
        <v>426</v>
      </c>
      <c r="H322" s="27" t="s">
        <v>425</v>
      </c>
      <c r="I322" s="27" t="s">
        <v>38</v>
      </c>
      <c r="J322" s="27" t="s">
        <v>1318</v>
      </c>
      <c r="K322" s="27" t="s">
        <v>1319</v>
      </c>
      <c r="L322" s="27" t="str">
        <f t="shared" si="51"/>
        <v>Calle 72 n # 26h3 -27, Pondaje, Cali</v>
      </c>
      <c r="M322" s="27" t="s">
        <v>231</v>
      </c>
      <c r="N322" s="27" t="s">
        <v>233</v>
      </c>
      <c r="O322" s="33"/>
      <c r="P322" s="33"/>
      <c r="Q322" s="27" t="s">
        <v>81</v>
      </c>
      <c r="R322" s="30"/>
      <c r="S322" s="30"/>
      <c r="T322" s="30">
        <v>1.0</v>
      </c>
      <c r="U322" s="33"/>
      <c r="V322" s="33"/>
      <c r="W322" s="33"/>
      <c r="X322" s="33"/>
      <c r="Y322" s="33"/>
      <c r="Z322" s="27" t="s">
        <v>1320</v>
      </c>
      <c r="AA322" s="27"/>
      <c r="AB322" s="27"/>
      <c r="AD322" s="22"/>
      <c r="AE322" s="22"/>
      <c r="AF322" s="22"/>
      <c r="AG322" s="22"/>
      <c r="AH322" s="22"/>
      <c r="AI322" s="22"/>
      <c r="AJ322" s="22"/>
      <c r="AK322" s="22"/>
      <c r="AL322" s="22"/>
      <c r="AM322" s="22"/>
      <c r="AN322" s="22"/>
      <c r="AO322" s="22"/>
      <c r="AP322" s="22"/>
    </row>
    <row r="323" ht="25.5" customHeight="1">
      <c r="A323" s="263">
        <f t="shared" si="3"/>
        <v>322</v>
      </c>
      <c r="B323" s="206" t="s">
        <v>61</v>
      </c>
      <c r="C323" s="27" t="s">
        <v>63</v>
      </c>
      <c r="D323" s="27" t="s">
        <v>64</v>
      </c>
      <c r="E323" s="95" t="str">
        <f t="shared" si="50"/>
        <v/>
      </c>
      <c r="F323" s="30" t="s">
        <v>35</v>
      </c>
      <c r="G323" s="30" t="s">
        <v>36</v>
      </c>
      <c r="H323" s="27" t="s">
        <v>1321</v>
      </c>
      <c r="I323" s="27" t="s">
        <v>38</v>
      </c>
      <c r="J323" s="27" t="s">
        <v>1322</v>
      </c>
      <c r="K323" s="27" t="s">
        <v>1323</v>
      </c>
      <c r="L323" s="27" t="str">
        <f t="shared" si="51"/>
        <v>Carrera 62 #9-280, pampalinda, Cali</v>
      </c>
      <c r="M323" s="27" t="s">
        <v>231</v>
      </c>
      <c r="N323" s="27" t="s">
        <v>233</v>
      </c>
      <c r="O323" s="27"/>
      <c r="P323" s="27"/>
      <c r="Q323" s="27" t="s">
        <v>81</v>
      </c>
      <c r="R323" s="30"/>
      <c r="S323" s="30"/>
      <c r="T323" s="30">
        <v>1.0</v>
      </c>
      <c r="U323" s="33"/>
      <c r="V323" s="33"/>
      <c r="W323" s="33"/>
      <c r="X323" s="33"/>
      <c r="Y323" s="33"/>
      <c r="Z323" s="27" t="s">
        <v>1324</v>
      </c>
      <c r="AA323" s="27"/>
      <c r="AB323" s="27"/>
      <c r="AD323" s="22"/>
      <c r="AE323" s="22"/>
      <c r="AF323" s="22"/>
      <c r="AG323" s="22"/>
      <c r="AH323" s="22"/>
      <c r="AI323" s="22"/>
      <c r="AJ323" s="22"/>
      <c r="AK323" s="22"/>
      <c r="AL323" s="22"/>
      <c r="AM323" s="22"/>
      <c r="AN323" s="22"/>
      <c r="AO323" s="22"/>
      <c r="AP323" s="22"/>
    </row>
    <row r="324" ht="25.5" customHeight="1">
      <c r="A324" s="263">
        <f t="shared" si="3"/>
        <v>323</v>
      </c>
      <c r="B324" s="206" t="s">
        <v>61</v>
      </c>
      <c r="C324" s="27" t="s">
        <v>63</v>
      </c>
      <c r="D324" s="27" t="s">
        <v>64</v>
      </c>
      <c r="E324" s="28" t="str">
        <f t="shared" si="50"/>
        <v/>
      </c>
      <c r="F324" s="30" t="s">
        <v>110</v>
      </c>
      <c r="G324" s="30" t="s">
        <v>176</v>
      </c>
      <c r="H324" s="27" t="s">
        <v>1041</v>
      </c>
      <c r="I324" s="27" t="s">
        <v>38</v>
      </c>
      <c r="J324" s="27" t="s">
        <v>1325</v>
      </c>
      <c r="K324" s="27"/>
      <c r="L324" s="27" t="str">
        <f t="shared" si="51"/>
        <v>Calle 10 # 10 - 13, San bosco, Cali</v>
      </c>
      <c r="M324" s="27" t="s">
        <v>231</v>
      </c>
      <c r="N324" s="27" t="s">
        <v>233</v>
      </c>
      <c r="O324" s="27"/>
      <c r="P324" s="27"/>
      <c r="Q324" s="27" t="s">
        <v>81</v>
      </c>
      <c r="R324" s="30"/>
      <c r="S324" s="30"/>
      <c r="T324" s="30">
        <v>1.0</v>
      </c>
      <c r="U324" s="33"/>
      <c r="V324" s="33"/>
      <c r="W324" s="33"/>
      <c r="X324" s="33"/>
      <c r="Y324" s="33"/>
      <c r="Z324" s="33"/>
      <c r="AA324" s="33"/>
      <c r="AB324" s="33"/>
      <c r="AD324" s="22"/>
      <c r="AE324" s="22"/>
      <c r="AF324" s="22"/>
      <c r="AG324" s="22"/>
      <c r="AH324" s="22"/>
      <c r="AI324" s="22"/>
      <c r="AJ324" s="22"/>
      <c r="AK324" s="22"/>
      <c r="AL324" s="22"/>
      <c r="AM324" s="22"/>
      <c r="AN324" s="22"/>
      <c r="AO324" s="22"/>
      <c r="AP324" s="22"/>
    </row>
    <row r="325" ht="25.5" customHeight="1">
      <c r="A325" s="263">
        <f t="shared" si="3"/>
        <v>324</v>
      </c>
      <c r="B325" s="206" t="s">
        <v>61</v>
      </c>
      <c r="C325" s="27" t="s">
        <v>63</v>
      </c>
      <c r="D325" s="27" t="s">
        <v>64</v>
      </c>
      <c r="E325" s="95" t="str">
        <f t="shared" si="50"/>
        <v/>
      </c>
      <c r="F325" s="30" t="s">
        <v>110</v>
      </c>
      <c r="G325" s="30" t="s">
        <v>176</v>
      </c>
      <c r="H325" s="27" t="s">
        <v>1326</v>
      </c>
      <c r="I325" s="27" t="s">
        <v>38</v>
      </c>
      <c r="J325" s="27" t="s">
        <v>1327</v>
      </c>
      <c r="K325" s="27"/>
      <c r="L325" s="27" t="str">
        <f t="shared" si="51"/>
        <v>Carrera 7 # 14 - 154, San nicolas, Cali</v>
      </c>
      <c r="M325" s="27" t="s">
        <v>231</v>
      </c>
      <c r="N325" s="27" t="s">
        <v>18</v>
      </c>
      <c r="O325" s="27"/>
      <c r="P325" s="27"/>
      <c r="Q325" s="27" t="s">
        <v>81</v>
      </c>
      <c r="R325" s="30"/>
      <c r="S325" s="30">
        <v>1.0</v>
      </c>
      <c r="T325" s="30"/>
      <c r="U325" s="33"/>
      <c r="V325" s="33"/>
      <c r="W325" s="33"/>
      <c r="X325" s="33"/>
      <c r="Y325" s="33"/>
      <c r="Z325" s="33"/>
      <c r="AA325" s="33"/>
      <c r="AB325" s="33"/>
      <c r="AD325" s="22"/>
      <c r="AE325" s="22"/>
      <c r="AF325" s="22"/>
      <c r="AG325" s="22"/>
      <c r="AH325" s="22"/>
      <c r="AI325" s="22"/>
      <c r="AJ325" s="22"/>
      <c r="AK325" s="22"/>
      <c r="AL325" s="22"/>
      <c r="AM325" s="22"/>
      <c r="AN325" s="22"/>
      <c r="AO325" s="22"/>
      <c r="AP325" s="22"/>
    </row>
    <row r="326" ht="25.5" customHeight="1">
      <c r="A326" s="263">
        <f t="shared" si="3"/>
        <v>325</v>
      </c>
      <c r="B326" s="206" t="s">
        <v>61</v>
      </c>
      <c r="C326" s="27" t="s">
        <v>63</v>
      </c>
      <c r="D326" s="27" t="s">
        <v>64</v>
      </c>
      <c r="E326" s="95" t="str">
        <f t="shared" si="50"/>
        <v/>
      </c>
      <c r="F326" s="35" t="s">
        <v>60</v>
      </c>
      <c r="G326" s="30" t="s">
        <v>36</v>
      </c>
      <c r="H326" s="27" t="s">
        <v>472</v>
      </c>
      <c r="I326" s="27" t="s">
        <v>38</v>
      </c>
      <c r="J326" s="27" t="s">
        <v>1328</v>
      </c>
      <c r="K326" s="27"/>
      <c r="L326" s="27" t="str">
        <f t="shared" si="51"/>
        <v>calle 11b #58 37, Santa Anita Reserva, Cali</v>
      </c>
      <c r="M326" s="27" t="s">
        <v>231</v>
      </c>
      <c r="N326" s="27" t="s">
        <v>233</v>
      </c>
      <c r="O326" s="27"/>
      <c r="P326" s="27"/>
      <c r="Q326" s="27" t="s">
        <v>81</v>
      </c>
      <c r="R326" s="30"/>
      <c r="S326" s="30"/>
      <c r="T326" s="30">
        <v>1.0</v>
      </c>
      <c r="U326" s="33"/>
      <c r="V326" s="33"/>
      <c r="W326" s="33"/>
      <c r="X326" s="33"/>
      <c r="Y326" s="33"/>
      <c r="Z326" s="33"/>
      <c r="AA326" s="33"/>
      <c r="AB326" s="33"/>
      <c r="AD326" s="22"/>
      <c r="AE326" s="22"/>
      <c r="AF326" s="22"/>
      <c r="AG326" s="22"/>
      <c r="AH326" s="22"/>
      <c r="AI326" s="22"/>
      <c r="AJ326" s="22"/>
      <c r="AK326" s="22"/>
      <c r="AL326" s="22"/>
      <c r="AM326" s="22"/>
      <c r="AN326" s="22"/>
      <c r="AO326" s="22"/>
      <c r="AP326" s="22"/>
    </row>
    <row r="327" ht="25.5" customHeight="1">
      <c r="A327" s="27">
        <f t="shared" si="3"/>
        <v>326</v>
      </c>
      <c r="B327" s="27" t="s">
        <v>61</v>
      </c>
      <c r="C327" s="27" t="s">
        <v>63</v>
      </c>
      <c r="D327" s="27" t="s">
        <v>64</v>
      </c>
      <c r="E327" s="95" t="str">
        <f t="shared" si="50"/>
        <v/>
      </c>
      <c r="F327" s="30" t="s">
        <v>76</v>
      </c>
      <c r="G327" s="30" t="s">
        <v>350</v>
      </c>
      <c r="H327" s="27" t="s">
        <v>432</v>
      </c>
      <c r="I327" s="27" t="s">
        <v>38</v>
      </c>
      <c r="J327" s="27" t="s">
        <v>1329</v>
      </c>
      <c r="K327" s="27"/>
      <c r="L327" s="27" t="str">
        <f t="shared" si="51"/>
        <v>Avenida 5ta norte con 37an, Prados del Norte, Cali</v>
      </c>
      <c r="M327" s="154" t="s">
        <v>1330</v>
      </c>
      <c r="N327" s="154" t="s">
        <v>233</v>
      </c>
      <c r="O327" s="33"/>
      <c r="P327" s="33"/>
      <c r="Q327" s="27" t="s">
        <v>81</v>
      </c>
      <c r="R327" s="30"/>
      <c r="S327" s="30"/>
      <c r="T327" s="30">
        <v>1.0</v>
      </c>
      <c r="U327" s="33"/>
      <c r="V327" s="33"/>
      <c r="W327" s="33"/>
      <c r="X327" s="33"/>
      <c r="Y327" s="33"/>
      <c r="Z327" s="33"/>
      <c r="AA327" s="33"/>
      <c r="AB327" s="33"/>
      <c r="AD327" s="22"/>
      <c r="AE327" s="22"/>
      <c r="AF327" s="22"/>
      <c r="AG327" s="22"/>
      <c r="AH327" s="22"/>
      <c r="AI327" s="22"/>
      <c r="AJ327" s="22"/>
      <c r="AK327" s="22"/>
      <c r="AL327" s="22"/>
      <c r="AM327" s="22"/>
      <c r="AN327" s="22"/>
      <c r="AO327" s="22"/>
      <c r="AP327" s="22"/>
    </row>
    <row r="328" ht="25.5" customHeight="1">
      <c r="A328" s="63">
        <f t="shared" si="3"/>
        <v>327</v>
      </c>
      <c r="B328" s="63" t="s">
        <v>62</v>
      </c>
      <c r="C328" s="65" t="s">
        <v>133</v>
      </c>
      <c r="D328" s="108" t="s">
        <v>64</v>
      </c>
      <c r="E328" s="68" t="s">
        <v>62</v>
      </c>
      <c r="F328" s="70" t="s">
        <v>62</v>
      </c>
      <c r="G328" s="70" t="s">
        <v>62</v>
      </c>
      <c r="H328" s="71" t="s">
        <v>62</v>
      </c>
      <c r="I328" s="71" t="s">
        <v>62</v>
      </c>
      <c r="J328" s="68" t="s">
        <v>62</v>
      </c>
      <c r="K328" s="68" t="s">
        <v>62</v>
      </c>
      <c r="L328" s="68" t="s">
        <v>62</v>
      </c>
      <c r="M328" s="68" t="s">
        <v>62</v>
      </c>
      <c r="N328" s="68" t="s">
        <v>62</v>
      </c>
      <c r="O328" s="68" t="s">
        <v>62</v>
      </c>
      <c r="P328" s="68" t="s">
        <v>62</v>
      </c>
      <c r="Q328" s="68" t="s">
        <v>62</v>
      </c>
      <c r="R328" s="68" t="s">
        <v>62</v>
      </c>
      <c r="S328" s="68"/>
      <c r="T328" s="68" t="s">
        <v>62</v>
      </c>
      <c r="U328" s="68" t="s">
        <v>62</v>
      </c>
      <c r="V328" s="68" t="s">
        <v>62</v>
      </c>
      <c r="W328" s="68" t="s">
        <v>62</v>
      </c>
      <c r="X328" s="68" t="s">
        <v>62</v>
      </c>
      <c r="Y328" s="68" t="s">
        <v>62</v>
      </c>
      <c r="Z328" s="68" t="s">
        <v>62</v>
      </c>
      <c r="AA328" s="68" t="s">
        <v>62</v>
      </c>
      <c r="AB328" s="68" t="s">
        <v>62</v>
      </c>
      <c r="AD328" s="22"/>
      <c r="AE328" s="22"/>
      <c r="AF328" s="22"/>
      <c r="AG328" s="22"/>
      <c r="AH328" s="22"/>
      <c r="AI328" s="22"/>
      <c r="AJ328" s="22"/>
      <c r="AK328" s="22"/>
      <c r="AL328" s="22"/>
      <c r="AM328" s="22"/>
      <c r="AN328" s="22"/>
      <c r="AO328" s="22"/>
      <c r="AP328" s="22"/>
    </row>
    <row r="329" ht="25.5" customHeight="1">
      <c r="A329" s="27">
        <f t="shared" si="3"/>
        <v>328</v>
      </c>
      <c r="B329" s="27" t="s">
        <v>61</v>
      </c>
      <c r="C329" s="27" t="s">
        <v>279</v>
      </c>
      <c r="D329" s="27" t="s">
        <v>515</v>
      </c>
      <c r="E329" s="95" t="str">
        <f t="shared" ref="E329:E391" si="52">IF(OR($B329="ALTA",AND(ISNUMBER($W329),$W329&gt;0),AND($U329&lt;&gt;"",$U329&lt;&gt;"NO")),"SI","")</f>
        <v/>
      </c>
      <c r="F329" s="30" t="s">
        <v>76</v>
      </c>
      <c r="G329" s="30" t="s">
        <v>350</v>
      </c>
      <c r="H329" s="27" t="s">
        <v>399</v>
      </c>
      <c r="I329" s="27" t="s">
        <v>38</v>
      </c>
      <c r="J329" s="27" t="s">
        <v>1331</v>
      </c>
      <c r="K329" s="27" t="s">
        <v>1332</v>
      </c>
      <c r="L329" s="27" t="str">
        <f t="shared" ref="L329:L391" si="53">CONCATENATE(J329,", ",H329,", Cali")</f>
        <v>Av 6 oeste # 5 oeste - 93, Normandia, Cali</v>
      </c>
      <c r="M329" s="27" t="s">
        <v>231</v>
      </c>
      <c r="N329" s="27" t="s">
        <v>233</v>
      </c>
      <c r="O329" s="33"/>
      <c r="P329" s="33"/>
      <c r="Q329" s="27" t="s">
        <v>81</v>
      </c>
      <c r="R329" s="30"/>
      <c r="S329" s="30"/>
      <c r="T329" s="30">
        <v>1.0</v>
      </c>
      <c r="U329" s="33"/>
      <c r="V329" s="33"/>
      <c r="W329" s="33"/>
      <c r="X329" s="33"/>
      <c r="Y329" s="33"/>
      <c r="Z329" s="33"/>
      <c r="AA329" s="33"/>
      <c r="AB329" s="33"/>
      <c r="AD329" s="22"/>
      <c r="AE329" s="22"/>
      <c r="AF329" s="22"/>
      <c r="AG329" s="22"/>
      <c r="AH329" s="22"/>
      <c r="AI329" s="22"/>
      <c r="AJ329" s="22"/>
      <c r="AK329" s="22"/>
      <c r="AL329" s="22"/>
      <c r="AM329" s="22"/>
      <c r="AN329" s="22"/>
      <c r="AO329" s="22"/>
      <c r="AP329" s="22"/>
    </row>
    <row r="330" ht="25.5" customHeight="1">
      <c r="A330" s="27">
        <f t="shared" si="3"/>
        <v>329</v>
      </c>
      <c r="B330" s="27" t="s">
        <v>61</v>
      </c>
      <c r="C330" s="27" t="s">
        <v>63</v>
      </c>
      <c r="D330" s="27" t="s">
        <v>64</v>
      </c>
      <c r="E330" s="95" t="str">
        <f t="shared" si="52"/>
        <v/>
      </c>
      <c r="F330" s="30" t="s">
        <v>76</v>
      </c>
      <c r="G330" s="30" t="s">
        <v>350</v>
      </c>
      <c r="H330" s="27" t="s">
        <v>321</v>
      </c>
      <c r="I330" s="27" t="s">
        <v>38</v>
      </c>
      <c r="J330" s="27" t="s">
        <v>1333</v>
      </c>
      <c r="K330" s="27" t="s">
        <v>1334</v>
      </c>
      <c r="L330" s="27" t="str">
        <f t="shared" si="53"/>
        <v>Av 4b Nte # 58N - 60, La Flora, Cali</v>
      </c>
      <c r="M330" s="27" t="s">
        <v>231</v>
      </c>
      <c r="N330" s="27" t="s">
        <v>233</v>
      </c>
      <c r="O330" s="33"/>
      <c r="P330" s="33"/>
      <c r="Q330" s="27" t="s">
        <v>81</v>
      </c>
      <c r="R330" s="30"/>
      <c r="S330" s="30"/>
      <c r="T330" s="30">
        <v>1.0</v>
      </c>
      <c r="U330" s="33"/>
      <c r="V330" s="33"/>
      <c r="W330" s="33"/>
      <c r="X330" s="33"/>
      <c r="Y330" s="33"/>
      <c r="Z330" s="33"/>
      <c r="AA330" s="33"/>
      <c r="AB330" s="33"/>
      <c r="AD330" s="22"/>
      <c r="AE330" s="22"/>
      <c r="AF330" s="22"/>
      <c r="AG330" s="22"/>
      <c r="AH330" s="22"/>
      <c r="AI330" s="22"/>
      <c r="AJ330" s="22"/>
      <c r="AK330" s="22"/>
      <c r="AL330" s="22"/>
      <c r="AM330" s="22"/>
      <c r="AN330" s="22"/>
      <c r="AO330" s="22"/>
      <c r="AP330" s="22"/>
    </row>
    <row r="331" ht="25.5" customHeight="1">
      <c r="A331" s="27">
        <f t="shared" si="3"/>
        <v>330</v>
      </c>
      <c r="B331" s="27" t="s">
        <v>61</v>
      </c>
      <c r="C331" s="27" t="s">
        <v>63</v>
      </c>
      <c r="D331" s="27" t="s">
        <v>64</v>
      </c>
      <c r="E331" s="95" t="str">
        <f t="shared" si="52"/>
        <v/>
      </c>
      <c r="F331" s="35" t="s">
        <v>60</v>
      </c>
      <c r="G331" s="30" t="s">
        <v>36</v>
      </c>
      <c r="H331" s="27" t="s">
        <v>503</v>
      </c>
      <c r="I331" s="27" t="s">
        <v>993</v>
      </c>
      <c r="J331" s="27" t="s">
        <v>1335</v>
      </c>
      <c r="K331" s="27" t="s">
        <v>1336</v>
      </c>
      <c r="L331" s="27" t="str">
        <f t="shared" si="53"/>
        <v>Calle 28 # 86-80, Valle de lili, Cali</v>
      </c>
      <c r="M331" s="27" t="s">
        <v>231</v>
      </c>
      <c r="N331" s="27" t="s">
        <v>233</v>
      </c>
      <c r="O331" s="33"/>
      <c r="P331" s="33"/>
      <c r="Q331" s="27" t="s">
        <v>81</v>
      </c>
      <c r="R331" s="30"/>
      <c r="S331" s="30"/>
      <c r="T331" s="30">
        <v>1.0</v>
      </c>
      <c r="U331" s="33"/>
      <c r="V331" s="33"/>
      <c r="W331" s="33"/>
      <c r="X331" s="33"/>
      <c r="Y331" s="27" t="s">
        <v>1337</v>
      </c>
      <c r="Z331" s="27" t="s">
        <v>1338</v>
      </c>
      <c r="AA331" s="27"/>
      <c r="AB331" s="27"/>
      <c r="AD331" s="22"/>
      <c r="AE331" s="22"/>
      <c r="AF331" s="22"/>
      <c r="AG331" s="22"/>
      <c r="AH331" s="22"/>
      <c r="AI331" s="22"/>
      <c r="AJ331" s="22"/>
      <c r="AK331" s="22"/>
      <c r="AL331" s="22"/>
      <c r="AM331" s="22"/>
      <c r="AN331" s="22"/>
      <c r="AO331" s="22"/>
      <c r="AP331" s="22"/>
    </row>
    <row r="332" ht="25.5" customHeight="1">
      <c r="A332" s="27">
        <f t="shared" si="3"/>
        <v>331</v>
      </c>
      <c r="B332" s="27" t="s">
        <v>61</v>
      </c>
      <c r="C332" s="27" t="s">
        <v>63</v>
      </c>
      <c r="D332" s="27" t="s">
        <v>64</v>
      </c>
      <c r="E332" s="95" t="str">
        <f t="shared" si="52"/>
        <v/>
      </c>
      <c r="F332" s="30" t="s">
        <v>35</v>
      </c>
      <c r="G332" s="30" t="s">
        <v>36</v>
      </c>
      <c r="H332" s="27" t="s">
        <v>1339</v>
      </c>
      <c r="I332" s="27" t="s">
        <v>38</v>
      </c>
      <c r="J332" s="27" t="s">
        <v>1340</v>
      </c>
      <c r="K332" s="27" t="s">
        <v>1341</v>
      </c>
      <c r="L332" s="27" t="str">
        <f t="shared" si="53"/>
        <v>calle 4b# 35-31, San fernando, Cali</v>
      </c>
      <c r="M332" s="27" t="s">
        <v>231</v>
      </c>
      <c r="N332" s="27" t="s">
        <v>233</v>
      </c>
      <c r="O332" s="33"/>
      <c r="P332" s="33"/>
      <c r="Q332" s="27" t="s">
        <v>81</v>
      </c>
      <c r="R332" s="30"/>
      <c r="S332" s="30"/>
      <c r="T332" s="30">
        <v>1.0</v>
      </c>
      <c r="U332" s="33"/>
      <c r="V332" s="33"/>
      <c r="W332" s="33"/>
      <c r="X332" s="33"/>
      <c r="Y332" s="27"/>
      <c r="Z332" s="27"/>
      <c r="AA332" s="27"/>
      <c r="AB332" s="27"/>
      <c r="AD332" s="22"/>
      <c r="AE332" s="22"/>
      <c r="AF332" s="22"/>
      <c r="AG332" s="22"/>
      <c r="AH332" s="22"/>
      <c r="AI332" s="22"/>
      <c r="AJ332" s="22"/>
      <c r="AK332" s="22"/>
      <c r="AL332" s="22"/>
      <c r="AM332" s="22"/>
      <c r="AN332" s="22"/>
      <c r="AO332" s="22"/>
      <c r="AP332" s="22"/>
    </row>
    <row r="333" ht="25.5" customHeight="1">
      <c r="A333" s="27">
        <f t="shared" si="3"/>
        <v>332</v>
      </c>
      <c r="B333" s="27" t="s">
        <v>61</v>
      </c>
      <c r="C333" s="27" t="s">
        <v>63</v>
      </c>
      <c r="D333" s="27" t="s">
        <v>64</v>
      </c>
      <c r="E333" s="95" t="str">
        <f t="shared" si="52"/>
        <v/>
      </c>
      <c r="F333" s="30" t="s">
        <v>76</v>
      </c>
      <c r="G333" s="30" t="s">
        <v>350</v>
      </c>
      <c r="H333" s="27" t="s">
        <v>256</v>
      </c>
      <c r="I333" s="27" t="s">
        <v>993</v>
      </c>
      <c r="J333" s="27" t="s">
        <v>1342</v>
      </c>
      <c r="K333" s="27"/>
      <c r="L333" s="27" t="str">
        <f t="shared" si="53"/>
        <v>Calle 63 Norte # 3EN-60, El rincon, Cali</v>
      </c>
      <c r="M333" s="154" t="s">
        <v>1343</v>
      </c>
      <c r="N333" s="154" t="s">
        <v>233</v>
      </c>
      <c r="O333" s="33"/>
      <c r="P333" s="33"/>
      <c r="Q333" s="27" t="s">
        <v>81</v>
      </c>
      <c r="R333" s="30"/>
      <c r="S333" s="30"/>
      <c r="T333" s="30">
        <v>1.0</v>
      </c>
      <c r="U333" s="33"/>
      <c r="V333" s="33"/>
      <c r="W333" s="33"/>
      <c r="X333" s="33"/>
      <c r="Y333" s="33"/>
      <c r="Z333" s="27" t="s">
        <v>1344</v>
      </c>
      <c r="AA333" s="27"/>
      <c r="AB333" s="27"/>
      <c r="AD333" s="22"/>
      <c r="AE333" s="22"/>
      <c r="AF333" s="22"/>
      <c r="AG333" s="22"/>
      <c r="AH333" s="22"/>
      <c r="AI333" s="22"/>
      <c r="AJ333" s="22"/>
      <c r="AK333" s="22"/>
      <c r="AL333" s="22"/>
      <c r="AM333" s="22"/>
      <c r="AN333" s="22"/>
      <c r="AO333" s="22"/>
      <c r="AP333" s="22"/>
    </row>
    <row r="334" ht="25.5" customHeight="1">
      <c r="A334" s="27">
        <f t="shared" si="3"/>
        <v>333</v>
      </c>
      <c r="B334" s="27" t="s">
        <v>61</v>
      </c>
      <c r="C334" s="27" t="s">
        <v>63</v>
      </c>
      <c r="D334" s="27" t="s">
        <v>64</v>
      </c>
      <c r="E334" s="95" t="str">
        <f t="shared" si="52"/>
        <v/>
      </c>
      <c r="F334" s="30" t="s">
        <v>395</v>
      </c>
      <c r="G334" s="30" t="s">
        <v>443</v>
      </c>
      <c r="H334" s="27" t="s">
        <v>485</v>
      </c>
      <c r="I334" s="27" t="s">
        <v>546</v>
      </c>
      <c r="J334" s="27" t="s">
        <v>1345</v>
      </c>
      <c r="K334" s="27"/>
      <c r="L334" s="27" t="str">
        <f t="shared" si="53"/>
        <v>sede educativa san pedro, Montebello-- Avenida Los Estudiantes, sector La Escuela, Sector La Escuela, Cali</v>
      </c>
      <c r="M334" s="27" t="s">
        <v>231</v>
      </c>
      <c r="N334" s="27" t="s">
        <v>233</v>
      </c>
      <c r="O334" s="33"/>
      <c r="P334" s="33"/>
      <c r="Q334" s="27" t="s">
        <v>81</v>
      </c>
      <c r="R334" s="30"/>
      <c r="S334" s="30"/>
      <c r="T334" s="30">
        <v>1.0</v>
      </c>
      <c r="U334" s="33"/>
      <c r="V334" s="33"/>
      <c r="W334" s="33"/>
      <c r="X334" s="33"/>
      <c r="Y334" s="27"/>
      <c r="Z334" s="27"/>
      <c r="AA334" s="27"/>
      <c r="AB334" s="27" t="s">
        <v>1346</v>
      </c>
      <c r="AD334" s="22"/>
      <c r="AE334" s="22"/>
      <c r="AF334" s="22"/>
      <c r="AG334" s="22"/>
      <c r="AH334" s="22"/>
      <c r="AI334" s="22"/>
      <c r="AJ334" s="22"/>
      <c r="AK334" s="22"/>
      <c r="AL334" s="22"/>
      <c r="AM334" s="22"/>
      <c r="AN334" s="22"/>
      <c r="AO334" s="22"/>
      <c r="AP334" s="22"/>
    </row>
    <row r="335" ht="25.5" customHeight="1">
      <c r="A335" s="27">
        <f t="shared" si="3"/>
        <v>334</v>
      </c>
      <c r="B335" s="27" t="s">
        <v>61</v>
      </c>
      <c r="C335" s="27" t="s">
        <v>279</v>
      </c>
      <c r="D335" s="27" t="s">
        <v>515</v>
      </c>
      <c r="E335" s="95" t="str">
        <f t="shared" si="52"/>
        <v/>
      </c>
      <c r="F335" s="30" t="s">
        <v>395</v>
      </c>
      <c r="G335" s="30" t="s">
        <v>443</v>
      </c>
      <c r="H335" s="27" t="s">
        <v>510</v>
      </c>
      <c r="I335" s="27" t="s">
        <v>546</v>
      </c>
      <c r="J335" s="27" t="s">
        <v>1347</v>
      </c>
      <c r="K335" s="27"/>
      <c r="L335" s="27" t="str">
        <f t="shared" si="53"/>
        <v>Institucion educativa Andres Lenis- Montebello- vereda Campo Alegre, Vereda Campo Alegre, Cali</v>
      </c>
      <c r="M335" s="27" t="s">
        <v>231</v>
      </c>
      <c r="N335" s="27" t="s">
        <v>233</v>
      </c>
      <c r="O335" s="33"/>
      <c r="P335" s="33"/>
      <c r="Q335" s="27" t="s">
        <v>81</v>
      </c>
      <c r="R335" s="30"/>
      <c r="S335" s="30"/>
      <c r="T335" s="30">
        <v>1.0</v>
      </c>
      <c r="U335" s="33"/>
      <c r="V335" s="33"/>
      <c r="W335" s="33"/>
      <c r="X335" s="33"/>
      <c r="Y335" s="27"/>
      <c r="Z335" s="27"/>
      <c r="AA335" s="27"/>
      <c r="AB335" s="27" t="s">
        <v>1346</v>
      </c>
      <c r="AD335" s="22"/>
      <c r="AE335" s="22"/>
      <c r="AF335" s="22"/>
      <c r="AG335" s="22"/>
      <c r="AH335" s="22"/>
      <c r="AI335" s="22"/>
      <c r="AJ335" s="22"/>
      <c r="AK335" s="22"/>
      <c r="AL335" s="22"/>
      <c r="AM335" s="22"/>
      <c r="AN335" s="22"/>
      <c r="AO335" s="22"/>
      <c r="AP335" s="22"/>
    </row>
    <row r="336" ht="25.5" customHeight="1">
      <c r="A336" s="27">
        <f t="shared" si="3"/>
        <v>335</v>
      </c>
      <c r="B336" s="27" t="s">
        <v>61</v>
      </c>
      <c r="C336" s="27" t="s">
        <v>279</v>
      </c>
      <c r="D336" s="27" t="s">
        <v>515</v>
      </c>
      <c r="E336" s="95" t="str">
        <f t="shared" si="52"/>
        <v/>
      </c>
      <c r="F336" s="30" t="s">
        <v>395</v>
      </c>
      <c r="G336" s="30" t="s">
        <v>443</v>
      </c>
      <c r="H336" s="27" t="s">
        <v>395</v>
      </c>
      <c r="I336" s="27" t="s">
        <v>546</v>
      </c>
      <c r="J336" s="27" t="s">
        <v>1348</v>
      </c>
      <c r="K336" s="27" t="s">
        <v>1349</v>
      </c>
      <c r="L336" s="27" t="str">
        <f t="shared" si="53"/>
        <v>Avenida 43 Oeste # 5A-49, Montebello, Cali</v>
      </c>
      <c r="M336" s="27" t="s">
        <v>231</v>
      </c>
      <c r="N336" s="27" t="s">
        <v>233</v>
      </c>
      <c r="O336" s="33"/>
      <c r="P336" s="33"/>
      <c r="Q336" s="27" t="s">
        <v>81</v>
      </c>
      <c r="R336" s="30"/>
      <c r="S336" s="30"/>
      <c r="T336" s="30">
        <v>1.0</v>
      </c>
      <c r="U336" s="33"/>
      <c r="V336" s="33"/>
      <c r="W336" s="33"/>
      <c r="X336" s="33"/>
      <c r="Y336" s="27"/>
      <c r="Z336" s="27"/>
      <c r="AA336" s="27"/>
      <c r="AB336" s="27" t="s">
        <v>1346</v>
      </c>
      <c r="AD336" s="22"/>
      <c r="AE336" s="22"/>
      <c r="AF336" s="22"/>
      <c r="AG336" s="22"/>
      <c r="AH336" s="22"/>
      <c r="AI336" s="22"/>
      <c r="AJ336" s="22"/>
      <c r="AK336" s="22"/>
      <c r="AL336" s="22"/>
      <c r="AM336" s="22"/>
      <c r="AN336" s="22"/>
      <c r="AO336" s="22"/>
      <c r="AP336" s="22"/>
    </row>
    <row r="337" ht="25.5" customHeight="1">
      <c r="A337" s="27">
        <f t="shared" si="3"/>
        <v>336</v>
      </c>
      <c r="B337" s="27" t="s">
        <v>61</v>
      </c>
      <c r="C337" s="27" t="s">
        <v>63</v>
      </c>
      <c r="D337" s="27" t="s">
        <v>64</v>
      </c>
      <c r="E337" s="264" t="str">
        <f t="shared" si="52"/>
        <v/>
      </c>
      <c r="F337" s="30" t="s">
        <v>76</v>
      </c>
      <c r="G337" s="30" t="s">
        <v>350</v>
      </c>
      <c r="H337" s="198" t="s">
        <v>391</v>
      </c>
      <c r="I337" s="198" t="s">
        <v>286</v>
      </c>
      <c r="J337" s="198" t="s">
        <v>1350</v>
      </c>
      <c r="K337" s="198"/>
      <c r="L337" s="198" t="str">
        <f t="shared" si="53"/>
        <v>Avenida 7 N #66-04, Menga, Cali</v>
      </c>
      <c r="M337" s="154" t="s">
        <v>1351</v>
      </c>
      <c r="N337" s="154" t="s">
        <v>233</v>
      </c>
      <c r="O337" s="33"/>
      <c r="P337" s="33"/>
      <c r="Q337" s="27" t="s">
        <v>81</v>
      </c>
      <c r="R337" s="30"/>
      <c r="S337" s="30"/>
      <c r="T337" s="30">
        <v>1.0</v>
      </c>
      <c r="U337" s="265"/>
      <c r="V337" s="265"/>
      <c r="W337" s="265"/>
      <c r="X337" s="265"/>
      <c r="Y337" s="265"/>
      <c r="Z337" s="265"/>
      <c r="AA337" s="265"/>
      <c r="AB337" s="265" t="s">
        <v>1352</v>
      </c>
      <c r="AD337" s="22"/>
      <c r="AE337" s="22"/>
      <c r="AF337" s="22"/>
      <c r="AG337" s="22"/>
      <c r="AH337" s="22"/>
      <c r="AI337" s="22"/>
      <c r="AJ337" s="22"/>
      <c r="AK337" s="22"/>
      <c r="AL337" s="22"/>
      <c r="AM337" s="22"/>
      <c r="AN337" s="22"/>
      <c r="AO337" s="22"/>
      <c r="AP337" s="22"/>
    </row>
    <row r="338" ht="25.5" customHeight="1">
      <c r="A338" s="198">
        <f t="shared" si="3"/>
        <v>337</v>
      </c>
      <c r="B338" s="198" t="s">
        <v>307</v>
      </c>
      <c r="C338" s="27" t="s">
        <v>63</v>
      </c>
      <c r="D338" s="27" t="s">
        <v>64</v>
      </c>
      <c r="E338" s="264" t="str">
        <f t="shared" si="52"/>
        <v/>
      </c>
      <c r="F338" s="30" t="s">
        <v>35</v>
      </c>
      <c r="G338" s="266" t="s">
        <v>36</v>
      </c>
      <c r="H338" s="198" t="s">
        <v>228</v>
      </c>
      <c r="I338" s="198" t="s">
        <v>38</v>
      </c>
      <c r="J338" s="198" t="s">
        <v>1353</v>
      </c>
      <c r="K338" s="198"/>
      <c r="L338" s="198" t="str">
        <f t="shared" si="53"/>
        <v>Carrera 59 #1d-48, Cuerto de Legua, Cali</v>
      </c>
      <c r="M338" s="198" t="s">
        <v>231</v>
      </c>
      <c r="N338" s="198" t="s">
        <v>18</v>
      </c>
      <c r="O338" s="27"/>
      <c r="P338" s="27"/>
      <c r="Q338" s="27" t="s">
        <v>81</v>
      </c>
      <c r="R338" s="30"/>
      <c r="S338" s="30">
        <v>1.0</v>
      </c>
      <c r="T338" s="30"/>
      <c r="U338" s="265"/>
      <c r="V338" s="265"/>
      <c r="W338" s="265"/>
      <c r="X338" s="265"/>
      <c r="Y338" s="265"/>
      <c r="Z338" s="265" t="s">
        <v>1354</v>
      </c>
      <c r="AA338" s="265"/>
      <c r="AD338" s="22"/>
      <c r="AE338" s="22"/>
      <c r="AF338" s="22"/>
      <c r="AG338" s="22"/>
      <c r="AH338" s="22"/>
      <c r="AI338" s="22"/>
      <c r="AJ338" s="22"/>
      <c r="AK338" s="22"/>
      <c r="AL338" s="22"/>
      <c r="AM338" s="22"/>
      <c r="AN338" s="22"/>
      <c r="AO338" s="22"/>
      <c r="AP338" s="22"/>
    </row>
    <row r="339" ht="25.5" customHeight="1">
      <c r="A339" s="198">
        <f t="shared" si="3"/>
        <v>338</v>
      </c>
      <c r="B339" s="198" t="s">
        <v>307</v>
      </c>
      <c r="C339" s="27" t="s">
        <v>63</v>
      </c>
      <c r="D339" s="27" t="s">
        <v>64</v>
      </c>
      <c r="E339" s="264" t="str">
        <f t="shared" si="52"/>
        <v/>
      </c>
      <c r="F339" s="30" t="s">
        <v>110</v>
      </c>
      <c r="G339" s="30" t="s">
        <v>176</v>
      </c>
      <c r="H339" s="198" t="s">
        <v>464</v>
      </c>
      <c r="I339" s="198" t="s">
        <v>38</v>
      </c>
      <c r="J339" s="198" t="s">
        <v>1355</v>
      </c>
      <c r="K339" s="198"/>
      <c r="L339" s="198" t="str">
        <f t="shared" si="53"/>
        <v>Calle 15 #7-79, San Nicolas, Cali</v>
      </c>
      <c r="M339" s="198" t="s">
        <v>1356</v>
      </c>
      <c r="N339" s="198" t="s">
        <v>233</v>
      </c>
      <c r="O339" s="33"/>
      <c r="P339" s="265"/>
      <c r="Q339" s="27" t="s">
        <v>81</v>
      </c>
      <c r="R339" s="30"/>
      <c r="S339" s="30"/>
      <c r="T339" s="30">
        <v>1.0</v>
      </c>
      <c r="U339" s="265"/>
      <c r="V339" s="265"/>
      <c r="W339" s="265"/>
      <c r="X339" s="265"/>
      <c r="Y339" s="265"/>
      <c r="Z339" s="265" t="s">
        <v>1357</v>
      </c>
      <c r="AA339" s="265"/>
      <c r="AD339" s="22"/>
      <c r="AE339" s="22"/>
      <c r="AF339" s="22"/>
      <c r="AG339" s="22"/>
      <c r="AH339" s="22"/>
      <c r="AI339" s="22"/>
      <c r="AJ339" s="22"/>
      <c r="AK339" s="22"/>
      <c r="AL339" s="22"/>
      <c r="AM339" s="22"/>
      <c r="AN339" s="22"/>
      <c r="AO339" s="22"/>
      <c r="AP339" s="22"/>
    </row>
    <row r="340" ht="25.5" customHeight="1">
      <c r="A340" s="27">
        <f t="shared" si="3"/>
        <v>339</v>
      </c>
      <c r="B340" s="27" t="s">
        <v>61</v>
      </c>
      <c r="C340" s="27" t="s">
        <v>63</v>
      </c>
      <c r="D340" s="27" t="s">
        <v>64</v>
      </c>
      <c r="E340" s="264" t="str">
        <f t="shared" si="52"/>
        <v/>
      </c>
      <c r="F340" s="30" t="s">
        <v>110</v>
      </c>
      <c r="G340" s="30" t="s">
        <v>176</v>
      </c>
      <c r="H340" s="198" t="s">
        <v>464</v>
      </c>
      <c r="I340" s="198" t="s">
        <v>38</v>
      </c>
      <c r="J340" s="198" t="s">
        <v>1358</v>
      </c>
      <c r="K340" s="198"/>
      <c r="L340" s="198" t="str">
        <f t="shared" si="53"/>
        <v>Carrera 2 #19-51, San Nicolas, Cali</v>
      </c>
      <c r="M340" s="154" t="s">
        <v>1359</v>
      </c>
      <c r="N340" s="154" t="s">
        <v>233</v>
      </c>
      <c r="O340" s="33"/>
      <c r="P340" s="33"/>
      <c r="Q340" s="27" t="s">
        <v>81</v>
      </c>
      <c r="R340" s="30"/>
      <c r="S340" s="30"/>
      <c r="T340" s="30">
        <v>1.0</v>
      </c>
      <c r="U340" s="265"/>
      <c r="V340" s="265"/>
      <c r="W340" s="265"/>
      <c r="X340" s="265"/>
      <c r="Y340" s="265"/>
      <c r="Z340" s="265" t="s">
        <v>1360</v>
      </c>
      <c r="AA340" s="265"/>
      <c r="AD340" s="22"/>
      <c r="AE340" s="22"/>
      <c r="AF340" s="22"/>
      <c r="AG340" s="22"/>
      <c r="AH340" s="22"/>
      <c r="AI340" s="22"/>
      <c r="AJ340" s="22"/>
      <c r="AK340" s="22"/>
      <c r="AL340" s="22"/>
      <c r="AM340" s="22"/>
      <c r="AN340" s="22"/>
      <c r="AO340" s="22"/>
      <c r="AP340" s="22"/>
    </row>
    <row r="341" ht="25.5" customHeight="1">
      <c r="A341" s="27">
        <f t="shared" si="3"/>
        <v>340</v>
      </c>
      <c r="B341" s="27" t="s">
        <v>61</v>
      </c>
      <c r="C341" s="27" t="s">
        <v>63</v>
      </c>
      <c r="D341" s="27" t="s">
        <v>64</v>
      </c>
      <c r="E341" s="264" t="str">
        <f t="shared" si="52"/>
        <v/>
      </c>
      <c r="F341" s="30" t="s">
        <v>110</v>
      </c>
      <c r="G341" s="30" t="s">
        <v>176</v>
      </c>
      <c r="H341" s="198" t="s">
        <v>1361</v>
      </c>
      <c r="I341" s="198" t="s">
        <v>38</v>
      </c>
      <c r="J341" s="198" t="s">
        <v>1362</v>
      </c>
      <c r="K341" s="198"/>
      <c r="L341" s="198" t="str">
        <f t="shared" si="53"/>
        <v>Calle 13 #9-20, San pedro, Cali</v>
      </c>
      <c r="M341" s="198" t="s">
        <v>231</v>
      </c>
      <c r="N341" s="198" t="s">
        <v>233</v>
      </c>
      <c r="O341" s="33"/>
      <c r="P341" s="33"/>
      <c r="Q341" s="27" t="s">
        <v>81</v>
      </c>
      <c r="R341" s="30"/>
      <c r="S341" s="30"/>
      <c r="T341" s="30">
        <v>1.0</v>
      </c>
      <c r="U341" s="265"/>
      <c r="V341" s="265"/>
      <c r="W341" s="265"/>
      <c r="X341" s="265"/>
      <c r="Y341" s="265"/>
      <c r="Z341" s="265" t="s">
        <v>1363</v>
      </c>
      <c r="AA341" s="265"/>
      <c r="AD341" s="22"/>
      <c r="AE341" s="22"/>
      <c r="AF341" s="22"/>
      <c r="AG341" s="22"/>
      <c r="AH341" s="22"/>
      <c r="AI341" s="22"/>
      <c r="AJ341" s="22"/>
      <c r="AK341" s="22"/>
      <c r="AL341" s="22"/>
      <c r="AM341" s="22"/>
      <c r="AN341" s="22"/>
      <c r="AO341" s="22"/>
      <c r="AP341" s="22"/>
    </row>
    <row r="342" ht="25.5" customHeight="1">
      <c r="A342" s="198">
        <f t="shared" si="3"/>
        <v>341</v>
      </c>
      <c r="B342" s="198" t="s">
        <v>307</v>
      </c>
      <c r="C342" s="27" t="s">
        <v>63</v>
      </c>
      <c r="D342" s="27" t="s">
        <v>64</v>
      </c>
      <c r="E342" s="264" t="str">
        <f t="shared" si="52"/>
        <v/>
      </c>
      <c r="F342" s="30" t="s">
        <v>35</v>
      </c>
      <c r="G342" s="266" t="s">
        <v>36</v>
      </c>
      <c r="H342" s="198" t="s">
        <v>275</v>
      </c>
      <c r="I342" s="198" t="s">
        <v>38</v>
      </c>
      <c r="J342" s="198" t="s">
        <v>1364</v>
      </c>
      <c r="K342" s="198"/>
      <c r="L342" s="198" t="str">
        <f t="shared" si="53"/>
        <v>calle 7 #37-04, Eucarístico, Cali</v>
      </c>
      <c r="M342" s="198" t="s">
        <v>231</v>
      </c>
      <c r="N342" s="198" t="s">
        <v>18</v>
      </c>
      <c r="O342" s="27"/>
      <c r="P342" s="27"/>
      <c r="Q342" s="27" t="s">
        <v>81</v>
      </c>
      <c r="R342" s="30"/>
      <c r="S342" s="30">
        <v>1.0</v>
      </c>
      <c r="T342" s="30"/>
      <c r="U342" s="265"/>
      <c r="V342" s="265"/>
      <c r="W342" s="265"/>
      <c r="X342" s="265"/>
      <c r="Y342" s="265"/>
      <c r="Z342" s="265" t="s">
        <v>1365</v>
      </c>
      <c r="AA342" s="265"/>
      <c r="AD342" s="22"/>
      <c r="AE342" s="22"/>
      <c r="AF342" s="22"/>
      <c r="AG342" s="22"/>
      <c r="AH342" s="22"/>
      <c r="AI342" s="22"/>
      <c r="AJ342" s="22"/>
      <c r="AK342" s="22"/>
      <c r="AL342" s="22"/>
      <c r="AM342" s="22"/>
      <c r="AN342" s="22"/>
      <c r="AO342" s="22"/>
      <c r="AP342" s="22"/>
    </row>
    <row r="343" ht="25.5" customHeight="1">
      <c r="A343" s="27">
        <f t="shared" si="3"/>
        <v>342</v>
      </c>
      <c r="B343" s="27" t="s">
        <v>61</v>
      </c>
      <c r="C343" s="27" t="s">
        <v>63</v>
      </c>
      <c r="D343" s="27" t="s">
        <v>64</v>
      </c>
      <c r="E343" s="264" t="str">
        <f t="shared" si="52"/>
        <v/>
      </c>
      <c r="F343" s="30" t="s">
        <v>76</v>
      </c>
      <c r="G343" s="30" t="s">
        <v>350</v>
      </c>
      <c r="H343" s="198" t="s">
        <v>512</v>
      </c>
      <c r="I343" s="198" t="s">
        <v>38</v>
      </c>
      <c r="J343" s="198" t="s">
        <v>1366</v>
      </c>
      <c r="K343" s="198" t="s">
        <v>1367</v>
      </c>
      <c r="L343" s="198" t="str">
        <f t="shared" si="53"/>
        <v>calle 17 # 17n-44, Versalles, Cali</v>
      </c>
      <c r="M343" s="198" t="s">
        <v>231</v>
      </c>
      <c r="N343" s="198" t="s">
        <v>233</v>
      </c>
      <c r="O343" s="33"/>
      <c r="P343" s="33"/>
      <c r="Q343" s="27" t="s">
        <v>81</v>
      </c>
      <c r="R343" s="30"/>
      <c r="S343" s="30"/>
      <c r="T343" s="30">
        <v>1.0</v>
      </c>
      <c r="U343" s="265"/>
      <c r="V343" s="265"/>
      <c r="W343" s="265"/>
      <c r="X343" s="265"/>
      <c r="Y343" s="265"/>
      <c r="Z343" s="265" t="s">
        <v>1346</v>
      </c>
      <c r="AA343" s="265"/>
      <c r="AD343" s="22"/>
      <c r="AE343" s="22"/>
      <c r="AF343" s="22"/>
      <c r="AG343" s="22"/>
      <c r="AH343" s="22"/>
      <c r="AI343" s="22"/>
      <c r="AJ343" s="22"/>
      <c r="AK343" s="22"/>
      <c r="AL343" s="22"/>
      <c r="AM343" s="22"/>
      <c r="AN343" s="22"/>
      <c r="AO343" s="22"/>
      <c r="AP343" s="22"/>
    </row>
    <row r="344" ht="25.5" customHeight="1">
      <c r="A344" s="198">
        <f t="shared" si="3"/>
        <v>343</v>
      </c>
      <c r="B344" s="198" t="s">
        <v>307</v>
      </c>
      <c r="C344" s="27" t="s">
        <v>63</v>
      </c>
      <c r="D344" s="27" t="s">
        <v>64</v>
      </c>
      <c r="E344" s="264" t="str">
        <f t="shared" si="52"/>
        <v/>
      </c>
      <c r="F344" s="30" t="s">
        <v>76</v>
      </c>
      <c r="G344" s="30" t="s">
        <v>350</v>
      </c>
      <c r="H344" s="198" t="s">
        <v>317</v>
      </c>
      <c r="I344" s="198" t="s">
        <v>38</v>
      </c>
      <c r="J344" s="198" t="s">
        <v>1368</v>
      </c>
      <c r="K344" s="198"/>
      <c r="L344" s="198" t="str">
        <f t="shared" si="53"/>
        <v>calle 44n #6dn-42, La Campiña, Cali</v>
      </c>
      <c r="M344" s="198" t="s">
        <v>231</v>
      </c>
      <c r="N344" s="198" t="s">
        <v>18</v>
      </c>
      <c r="O344" s="33"/>
      <c r="P344" s="265"/>
      <c r="Q344" s="27" t="s">
        <v>81</v>
      </c>
      <c r="R344" s="30"/>
      <c r="S344" s="30">
        <v>1.0</v>
      </c>
      <c r="T344" s="30"/>
      <c r="U344" s="265"/>
      <c r="V344" s="265"/>
      <c r="W344" s="265"/>
      <c r="X344" s="265"/>
      <c r="Y344" s="265"/>
      <c r="Z344" s="265" t="s">
        <v>1369</v>
      </c>
      <c r="AA344" s="265"/>
      <c r="AD344" s="22"/>
      <c r="AE344" s="22"/>
      <c r="AF344" s="22"/>
      <c r="AG344" s="22"/>
      <c r="AH344" s="22"/>
      <c r="AI344" s="22"/>
      <c r="AJ344" s="22"/>
      <c r="AK344" s="22"/>
      <c r="AL344" s="22"/>
      <c r="AM344" s="22"/>
      <c r="AN344" s="22"/>
      <c r="AO344" s="22"/>
      <c r="AP344" s="22"/>
    </row>
    <row r="345" ht="25.5" customHeight="1">
      <c r="A345" s="27">
        <f t="shared" si="3"/>
        <v>344</v>
      </c>
      <c r="B345" s="27" t="s">
        <v>61</v>
      </c>
      <c r="C345" s="27" t="s">
        <v>63</v>
      </c>
      <c r="D345" s="27" t="s">
        <v>64</v>
      </c>
      <c r="E345" s="264" t="str">
        <f t="shared" si="52"/>
        <v/>
      </c>
      <c r="F345" s="30" t="s">
        <v>76</v>
      </c>
      <c r="G345" s="30" t="s">
        <v>350</v>
      </c>
      <c r="H345" s="198" t="s">
        <v>321</v>
      </c>
      <c r="I345" s="198" t="s">
        <v>38</v>
      </c>
      <c r="J345" s="198" t="s">
        <v>1370</v>
      </c>
      <c r="K345" s="198" t="s">
        <v>1371</v>
      </c>
      <c r="L345" s="198" t="str">
        <f t="shared" si="53"/>
        <v>Avenida 5n #43-51, La Flora, Cali</v>
      </c>
      <c r="M345" s="198" t="s">
        <v>231</v>
      </c>
      <c r="N345" s="198" t="s">
        <v>233</v>
      </c>
      <c r="O345" s="33"/>
      <c r="P345" s="33"/>
      <c r="Q345" s="27" t="s">
        <v>81</v>
      </c>
      <c r="R345" s="30"/>
      <c r="S345" s="30"/>
      <c r="T345" s="30">
        <v>1.0</v>
      </c>
      <c r="U345" s="265"/>
      <c r="V345" s="265"/>
      <c r="W345" s="265"/>
      <c r="X345" s="265"/>
      <c r="Y345" s="265"/>
      <c r="Z345" s="265" t="s">
        <v>1372</v>
      </c>
      <c r="AA345" s="265"/>
      <c r="AD345" s="22"/>
      <c r="AE345" s="22"/>
      <c r="AF345" s="22"/>
      <c r="AG345" s="22"/>
      <c r="AH345" s="22"/>
      <c r="AI345" s="22"/>
      <c r="AJ345" s="22"/>
      <c r="AK345" s="22"/>
      <c r="AL345" s="22"/>
      <c r="AM345" s="22"/>
      <c r="AN345" s="22"/>
      <c r="AO345" s="22"/>
      <c r="AP345" s="22"/>
    </row>
    <row r="346" ht="25.5" customHeight="1">
      <c r="A346" s="198">
        <f t="shared" si="3"/>
        <v>345</v>
      </c>
      <c r="B346" s="198" t="s">
        <v>61</v>
      </c>
      <c r="C346" s="27" t="s">
        <v>63</v>
      </c>
      <c r="D346" s="27" t="s">
        <v>64</v>
      </c>
      <c r="E346" s="264" t="str">
        <f t="shared" si="52"/>
        <v/>
      </c>
      <c r="F346" s="30" t="s">
        <v>35</v>
      </c>
      <c r="G346" s="266" t="s">
        <v>36</v>
      </c>
      <c r="H346" s="198" t="s">
        <v>278</v>
      </c>
      <c r="I346" s="198" t="s">
        <v>286</v>
      </c>
      <c r="J346" s="198" t="s">
        <v>1373</v>
      </c>
      <c r="K346" s="198"/>
      <c r="L346" s="198" t="str">
        <f t="shared" si="53"/>
        <v>calle 5b2 #36c-40, San Fernando, Cali</v>
      </c>
      <c r="M346" s="198" t="s">
        <v>231</v>
      </c>
      <c r="N346" s="198" t="s">
        <v>233</v>
      </c>
      <c r="O346" s="27"/>
      <c r="P346" s="27"/>
      <c r="Q346" s="27" t="s">
        <v>81</v>
      </c>
      <c r="R346" s="30"/>
      <c r="S346" s="30"/>
      <c r="T346" s="30">
        <v>1.0</v>
      </c>
      <c r="U346" s="265"/>
      <c r="V346" s="265"/>
      <c r="W346" s="265"/>
      <c r="X346" s="265"/>
      <c r="Y346" s="265"/>
      <c r="Z346" s="265" t="s">
        <v>1374</v>
      </c>
      <c r="AA346" s="265"/>
      <c r="AD346" s="267"/>
      <c r="AE346" s="267"/>
      <c r="AF346" s="267"/>
      <c r="AG346" s="267"/>
      <c r="AH346" s="267"/>
      <c r="AI346" s="267"/>
      <c r="AJ346" s="267"/>
      <c r="AK346" s="267"/>
      <c r="AL346" s="267"/>
      <c r="AM346" s="267"/>
      <c r="AN346" s="267"/>
      <c r="AO346" s="267"/>
      <c r="AP346" s="267"/>
    </row>
    <row r="347" ht="25.5" customHeight="1">
      <c r="A347" s="27">
        <f t="shared" si="3"/>
        <v>346</v>
      </c>
      <c r="B347" s="27" t="s">
        <v>61</v>
      </c>
      <c r="C347" s="27" t="s">
        <v>63</v>
      </c>
      <c r="D347" s="27" t="s">
        <v>64</v>
      </c>
      <c r="E347" s="264" t="str">
        <f t="shared" si="52"/>
        <v/>
      </c>
      <c r="F347" s="30" t="s">
        <v>76</v>
      </c>
      <c r="G347" s="30" t="s">
        <v>350</v>
      </c>
      <c r="H347" s="198" t="s">
        <v>174</v>
      </c>
      <c r="I347" s="198" t="s">
        <v>38</v>
      </c>
      <c r="J347" s="198" t="s">
        <v>1375</v>
      </c>
      <c r="K347" s="198"/>
      <c r="L347" s="198" t="str">
        <f t="shared" si="53"/>
        <v>Avenida 4n #8n-24, centenario, Cali</v>
      </c>
      <c r="M347" s="198" t="s">
        <v>231</v>
      </c>
      <c r="N347" s="198" t="s">
        <v>233</v>
      </c>
      <c r="O347" s="27"/>
      <c r="P347" s="27"/>
      <c r="Q347" s="27" t="s">
        <v>81</v>
      </c>
      <c r="R347" s="30"/>
      <c r="S347" s="30"/>
      <c r="T347" s="30">
        <v>1.0</v>
      </c>
      <c r="U347" s="265"/>
      <c r="V347" s="265"/>
      <c r="W347" s="265"/>
      <c r="X347" s="265"/>
      <c r="Y347" s="265"/>
      <c r="Z347" s="265" t="s">
        <v>1376</v>
      </c>
      <c r="AA347" s="265"/>
      <c r="AD347" s="22"/>
      <c r="AE347" s="22"/>
      <c r="AF347" s="22"/>
      <c r="AG347" s="22"/>
      <c r="AH347" s="22"/>
      <c r="AI347" s="22"/>
      <c r="AJ347" s="22"/>
      <c r="AK347" s="22"/>
      <c r="AL347" s="22"/>
      <c r="AM347" s="22"/>
      <c r="AN347" s="22"/>
      <c r="AO347" s="22"/>
      <c r="AP347" s="22"/>
    </row>
    <row r="348" ht="25.5" customHeight="1">
      <c r="A348" s="198">
        <f t="shared" si="3"/>
        <v>347</v>
      </c>
      <c r="B348" s="198" t="s">
        <v>307</v>
      </c>
      <c r="C348" s="27" t="s">
        <v>63</v>
      </c>
      <c r="D348" s="27" t="s">
        <v>64</v>
      </c>
      <c r="E348" s="264" t="str">
        <f t="shared" si="52"/>
        <v/>
      </c>
      <c r="F348" s="30" t="s">
        <v>35</v>
      </c>
      <c r="G348" s="266" t="s">
        <v>36</v>
      </c>
      <c r="H348" s="198" t="s">
        <v>471</v>
      </c>
      <c r="I348" s="198" t="s">
        <v>38</v>
      </c>
      <c r="J348" s="198" t="s">
        <v>1377</v>
      </c>
      <c r="K348" s="198" t="s">
        <v>1378</v>
      </c>
      <c r="L348" s="198" t="str">
        <f t="shared" si="53"/>
        <v>Calle 12a #56-60, santa anita, Cali</v>
      </c>
      <c r="M348" s="198" t="s">
        <v>231</v>
      </c>
      <c r="N348" s="198" t="s">
        <v>18</v>
      </c>
      <c r="O348" s="27"/>
      <c r="P348" s="27"/>
      <c r="Q348" s="27" t="s">
        <v>81</v>
      </c>
      <c r="R348" s="30"/>
      <c r="S348" s="30">
        <v>1.0</v>
      </c>
      <c r="T348" s="30"/>
      <c r="U348" s="265"/>
      <c r="V348" s="265"/>
      <c r="W348" s="265"/>
      <c r="X348" s="265"/>
      <c r="Y348" s="265"/>
      <c r="Z348" s="265" t="s">
        <v>1379</v>
      </c>
      <c r="AA348" s="265"/>
      <c r="AD348" s="22"/>
      <c r="AE348" s="22"/>
      <c r="AF348" s="22"/>
      <c r="AG348" s="22"/>
      <c r="AH348" s="22"/>
      <c r="AI348" s="22"/>
      <c r="AJ348" s="22"/>
      <c r="AK348" s="22"/>
      <c r="AL348" s="22"/>
      <c r="AM348" s="22"/>
      <c r="AN348" s="22"/>
      <c r="AO348" s="22"/>
      <c r="AP348" s="22"/>
    </row>
    <row r="349" ht="25.5" customHeight="1">
      <c r="A349" s="198">
        <f t="shared" si="3"/>
        <v>348</v>
      </c>
      <c r="B349" s="198" t="s">
        <v>307</v>
      </c>
      <c r="C349" s="27" t="s">
        <v>63</v>
      </c>
      <c r="D349" s="27" t="s">
        <v>64</v>
      </c>
      <c r="E349" s="264" t="str">
        <f t="shared" si="52"/>
        <v/>
      </c>
      <c r="F349" s="30" t="s">
        <v>35</v>
      </c>
      <c r="G349" s="266" t="s">
        <v>36</v>
      </c>
      <c r="H349" s="198" t="s">
        <v>1380</v>
      </c>
      <c r="I349" s="198" t="s">
        <v>286</v>
      </c>
      <c r="J349" s="198" t="s">
        <v>1381</v>
      </c>
      <c r="K349" s="198"/>
      <c r="L349" s="198" t="str">
        <f t="shared" si="53"/>
        <v>Carrera 47 #3a-25, el lido, Cali</v>
      </c>
      <c r="M349" s="198" t="s">
        <v>231</v>
      </c>
      <c r="N349" s="198" t="s">
        <v>18</v>
      </c>
      <c r="O349" s="27"/>
      <c r="P349" s="27"/>
      <c r="Q349" s="27" t="s">
        <v>81</v>
      </c>
      <c r="R349" s="30"/>
      <c r="S349" s="30">
        <v>1.0</v>
      </c>
      <c r="T349" s="30"/>
      <c r="U349" s="265"/>
      <c r="V349" s="265"/>
      <c r="W349" s="265"/>
      <c r="X349" s="265"/>
      <c r="Y349" s="265"/>
      <c r="Z349" s="265" t="s">
        <v>1382</v>
      </c>
      <c r="AA349" s="265"/>
      <c r="AD349" s="22"/>
      <c r="AE349" s="22"/>
      <c r="AF349" s="22"/>
      <c r="AG349" s="22"/>
      <c r="AH349" s="22"/>
      <c r="AI349" s="22"/>
      <c r="AJ349" s="22"/>
      <c r="AK349" s="22"/>
      <c r="AL349" s="22"/>
      <c r="AM349" s="22"/>
      <c r="AN349" s="22"/>
      <c r="AO349" s="22"/>
      <c r="AP349" s="22"/>
    </row>
    <row r="350" ht="25.5" customHeight="1">
      <c r="A350" s="198">
        <f t="shared" si="3"/>
        <v>349</v>
      </c>
      <c r="B350" s="198" t="s">
        <v>61</v>
      </c>
      <c r="C350" s="27" t="s">
        <v>63</v>
      </c>
      <c r="D350" s="27" t="s">
        <v>64</v>
      </c>
      <c r="E350" s="264" t="str">
        <f t="shared" si="52"/>
        <v/>
      </c>
      <c r="F350" s="30" t="s">
        <v>35</v>
      </c>
      <c r="G350" s="266" t="s">
        <v>36</v>
      </c>
      <c r="H350" s="198" t="s">
        <v>1380</v>
      </c>
      <c r="I350" s="198" t="s">
        <v>38</v>
      </c>
      <c r="J350" s="198" t="s">
        <v>1383</v>
      </c>
      <c r="K350" s="198"/>
      <c r="L350" s="198" t="str">
        <f t="shared" si="53"/>
        <v>Carrera 45 #1a-31, el lido, Cali</v>
      </c>
      <c r="M350" s="198" t="s">
        <v>231</v>
      </c>
      <c r="N350" s="198" t="s">
        <v>233</v>
      </c>
      <c r="O350" s="27"/>
      <c r="P350" s="27"/>
      <c r="Q350" s="27" t="s">
        <v>81</v>
      </c>
      <c r="R350" s="30"/>
      <c r="S350" s="30"/>
      <c r="T350" s="30">
        <v>1.0</v>
      </c>
      <c r="U350" s="265"/>
      <c r="V350" s="265"/>
      <c r="W350" s="265"/>
      <c r="X350" s="265"/>
      <c r="Y350" s="265"/>
      <c r="Z350" s="265" t="s">
        <v>1384</v>
      </c>
      <c r="AA350" s="265"/>
      <c r="AD350" s="22"/>
      <c r="AE350" s="22"/>
      <c r="AF350" s="22"/>
      <c r="AG350" s="22"/>
      <c r="AH350" s="22"/>
      <c r="AI350" s="22"/>
      <c r="AJ350" s="22"/>
      <c r="AK350" s="22"/>
      <c r="AL350" s="22"/>
      <c r="AM350" s="22"/>
      <c r="AN350" s="22"/>
      <c r="AO350" s="22"/>
      <c r="AP350" s="22"/>
    </row>
    <row r="351" ht="25.5" customHeight="1">
      <c r="A351" s="198">
        <f t="shared" si="3"/>
        <v>350</v>
      </c>
      <c r="B351" s="198" t="s">
        <v>307</v>
      </c>
      <c r="C351" s="27" t="s">
        <v>63</v>
      </c>
      <c r="D351" s="27" t="s">
        <v>64</v>
      </c>
      <c r="E351" s="264" t="str">
        <f t="shared" si="52"/>
        <v/>
      </c>
      <c r="F351" s="30" t="s">
        <v>76</v>
      </c>
      <c r="G351" s="30" t="s">
        <v>350</v>
      </c>
      <c r="H351" s="198" t="s">
        <v>317</v>
      </c>
      <c r="I351" s="198" t="s">
        <v>286</v>
      </c>
      <c r="J351" s="198" t="s">
        <v>1385</v>
      </c>
      <c r="K351" s="198"/>
      <c r="L351" s="198" t="str">
        <f t="shared" si="53"/>
        <v>Avenida 7norte #44-44, La Campiña, Cali</v>
      </c>
      <c r="M351" s="198" t="s">
        <v>231</v>
      </c>
      <c r="N351" s="198" t="s">
        <v>18</v>
      </c>
      <c r="O351" s="27"/>
      <c r="P351" s="27"/>
      <c r="Q351" s="27" t="s">
        <v>81</v>
      </c>
      <c r="R351" s="30"/>
      <c r="S351" s="30">
        <v>1.0</v>
      </c>
      <c r="T351" s="30"/>
      <c r="U351" s="265"/>
      <c r="V351" s="265"/>
      <c r="W351" s="265"/>
      <c r="X351" s="265"/>
      <c r="Y351" s="265"/>
      <c r="Z351" s="265" t="s">
        <v>1386</v>
      </c>
      <c r="AA351" s="265"/>
      <c r="AD351" s="22"/>
      <c r="AE351" s="22"/>
      <c r="AF351" s="22"/>
      <c r="AG351" s="22"/>
      <c r="AH351" s="22"/>
      <c r="AI351" s="22"/>
      <c r="AJ351" s="22"/>
      <c r="AK351" s="22"/>
      <c r="AL351" s="22"/>
      <c r="AM351" s="22"/>
      <c r="AN351" s="22"/>
      <c r="AO351" s="22"/>
      <c r="AP351" s="22"/>
    </row>
    <row r="352" ht="25.5" customHeight="1">
      <c r="A352" s="198">
        <f t="shared" si="3"/>
        <v>351</v>
      </c>
      <c r="B352" s="198" t="s">
        <v>61</v>
      </c>
      <c r="C352" s="27" t="s">
        <v>63</v>
      </c>
      <c r="D352" s="27" t="s">
        <v>64</v>
      </c>
      <c r="E352" s="264" t="str">
        <f t="shared" si="52"/>
        <v/>
      </c>
      <c r="F352" s="250" t="s">
        <v>102</v>
      </c>
      <c r="G352" s="266" t="s">
        <v>36</v>
      </c>
      <c r="H352" s="198" t="s">
        <v>415</v>
      </c>
      <c r="I352" s="198" t="s">
        <v>38</v>
      </c>
      <c r="J352" s="198" t="s">
        <v>1387</v>
      </c>
      <c r="K352" s="198" t="s">
        <v>1388</v>
      </c>
      <c r="L352" s="198" t="str">
        <f t="shared" si="53"/>
        <v>Carrera 125 #19-58, Pance, Cali</v>
      </c>
      <c r="M352" s="198" t="s">
        <v>231</v>
      </c>
      <c r="N352" s="198" t="s">
        <v>233</v>
      </c>
      <c r="O352" s="27"/>
      <c r="P352" s="27"/>
      <c r="Q352" s="27" t="s">
        <v>81</v>
      </c>
      <c r="R352" s="30"/>
      <c r="S352" s="30"/>
      <c r="T352" s="30">
        <v>1.0</v>
      </c>
      <c r="U352" s="265"/>
      <c r="V352" s="265"/>
      <c r="W352" s="265"/>
      <c r="X352" s="265"/>
      <c r="Y352" s="265"/>
      <c r="Z352" s="265" t="s">
        <v>1389</v>
      </c>
      <c r="AA352" s="265"/>
      <c r="AD352" s="22"/>
      <c r="AE352" s="22"/>
      <c r="AF352" s="22"/>
      <c r="AG352" s="22"/>
      <c r="AH352" s="22"/>
      <c r="AI352" s="22"/>
      <c r="AJ352" s="22"/>
      <c r="AK352" s="22"/>
      <c r="AL352" s="22"/>
      <c r="AM352" s="22"/>
      <c r="AN352" s="22"/>
      <c r="AO352" s="22"/>
      <c r="AP352" s="22"/>
    </row>
    <row r="353" ht="25.5" customHeight="1">
      <c r="A353" s="198">
        <f t="shared" si="3"/>
        <v>352</v>
      </c>
      <c r="B353" s="198" t="s">
        <v>307</v>
      </c>
      <c r="C353" s="27" t="s">
        <v>63</v>
      </c>
      <c r="D353" s="27" t="s">
        <v>64</v>
      </c>
      <c r="E353" s="264" t="str">
        <f t="shared" si="52"/>
        <v/>
      </c>
      <c r="F353" s="30" t="s">
        <v>87</v>
      </c>
      <c r="G353" s="266" t="s">
        <v>36</v>
      </c>
      <c r="H353" s="198" t="s">
        <v>387</v>
      </c>
      <c r="I353" s="198" t="s">
        <v>286</v>
      </c>
      <c r="J353" s="198" t="s">
        <v>1390</v>
      </c>
      <c r="K353" s="198"/>
      <c r="L353" s="198" t="str">
        <f t="shared" si="53"/>
        <v>Calle 2b bis #94b1-15, Melendez, Cali</v>
      </c>
      <c r="M353" s="198" t="s">
        <v>1391</v>
      </c>
      <c r="N353" s="198" t="s">
        <v>18</v>
      </c>
      <c r="O353" s="27"/>
      <c r="P353" s="27"/>
      <c r="Q353" s="27" t="s">
        <v>81</v>
      </c>
      <c r="R353" s="30"/>
      <c r="S353" s="30">
        <v>1.0</v>
      </c>
      <c r="T353" s="30"/>
      <c r="U353" s="265"/>
      <c r="V353" s="265"/>
      <c r="W353" s="265"/>
      <c r="X353" s="265"/>
      <c r="Y353" s="265"/>
      <c r="Z353" s="265" t="s">
        <v>1392</v>
      </c>
      <c r="AA353" s="265"/>
      <c r="AD353" s="22"/>
      <c r="AE353" s="22"/>
      <c r="AF353" s="22"/>
      <c r="AG353" s="22"/>
      <c r="AH353" s="22"/>
      <c r="AI353" s="22"/>
      <c r="AJ353" s="22"/>
      <c r="AK353" s="22"/>
      <c r="AL353" s="22"/>
      <c r="AM353" s="22"/>
      <c r="AN353" s="22"/>
      <c r="AO353" s="22"/>
      <c r="AP353" s="22"/>
    </row>
    <row r="354" ht="25.5" customHeight="1">
      <c r="A354" s="198">
        <f t="shared" si="3"/>
        <v>353</v>
      </c>
      <c r="B354" s="198" t="s">
        <v>61</v>
      </c>
      <c r="C354" s="27" t="s">
        <v>63</v>
      </c>
      <c r="D354" s="27" t="s">
        <v>64</v>
      </c>
      <c r="E354" s="264" t="str">
        <f t="shared" si="52"/>
        <v/>
      </c>
      <c r="F354" s="30" t="s">
        <v>87</v>
      </c>
      <c r="G354" s="266" t="s">
        <v>36</v>
      </c>
      <c r="H354" s="198" t="s">
        <v>1301</v>
      </c>
      <c r="I354" s="198" t="s">
        <v>38</v>
      </c>
      <c r="J354" s="198" t="s">
        <v>1393</v>
      </c>
      <c r="K354" s="198" t="s">
        <v>1394</v>
      </c>
      <c r="L354" s="198" t="str">
        <f t="shared" si="53"/>
        <v>Calle 4 #85-39, melendez, Cali</v>
      </c>
      <c r="M354" s="198" t="s">
        <v>231</v>
      </c>
      <c r="N354" s="198" t="s">
        <v>233</v>
      </c>
      <c r="O354" s="27"/>
      <c r="P354" s="27"/>
      <c r="Q354" s="27" t="s">
        <v>81</v>
      </c>
      <c r="R354" s="30"/>
      <c r="S354" s="30"/>
      <c r="T354" s="30">
        <v>1.0</v>
      </c>
      <c r="U354" s="265"/>
      <c r="V354" s="265"/>
      <c r="W354" s="265"/>
      <c r="X354" s="265"/>
      <c r="Y354" s="265"/>
      <c r="Z354" s="265" t="s">
        <v>1395</v>
      </c>
      <c r="AA354" s="265"/>
      <c r="AD354" s="22"/>
      <c r="AE354" s="22"/>
      <c r="AF354" s="22"/>
      <c r="AG354" s="22"/>
      <c r="AH354" s="22"/>
      <c r="AI354" s="22"/>
      <c r="AJ354" s="22"/>
      <c r="AK354" s="22"/>
      <c r="AL354" s="22"/>
      <c r="AM354" s="22"/>
      <c r="AN354" s="22"/>
      <c r="AO354" s="22"/>
      <c r="AP354" s="22"/>
    </row>
    <row r="355" ht="25.5" customHeight="1">
      <c r="A355" s="198">
        <f t="shared" si="3"/>
        <v>354</v>
      </c>
      <c r="B355" s="198" t="s">
        <v>61</v>
      </c>
      <c r="C355" s="27" t="s">
        <v>63</v>
      </c>
      <c r="D355" s="27" t="s">
        <v>64</v>
      </c>
      <c r="E355" s="264" t="str">
        <f t="shared" si="52"/>
        <v/>
      </c>
      <c r="F355" s="30" t="s">
        <v>35</v>
      </c>
      <c r="G355" s="266" t="s">
        <v>36</v>
      </c>
      <c r="H355" s="198" t="s">
        <v>1396</v>
      </c>
      <c r="I355" s="198" t="s">
        <v>38</v>
      </c>
      <c r="J355" s="198" t="s">
        <v>1397</v>
      </c>
      <c r="K355" s="198" t="s">
        <v>1398</v>
      </c>
      <c r="L355" s="198" t="str">
        <f t="shared" si="53"/>
        <v>Carrera 42 #5c-48, tequendama, Cali</v>
      </c>
      <c r="M355" s="198" t="s">
        <v>231</v>
      </c>
      <c r="N355" s="198" t="s">
        <v>233</v>
      </c>
      <c r="O355" s="27"/>
      <c r="P355" s="27"/>
      <c r="Q355" s="27" t="s">
        <v>81</v>
      </c>
      <c r="R355" s="30"/>
      <c r="S355" s="30"/>
      <c r="T355" s="30">
        <v>1.0</v>
      </c>
      <c r="U355" s="265"/>
      <c r="V355" s="265"/>
      <c r="W355" s="265"/>
      <c r="X355" s="265"/>
      <c r="Y355" s="265"/>
      <c r="Z355" s="265" t="s">
        <v>1399</v>
      </c>
      <c r="AA355" s="265"/>
      <c r="AD355" s="22"/>
      <c r="AE355" s="22"/>
      <c r="AF355" s="22"/>
      <c r="AG355" s="22"/>
      <c r="AH355" s="22"/>
      <c r="AI355" s="22"/>
      <c r="AJ355" s="22"/>
      <c r="AK355" s="22"/>
      <c r="AL355" s="22"/>
      <c r="AM355" s="22"/>
      <c r="AN355" s="22"/>
      <c r="AO355" s="22"/>
      <c r="AP355" s="22"/>
    </row>
    <row r="356" ht="25.5" customHeight="1">
      <c r="A356" s="198">
        <f t="shared" si="3"/>
        <v>355</v>
      </c>
      <c r="B356" s="198" t="s">
        <v>61</v>
      </c>
      <c r="C356" s="27" t="s">
        <v>63</v>
      </c>
      <c r="D356" s="27" t="s">
        <v>64</v>
      </c>
      <c r="E356" s="264" t="str">
        <f t="shared" si="52"/>
        <v/>
      </c>
      <c r="F356" s="250" t="s">
        <v>60</v>
      </c>
      <c r="G356" s="266" t="s">
        <v>36</v>
      </c>
      <c r="H356" s="198" t="s">
        <v>190</v>
      </c>
      <c r="I356" s="198" t="s">
        <v>38</v>
      </c>
      <c r="J356" s="198" t="s">
        <v>1400</v>
      </c>
      <c r="K356" s="198" t="s">
        <v>1401</v>
      </c>
      <c r="L356" s="198" t="str">
        <f t="shared" si="53"/>
        <v>Calle 6 #74a-50, Ciudad Capri, Cali</v>
      </c>
      <c r="M356" s="198" t="s">
        <v>231</v>
      </c>
      <c r="N356" s="198" t="s">
        <v>233</v>
      </c>
      <c r="O356" s="27"/>
      <c r="P356" s="27"/>
      <c r="Q356" s="27" t="s">
        <v>81</v>
      </c>
      <c r="R356" s="30"/>
      <c r="S356" s="30"/>
      <c r="T356" s="30">
        <v>1.0</v>
      </c>
      <c r="U356" s="265"/>
      <c r="V356" s="265"/>
      <c r="W356" s="265"/>
      <c r="X356" s="265"/>
      <c r="Y356" s="265"/>
      <c r="Z356" s="265" t="s">
        <v>1402</v>
      </c>
      <c r="AA356" s="265"/>
      <c r="AD356" s="22"/>
      <c r="AE356" s="22"/>
      <c r="AF356" s="22"/>
      <c r="AG356" s="22"/>
      <c r="AH356" s="22"/>
      <c r="AI356" s="22"/>
      <c r="AJ356" s="22"/>
      <c r="AK356" s="22"/>
      <c r="AL356" s="22"/>
      <c r="AM356" s="22"/>
      <c r="AN356" s="22"/>
      <c r="AO356" s="22"/>
      <c r="AP356" s="22"/>
    </row>
    <row r="357" ht="25.5" customHeight="1">
      <c r="A357" s="198">
        <f t="shared" si="3"/>
        <v>356</v>
      </c>
      <c r="B357" s="198" t="s">
        <v>61</v>
      </c>
      <c r="C357" s="27" t="s">
        <v>63</v>
      </c>
      <c r="D357" s="27" t="s">
        <v>64</v>
      </c>
      <c r="E357" s="264" t="str">
        <f t="shared" si="52"/>
        <v/>
      </c>
      <c r="F357" s="30" t="s">
        <v>110</v>
      </c>
      <c r="G357" s="30" t="s">
        <v>176</v>
      </c>
      <c r="H357" s="198" t="s">
        <v>1403</v>
      </c>
      <c r="I357" s="198" t="s">
        <v>38</v>
      </c>
      <c r="J357" s="198" t="s">
        <v>1404</v>
      </c>
      <c r="K357" s="198" t="s">
        <v>1405</v>
      </c>
      <c r="L357" s="198" t="str">
        <f t="shared" si="53"/>
        <v>Calle 10 #8-27, san pedro, Cali</v>
      </c>
      <c r="M357" s="198" t="s">
        <v>231</v>
      </c>
      <c r="N357" s="198" t="s">
        <v>233</v>
      </c>
      <c r="O357" s="33"/>
      <c r="P357" s="33"/>
      <c r="Q357" s="27" t="s">
        <v>81</v>
      </c>
      <c r="R357" s="30"/>
      <c r="S357" s="30"/>
      <c r="T357" s="30">
        <v>1.0</v>
      </c>
      <c r="U357" s="265"/>
      <c r="V357" s="265"/>
      <c r="W357" s="265"/>
      <c r="X357" s="265"/>
      <c r="Y357" s="265"/>
      <c r="Z357" s="265" t="s">
        <v>1406</v>
      </c>
      <c r="AA357" s="265"/>
      <c r="AD357" s="22"/>
      <c r="AE357" s="22"/>
      <c r="AF357" s="22"/>
      <c r="AG357" s="22"/>
      <c r="AH357" s="22"/>
      <c r="AI357" s="22"/>
      <c r="AJ357" s="22"/>
      <c r="AK357" s="22"/>
      <c r="AL357" s="22"/>
      <c r="AM357" s="22"/>
      <c r="AN357" s="22"/>
      <c r="AO357" s="22"/>
      <c r="AP357" s="22"/>
    </row>
    <row r="358" ht="25.5" customHeight="1">
      <c r="A358" s="198">
        <f t="shared" si="3"/>
        <v>357</v>
      </c>
      <c r="B358" s="198" t="s">
        <v>61</v>
      </c>
      <c r="C358" s="27" t="s">
        <v>63</v>
      </c>
      <c r="D358" s="27" t="s">
        <v>64</v>
      </c>
      <c r="E358" s="264" t="str">
        <f t="shared" si="52"/>
        <v/>
      </c>
      <c r="F358" s="30" t="s">
        <v>35</v>
      </c>
      <c r="G358" s="266" t="s">
        <v>36</v>
      </c>
      <c r="H358" s="198" t="s">
        <v>984</v>
      </c>
      <c r="I358" s="198" t="s">
        <v>38</v>
      </c>
      <c r="J358" s="198" t="s">
        <v>1407</v>
      </c>
      <c r="K358" s="198"/>
      <c r="L358" s="198" t="str">
        <f t="shared" si="53"/>
        <v>Carrera 56 # 2-157, cuarto de legua, Cali</v>
      </c>
      <c r="M358" s="198" t="s">
        <v>231</v>
      </c>
      <c r="N358" s="198" t="s">
        <v>233</v>
      </c>
      <c r="O358" s="27"/>
      <c r="P358" s="27"/>
      <c r="Q358" s="27" t="s">
        <v>81</v>
      </c>
      <c r="R358" s="30"/>
      <c r="S358" s="30"/>
      <c r="T358" s="30">
        <v>1.0</v>
      </c>
      <c r="U358" s="265"/>
      <c r="V358" s="265"/>
      <c r="W358" s="265"/>
      <c r="X358" s="265"/>
      <c r="Y358" s="265"/>
      <c r="Z358" s="265" t="s">
        <v>1376</v>
      </c>
      <c r="AA358" s="265"/>
      <c r="AD358" s="22"/>
      <c r="AE358" s="22"/>
      <c r="AF358" s="22"/>
      <c r="AG358" s="22"/>
      <c r="AH358" s="22"/>
      <c r="AI358" s="22"/>
      <c r="AJ358" s="22"/>
      <c r="AK358" s="22"/>
      <c r="AL358" s="22"/>
      <c r="AM358" s="22"/>
      <c r="AN358" s="22"/>
      <c r="AO358" s="22"/>
      <c r="AP358" s="22"/>
    </row>
    <row r="359" ht="25.5" customHeight="1">
      <c r="A359" s="198">
        <f t="shared" si="3"/>
        <v>358</v>
      </c>
      <c r="B359" s="198" t="s">
        <v>61</v>
      </c>
      <c r="C359" s="27" t="s">
        <v>63</v>
      </c>
      <c r="D359" s="27" t="s">
        <v>64</v>
      </c>
      <c r="E359" s="264" t="str">
        <f t="shared" si="52"/>
        <v/>
      </c>
      <c r="F359" s="30" t="s">
        <v>35</v>
      </c>
      <c r="G359" s="266" t="s">
        <v>36</v>
      </c>
      <c r="H359" s="198" t="s">
        <v>275</v>
      </c>
      <c r="I359" s="198" t="s">
        <v>286</v>
      </c>
      <c r="J359" s="198" t="s">
        <v>1408</v>
      </c>
      <c r="K359" s="198"/>
      <c r="L359" s="198" t="str">
        <f t="shared" si="53"/>
        <v>Calle 8 #32-07, Eucarístico, Cali</v>
      </c>
      <c r="M359" s="198" t="s">
        <v>231</v>
      </c>
      <c r="N359" s="198" t="s">
        <v>233</v>
      </c>
      <c r="O359" s="27"/>
      <c r="P359" s="27"/>
      <c r="Q359" s="27" t="s">
        <v>81</v>
      </c>
      <c r="R359" s="30"/>
      <c r="S359" s="30"/>
      <c r="T359" s="30">
        <v>1.0</v>
      </c>
      <c r="U359" s="265"/>
      <c r="V359" s="265"/>
      <c r="W359" s="265"/>
      <c r="X359" s="265"/>
      <c r="Y359" s="265"/>
      <c r="Z359" s="265" t="s">
        <v>1376</v>
      </c>
      <c r="AA359" s="265"/>
      <c r="AD359" s="22"/>
      <c r="AE359" s="22"/>
      <c r="AF359" s="22"/>
      <c r="AG359" s="22"/>
      <c r="AH359" s="22"/>
      <c r="AI359" s="22"/>
      <c r="AJ359" s="22"/>
      <c r="AK359" s="22"/>
      <c r="AL359" s="22"/>
      <c r="AM359" s="22"/>
      <c r="AN359" s="22"/>
      <c r="AO359" s="22"/>
      <c r="AP359" s="22"/>
    </row>
    <row r="360" ht="25.5" customHeight="1">
      <c r="A360" s="198">
        <f t="shared" si="3"/>
        <v>359</v>
      </c>
      <c r="B360" s="198" t="s">
        <v>61</v>
      </c>
      <c r="C360" s="27" t="s">
        <v>63</v>
      </c>
      <c r="D360" s="27" t="s">
        <v>64</v>
      </c>
      <c r="E360" s="264" t="str">
        <f t="shared" si="52"/>
        <v/>
      </c>
      <c r="F360" s="30" t="s">
        <v>87</v>
      </c>
      <c r="G360" s="266" t="s">
        <v>939</v>
      </c>
      <c r="H360" s="198" t="s">
        <v>424</v>
      </c>
      <c r="I360" s="198" t="s">
        <v>286</v>
      </c>
      <c r="J360" s="198" t="s">
        <v>1409</v>
      </c>
      <c r="K360" s="198"/>
      <c r="L360" s="198" t="str">
        <f t="shared" si="53"/>
        <v>Calle 4a oeste #94-34, polvorines, Cali</v>
      </c>
      <c r="M360" s="154" t="s">
        <v>1410</v>
      </c>
      <c r="N360" s="154" t="s">
        <v>233</v>
      </c>
      <c r="O360" s="33"/>
      <c r="P360" s="33"/>
      <c r="Q360" s="27" t="s">
        <v>81</v>
      </c>
      <c r="R360" s="30"/>
      <c r="S360" s="30"/>
      <c r="T360" s="30">
        <v>1.0</v>
      </c>
      <c r="U360" s="265"/>
      <c r="V360" s="265"/>
      <c r="W360" s="265"/>
      <c r="X360" s="265"/>
      <c r="Y360" s="265"/>
      <c r="Z360" s="265" t="s">
        <v>1411</v>
      </c>
      <c r="AA360" s="265"/>
      <c r="AD360" s="22"/>
      <c r="AE360" s="22"/>
      <c r="AF360" s="22"/>
      <c r="AG360" s="22"/>
      <c r="AH360" s="22"/>
      <c r="AI360" s="22"/>
      <c r="AJ360" s="22"/>
      <c r="AK360" s="22"/>
      <c r="AL360" s="22"/>
      <c r="AM360" s="22"/>
      <c r="AN360" s="22"/>
      <c r="AO360" s="22"/>
      <c r="AP360" s="22"/>
    </row>
    <row r="361" ht="25.5" customHeight="1">
      <c r="A361" s="198">
        <f t="shared" si="3"/>
        <v>360</v>
      </c>
      <c r="B361" s="198" t="s">
        <v>61</v>
      </c>
      <c r="C361" s="27" t="s">
        <v>63</v>
      </c>
      <c r="D361" s="27" t="s">
        <v>64</v>
      </c>
      <c r="E361" s="264" t="str">
        <f t="shared" si="52"/>
        <v/>
      </c>
      <c r="F361" s="30" t="s">
        <v>76</v>
      </c>
      <c r="G361" s="30" t="s">
        <v>350</v>
      </c>
      <c r="H361" s="198" t="s">
        <v>174</v>
      </c>
      <c r="I361" s="198" t="s">
        <v>38</v>
      </c>
      <c r="J361" s="198" t="s">
        <v>1412</v>
      </c>
      <c r="K361" s="198"/>
      <c r="L361" s="198" t="str">
        <f t="shared" si="53"/>
        <v>Avenida 2ds norte #7n-66, centenario, Cali</v>
      </c>
      <c r="M361" s="198" t="s">
        <v>231</v>
      </c>
      <c r="N361" s="198" t="s">
        <v>233</v>
      </c>
      <c r="O361" s="27"/>
      <c r="P361" s="27"/>
      <c r="Q361" s="27" t="s">
        <v>81</v>
      </c>
      <c r="R361" s="30"/>
      <c r="S361" s="30"/>
      <c r="T361" s="30">
        <v>1.0</v>
      </c>
      <c r="U361" s="265"/>
      <c r="V361" s="265"/>
      <c r="W361" s="265"/>
      <c r="X361" s="265"/>
      <c r="Y361" s="265"/>
      <c r="Z361" s="265" t="s">
        <v>1413</v>
      </c>
      <c r="AA361" s="265"/>
      <c r="AD361" s="22"/>
      <c r="AE361" s="22"/>
      <c r="AF361" s="22"/>
      <c r="AG361" s="22"/>
      <c r="AH361" s="22"/>
      <c r="AI361" s="22"/>
      <c r="AJ361" s="22"/>
      <c r="AK361" s="22"/>
      <c r="AL361" s="22"/>
      <c r="AM361" s="22"/>
      <c r="AN361" s="22"/>
      <c r="AO361" s="22"/>
      <c r="AP361" s="22"/>
    </row>
    <row r="362" ht="25.5" customHeight="1">
      <c r="A362" s="198">
        <f t="shared" si="3"/>
        <v>361</v>
      </c>
      <c r="B362" s="198" t="s">
        <v>61</v>
      </c>
      <c r="C362" s="27" t="s">
        <v>63</v>
      </c>
      <c r="D362" s="27" t="s">
        <v>64</v>
      </c>
      <c r="E362" s="264" t="str">
        <f t="shared" si="52"/>
        <v/>
      </c>
      <c r="F362" s="30" t="s">
        <v>35</v>
      </c>
      <c r="G362" s="266" t="s">
        <v>36</v>
      </c>
      <c r="H362" s="198" t="s">
        <v>1321</v>
      </c>
      <c r="I362" s="198" t="s">
        <v>38</v>
      </c>
      <c r="J362" s="198" t="s">
        <v>1414</v>
      </c>
      <c r="K362" s="198" t="s">
        <v>1415</v>
      </c>
      <c r="L362" s="198" t="str">
        <f t="shared" si="53"/>
        <v>Carrera 59a #5-41, pampalinda, Cali</v>
      </c>
      <c r="M362" s="198" t="s">
        <v>231</v>
      </c>
      <c r="N362" s="198" t="s">
        <v>233</v>
      </c>
      <c r="O362" s="27"/>
      <c r="P362" s="27"/>
      <c r="Q362" s="27" t="s">
        <v>81</v>
      </c>
      <c r="R362" s="30"/>
      <c r="S362" s="30"/>
      <c r="T362" s="30">
        <v>1.0</v>
      </c>
      <c r="U362" s="265"/>
      <c r="V362" s="265"/>
      <c r="W362" s="265"/>
      <c r="X362" s="265"/>
      <c r="Y362" s="265"/>
      <c r="Z362" s="265" t="s">
        <v>1416</v>
      </c>
      <c r="AA362" s="265"/>
      <c r="AD362" s="22"/>
      <c r="AE362" s="22"/>
      <c r="AF362" s="22"/>
      <c r="AG362" s="22"/>
      <c r="AH362" s="22"/>
      <c r="AI362" s="22"/>
      <c r="AJ362" s="22"/>
      <c r="AK362" s="22"/>
      <c r="AL362" s="22"/>
      <c r="AM362" s="22"/>
      <c r="AN362" s="22"/>
      <c r="AO362" s="22"/>
      <c r="AP362" s="22"/>
    </row>
    <row r="363" ht="25.5" customHeight="1">
      <c r="A363" s="198">
        <f t="shared" si="3"/>
        <v>362</v>
      </c>
      <c r="B363" s="198" t="s">
        <v>61</v>
      </c>
      <c r="C363" s="27" t="s">
        <v>63</v>
      </c>
      <c r="D363" s="27" t="s">
        <v>64</v>
      </c>
      <c r="E363" s="264" t="str">
        <f t="shared" si="52"/>
        <v/>
      </c>
      <c r="F363" s="30" t="s">
        <v>87</v>
      </c>
      <c r="G363" s="266" t="s">
        <v>36</v>
      </c>
      <c r="H363" s="198" t="s">
        <v>1301</v>
      </c>
      <c r="I363" s="198" t="s">
        <v>38</v>
      </c>
      <c r="J363" s="198" t="s">
        <v>1417</v>
      </c>
      <c r="K363" s="198" t="s">
        <v>1418</v>
      </c>
      <c r="L363" s="198" t="str">
        <f t="shared" si="53"/>
        <v>Calle 2a #93-68, melendez, Cali</v>
      </c>
      <c r="M363" s="198" t="s">
        <v>231</v>
      </c>
      <c r="N363" s="198" t="s">
        <v>233</v>
      </c>
      <c r="O363" s="27"/>
      <c r="P363" s="27"/>
      <c r="Q363" s="27" t="s">
        <v>81</v>
      </c>
      <c r="R363" s="30"/>
      <c r="S363" s="30"/>
      <c r="T363" s="30">
        <v>1.0</v>
      </c>
      <c r="U363" s="265"/>
      <c r="V363" s="265"/>
      <c r="W363" s="265"/>
      <c r="X363" s="265"/>
      <c r="Y363" s="265"/>
      <c r="Z363" s="265" t="s">
        <v>1419</v>
      </c>
      <c r="AA363" s="265"/>
      <c r="AD363" s="22"/>
      <c r="AE363" s="22"/>
      <c r="AF363" s="22"/>
      <c r="AG363" s="22"/>
      <c r="AH363" s="22"/>
      <c r="AI363" s="22"/>
      <c r="AJ363" s="22"/>
      <c r="AK363" s="22"/>
      <c r="AL363" s="22"/>
      <c r="AM363" s="22"/>
      <c r="AN363" s="22"/>
      <c r="AO363" s="22"/>
      <c r="AP363" s="22"/>
    </row>
    <row r="364" ht="25.5" customHeight="1">
      <c r="A364" s="198">
        <f t="shared" si="3"/>
        <v>363</v>
      </c>
      <c r="B364" s="198" t="s">
        <v>307</v>
      </c>
      <c r="C364" s="27" t="s">
        <v>63</v>
      </c>
      <c r="D364" s="27" t="s">
        <v>64</v>
      </c>
      <c r="E364" s="264" t="str">
        <f t="shared" si="52"/>
        <v/>
      </c>
      <c r="F364" s="30" t="s">
        <v>76</v>
      </c>
      <c r="G364" s="30" t="s">
        <v>350</v>
      </c>
      <c r="H364" s="198" t="s">
        <v>475</v>
      </c>
      <c r="I364" s="198" t="s">
        <v>38</v>
      </c>
      <c r="J364" s="198" t="s">
        <v>1420</v>
      </c>
      <c r="K364" s="198" t="s">
        <v>1421</v>
      </c>
      <c r="L364" s="198" t="str">
        <f t="shared" si="53"/>
        <v>Avenida 6n #30n-54, santa monica, Cali</v>
      </c>
      <c r="M364" s="198" t="s">
        <v>1422</v>
      </c>
      <c r="N364" s="198" t="s">
        <v>233</v>
      </c>
      <c r="O364" s="27"/>
      <c r="P364" s="27"/>
      <c r="Q364" s="27" t="s">
        <v>81</v>
      </c>
      <c r="R364" s="30"/>
      <c r="S364" s="30"/>
      <c r="T364" s="30">
        <v>1.0</v>
      </c>
      <c r="U364" s="265"/>
      <c r="V364" s="265"/>
      <c r="W364" s="265"/>
      <c r="X364" s="265"/>
      <c r="Y364" s="265"/>
      <c r="Z364" s="265" t="s">
        <v>1423</v>
      </c>
      <c r="AA364" s="265"/>
      <c r="AD364" s="22"/>
      <c r="AE364" s="22"/>
      <c r="AF364" s="22"/>
      <c r="AG364" s="22"/>
      <c r="AH364" s="22"/>
      <c r="AI364" s="22"/>
      <c r="AJ364" s="22"/>
      <c r="AK364" s="22"/>
      <c r="AL364" s="22"/>
      <c r="AM364" s="22"/>
      <c r="AN364" s="22"/>
      <c r="AO364" s="22"/>
      <c r="AP364" s="22"/>
    </row>
    <row r="365" ht="25.5" customHeight="1">
      <c r="A365" s="198">
        <f t="shared" si="3"/>
        <v>364</v>
      </c>
      <c r="B365" s="198" t="s">
        <v>61</v>
      </c>
      <c r="C365" s="27" t="s">
        <v>63</v>
      </c>
      <c r="D365" s="27" t="s">
        <v>64</v>
      </c>
      <c r="E365" s="264" t="str">
        <f t="shared" si="52"/>
        <v/>
      </c>
      <c r="F365" s="30" t="s">
        <v>76</v>
      </c>
      <c r="G365" s="30" t="s">
        <v>350</v>
      </c>
      <c r="H365" s="198" t="s">
        <v>1424</v>
      </c>
      <c r="I365" s="198" t="s">
        <v>38</v>
      </c>
      <c r="J365" s="198" t="s">
        <v>1425</v>
      </c>
      <c r="K365" s="198" t="s">
        <v>1426</v>
      </c>
      <c r="L365" s="198" t="str">
        <f t="shared" si="53"/>
        <v>Avenida 2d norte #24n-17, san vicente, Cali</v>
      </c>
      <c r="M365" s="198" t="s">
        <v>231</v>
      </c>
      <c r="N365" s="198" t="s">
        <v>233</v>
      </c>
      <c r="O365" s="27"/>
      <c r="P365" s="27"/>
      <c r="Q365" s="27" t="s">
        <v>81</v>
      </c>
      <c r="R365" s="30"/>
      <c r="S365" s="30"/>
      <c r="T365" s="30">
        <v>1.0</v>
      </c>
      <c r="U365" s="265"/>
      <c r="V365" s="265"/>
      <c r="W365" s="265"/>
      <c r="X365" s="265"/>
      <c r="Y365" s="265"/>
      <c r="Z365" s="265" t="s">
        <v>1427</v>
      </c>
      <c r="AA365" s="265"/>
      <c r="AD365" s="22"/>
      <c r="AE365" s="22"/>
      <c r="AF365" s="22"/>
      <c r="AG365" s="22"/>
      <c r="AH365" s="22"/>
      <c r="AI365" s="22"/>
      <c r="AJ365" s="22"/>
      <c r="AK365" s="22"/>
      <c r="AL365" s="22"/>
      <c r="AM365" s="22"/>
      <c r="AN365" s="22"/>
      <c r="AO365" s="22"/>
      <c r="AP365" s="22"/>
    </row>
    <row r="366" ht="25.5" customHeight="1">
      <c r="A366" s="198">
        <f t="shared" si="3"/>
        <v>365</v>
      </c>
      <c r="B366" s="198" t="s">
        <v>61</v>
      </c>
      <c r="C366" s="27" t="s">
        <v>63</v>
      </c>
      <c r="D366" s="27" t="s">
        <v>64</v>
      </c>
      <c r="E366" s="264" t="str">
        <f t="shared" si="52"/>
        <v/>
      </c>
      <c r="F366" s="30" t="s">
        <v>35</v>
      </c>
      <c r="G366" s="266" t="s">
        <v>36</v>
      </c>
      <c r="H366" s="198" t="s">
        <v>1428</v>
      </c>
      <c r="I366" s="198" t="s">
        <v>38</v>
      </c>
      <c r="J366" s="198" t="s">
        <v>1429</v>
      </c>
      <c r="K366" s="198"/>
      <c r="L366" s="198" t="str">
        <f t="shared" si="53"/>
        <v>Calle 7 #30-25, el cedro, Cali</v>
      </c>
      <c r="M366" s="198" t="s">
        <v>231</v>
      </c>
      <c r="N366" s="198" t="s">
        <v>233</v>
      </c>
      <c r="O366" s="27"/>
      <c r="P366" s="27"/>
      <c r="Q366" s="27" t="s">
        <v>81</v>
      </c>
      <c r="R366" s="30"/>
      <c r="S366" s="30"/>
      <c r="T366" s="30">
        <v>1.0</v>
      </c>
      <c r="U366" s="265"/>
      <c r="V366" s="265"/>
      <c r="W366" s="265"/>
      <c r="X366" s="265"/>
      <c r="Y366" s="265"/>
      <c r="Z366" s="265" t="s">
        <v>1430</v>
      </c>
      <c r="AA366" s="265"/>
      <c r="AD366" s="22"/>
      <c r="AE366" s="22"/>
      <c r="AF366" s="22"/>
      <c r="AG366" s="22"/>
      <c r="AH366" s="22"/>
      <c r="AI366" s="22"/>
      <c r="AJ366" s="22"/>
      <c r="AK366" s="22"/>
      <c r="AL366" s="22"/>
      <c r="AM366" s="22"/>
      <c r="AN366" s="22"/>
      <c r="AO366" s="22"/>
      <c r="AP366" s="22"/>
    </row>
    <row r="367" ht="25.5" customHeight="1">
      <c r="A367" s="198">
        <f t="shared" si="3"/>
        <v>366</v>
      </c>
      <c r="B367" s="198" t="s">
        <v>61</v>
      </c>
      <c r="C367" s="27" t="s">
        <v>63</v>
      </c>
      <c r="D367" s="27" t="s">
        <v>64</v>
      </c>
      <c r="E367" s="264" t="str">
        <f t="shared" si="52"/>
        <v/>
      </c>
      <c r="F367" s="250" t="s">
        <v>60</v>
      </c>
      <c r="G367" s="266" t="s">
        <v>36</v>
      </c>
      <c r="H367" s="198" t="s">
        <v>1431</v>
      </c>
      <c r="I367" s="198" t="s">
        <v>38</v>
      </c>
      <c r="J367" s="198" t="s">
        <v>1432</v>
      </c>
      <c r="K367" s="198" t="s">
        <v>1433</v>
      </c>
      <c r="L367" s="198" t="str">
        <f t="shared" si="53"/>
        <v>Calle 10 #65a-66, limonar, Cali</v>
      </c>
      <c r="M367" s="198" t="s">
        <v>231</v>
      </c>
      <c r="N367" s="198" t="s">
        <v>233</v>
      </c>
      <c r="O367" s="27"/>
      <c r="P367" s="27"/>
      <c r="Q367" s="27" t="s">
        <v>81</v>
      </c>
      <c r="R367" s="30"/>
      <c r="S367" s="30"/>
      <c r="T367" s="30">
        <v>1.0</v>
      </c>
      <c r="U367" s="265"/>
      <c r="V367" s="265"/>
      <c r="W367" s="265"/>
      <c r="X367" s="265"/>
      <c r="Y367" s="265"/>
      <c r="Z367" s="265" t="s">
        <v>1434</v>
      </c>
      <c r="AA367" s="265"/>
      <c r="AD367" s="22"/>
      <c r="AE367" s="22"/>
      <c r="AF367" s="22"/>
      <c r="AG367" s="22"/>
      <c r="AH367" s="22"/>
      <c r="AI367" s="22"/>
      <c r="AJ367" s="22"/>
      <c r="AK367" s="22"/>
      <c r="AL367" s="22"/>
      <c r="AM367" s="22"/>
      <c r="AN367" s="22"/>
      <c r="AO367" s="22"/>
      <c r="AP367" s="22"/>
    </row>
    <row r="368" ht="25.5" customHeight="1">
      <c r="A368" s="198">
        <f t="shared" si="3"/>
        <v>367</v>
      </c>
      <c r="B368" s="198" t="s">
        <v>61</v>
      </c>
      <c r="C368" s="27" t="s">
        <v>63</v>
      </c>
      <c r="D368" s="27" t="s">
        <v>64</v>
      </c>
      <c r="E368" s="264" t="str">
        <f t="shared" si="52"/>
        <v/>
      </c>
      <c r="F368" s="30" t="s">
        <v>76</v>
      </c>
      <c r="G368" s="30" t="s">
        <v>350</v>
      </c>
      <c r="H368" s="198" t="s">
        <v>475</v>
      </c>
      <c r="I368" s="198" t="s">
        <v>38</v>
      </c>
      <c r="J368" s="198" t="s">
        <v>1435</v>
      </c>
      <c r="K368" s="198" t="s">
        <v>1436</v>
      </c>
      <c r="L368" s="198" t="str">
        <f t="shared" si="53"/>
        <v>Avenida 6bn #35-34, santa monica, Cali</v>
      </c>
      <c r="M368" s="148" t="s">
        <v>1437</v>
      </c>
      <c r="N368" s="148" t="s">
        <v>233</v>
      </c>
      <c r="O368" s="27"/>
      <c r="P368" s="27"/>
      <c r="Q368" s="27" t="s">
        <v>81</v>
      </c>
      <c r="R368" s="30"/>
      <c r="S368" s="30"/>
      <c r="T368" s="30">
        <v>1.0</v>
      </c>
      <c r="U368" s="265"/>
      <c r="V368" s="265"/>
      <c r="W368" s="265"/>
      <c r="X368" s="265"/>
      <c r="Y368" s="265"/>
      <c r="Z368" s="265" t="s">
        <v>1438</v>
      </c>
      <c r="AA368" s="265"/>
      <c r="AD368" s="22"/>
      <c r="AE368" s="22"/>
      <c r="AF368" s="22"/>
      <c r="AG368" s="22"/>
      <c r="AH368" s="22"/>
      <c r="AI368" s="22"/>
      <c r="AJ368" s="22"/>
      <c r="AK368" s="22"/>
      <c r="AL368" s="22"/>
      <c r="AM368" s="22"/>
      <c r="AN368" s="22"/>
      <c r="AO368" s="22"/>
      <c r="AP368" s="22"/>
    </row>
    <row r="369" ht="25.5" customHeight="1">
      <c r="A369" s="198">
        <f t="shared" si="3"/>
        <v>368</v>
      </c>
      <c r="B369" s="198" t="s">
        <v>61</v>
      </c>
      <c r="C369" s="27" t="s">
        <v>63</v>
      </c>
      <c r="D369" s="27" t="s">
        <v>64</v>
      </c>
      <c r="E369" s="264" t="str">
        <f t="shared" si="52"/>
        <v/>
      </c>
      <c r="F369" s="30" t="s">
        <v>116</v>
      </c>
      <c r="G369" s="30" t="s">
        <v>350</v>
      </c>
      <c r="H369" s="198" t="s">
        <v>357</v>
      </c>
      <c r="I369" s="198" t="s">
        <v>338</v>
      </c>
      <c r="J369" s="198" t="s">
        <v>1439</v>
      </c>
      <c r="K369" s="198" t="s">
        <v>1440</v>
      </c>
      <c r="L369" s="198" t="str">
        <f t="shared" si="53"/>
        <v>Cra. 1D2 # 52-109, Los andes, Cali</v>
      </c>
      <c r="M369" s="198" t="s">
        <v>231</v>
      </c>
      <c r="N369" s="198" t="s">
        <v>233</v>
      </c>
      <c r="O369" s="27"/>
      <c r="P369" s="27"/>
      <c r="Q369" s="27" t="s">
        <v>81</v>
      </c>
      <c r="R369" s="30"/>
      <c r="S369" s="30"/>
      <c r="T369" s="30">
        <v>1.0</v>
      </c>
      <c r="U369" s="265"/>
      <c r="V369" s="265"/>
      <c r="W369" s="265"/>
      <c r="X369" s="265"/>
      <c r="Y369" s="265"/>
      <c r="Z369" s="265" t="s">
        <v>1441</v>
      </c>
      <c r="AA369" s="265"/>
      <c r="AD369" s="22"/>
      <c r="AE369" s="22"/>
      <c r="AF369" s="22"/>
      <c r="AG369" s="22"/>
      <c r="AH369" s="22"/>
      <c r="AI369" s="22"/>
      <c r="AJ369" s="22"/>
      <c r="AK369" s="22"/>
      <c r="AL369" s="22"/>
      <c r="AM369" s="22"/>
      <c r="AN369" s="22"/>
      <c r="AO369" s="22"/>
      <c r="AP369" s="22"/>
    </row>
    <row r="370" ht="25.5" customHeight="1">
      <c r="A370" s="198">
        <f t="shared" si="3"/>
        <v>369</v>
      </c>
      <c r="B370" s="198" t="s">
        <v>307</v>
      </c>
      <c r="C370" s="27" t="s">
        <v>63</v>
      </c>
      <c r="D370" s="27" t="s">
        <v>64</v>
      </c>
      <c r="E370" s="264" t="str">
        <f t="shared" si="52"/>
        <v/>
      </c>
      <c r="F370" s="30" t="s">
        <v>76</v>
      </c>
      <c r="G370" s="30" t="s">
        <v>350</v>
      </c>
      <c r="H370" s="198" t="s">
        <v>475</v>
      </c>
      <c r="I370" s="198" t="s">
        <v>38</v>
      </c>
      <c r="J370" s="198" t="s">
        <v>1442</v>
      </c>
      <c r="K370" s="198"/>
      <c r="L370" s="198" t="str">
        <f t="shared" si="53"/>
        <v>Avenida 6n #28-83, santa monica, Cali</v>
      </c>
      <c r="M370" s="198" t="s">
        <v>1443</v>
      </c>
      <c r="N370" s="198" t="s">
        <v>233</v>
      </c>
      <c r="O370" s="33"/>
      <c r="P370" s="265"/>
      <c r="Q370" s="27" t="s">
        <v>81</v>
      </c>
      <c r="R370" s="30"/>
      <c r="S370" s="30"/>
      <c r="T370" s="30">
        <v>1.0</v>
      </c>
      <c r="U370" s="265"/>
      <c r="V370" s="265"/>
      <c r="W370" s="265"/>
      <c r="X370" s="265"/>
      <c r="Y370" s="265"/>
      <c r="Z370" s="265" t="s">
        <v>1444</v>
      </c>
      <c r="AA370" s="265"/>
      <c r="AD370" s="22"/>
      <c r="AE370" s="22"/>
      <c r="AF370" s="22"/>
      <c r="AG370" s="22"/>
      <c r="AH370" s="22"/>
      <c r="AI370" s="22"/>
      <c r="AJ370" s="22"/>
      <c r="AK370" s="22"/>
      <c r="AL370" s="22"/>
      <c r="AM370" s="22"/>
      <c r="AN370" s="22"/>
      <c r="AO370" s="22"/>
      <c r="AP370" s="22"/>
    </row>
    <row r="371" ht="25.5" customHeight="1">
      <c r="A371" s="27">
        <f t="shared" si="3"/>
        <v>370</v>
      </c>
      <c r="B371" s="27" t="s">
        <v>61</v>
      </c>
      <c r="C371" s="27" t="s">
        <v>279</v>
      </c>
      <c r="D371" s="27" t="s">
        <v>515</v>
      </c>
      <c r="E371" s="95" t="str">
        <f t="shared" si="52"/>
        <v/>
      </c>
      <c r="F371" s="30" t="s">
        <v>509</v>
      </c>
      <c r="G371" s="30" t="s">
        <v>443</v>
      </c>
      <c r="H371" s="27" t="s">
        <v>508</v>
      </c>
      <c r="I371" s="27" t="s">
        <v>286</v>
      </c>
      <c r="J371" s="27" t="s">
        <v>1445</v>
      </c>
      <c r="K371" s="27" t="s">
        <v>1446</v>
      </c>
      <c r="L371" s="27" t="str">
        <f t="shared" si="53"/>
        <v>Carrera 2 oeste #21-94, Vereda Atenas, Cali</v>
      </c>
      <c r="M371" s="27" t="s">
        <v>231</v>
      </c>
      <c r="N371" s="27" t="s">
        <v>233</v>
      </c>
      <c r="O371" s="33"/>
      <c r="P371" s="33"/>
      <c r="Q371" s="27" t="s">
        <v>81</v>
      </c>
      <c r="R371" s="30"/>
      <c r="S371" s="30"/>
      <c r="T371" s="30">
        <v>1.0</v>
      </c>
      <c r="U371" s="33"/>
      <c r="V371" s="33"/>
      <c r="W371" s="33"/>
      <c r="X371" s="33"/>
      <c r="Y371" s="27"/>
      <c r="Z371" s="27" t="s">
        <v>1447</v>
      </c>
      <c r="AA371" s="27"/>
      <c r="AD371" s="22"/>
      <c r="AE371" s="22"/>
      <c r="AF371" s="22"/>
      <c r="AG371" s="22"/>
      <c r="AH371" s="22"/>
      <c r="AI371" s="22"/>
      <c r="AJ371" s="22"/>
      <c r="AK371" s="22"/>
      <c r="AL371" s="22"/>
      <c r="AM371" s="22"/>
      <c r="AN371" s="22"/>
      <c r="AO371" s="22"/>
      <c r="AP371" s="22"/>
    </row>
    <row r="372" ht="25.5" customHeight="1">
      <c r="A372" s="198">
        <f t="shared" si="3"/>
        <v>371</v>
      </c>
      <c r="B372" s="198" t="s">
        <v>307</v>
      </c>
      <c r="C372" s="27" t="s">
        <v>63</v>
      </c>
      <c r="D372" s="27" t="s">
        <v>64</v>
      </c>
      <c r="E372" s="264" t="str">
        <f t="shared" si="52"/>
        <v/>
      </c>
      <c r="F372" s="250" t="s">
        <v>60</v>
      </c>
      <c r="G372" s="266" t="s">
        <v>36</v>
      </c>
      <c r="H372" s="198" t="s">
        <v>1448</v>
      </c>
      <c r="I372" s="198" t="s">
        <v>38</v>
      </c>
      <c r="J372" s="198" t="s">
        <v>1449</v>
      </c>
      <c r="K372" s="198"/>
      <c r="L372" s="198" t="str">
        <f t="shared" si="53"/>
        <v>Calle 48 #92-107, valle del lili, Cali</v>
      </c>
      <c r="M372" s="198" t="s">
        <v>1450</v>
      </c>
      <c r="N372" s="198" t="s">
        <v>233</v>
      </c>
      <c r="O372" s="33"/>
      <c r="P372" s="265"/>
      <c r="Q372" s="27" t="s">
        <v>81</v>
      </c>
      <c r="R372" s="30"/>
      <c r="S372" s="30"/>
      <c r="T372" s="30">
        <v>1.0</v>
      </c>
      <c r="U372" s="265"/>
      <c r="V372" s="265"/>
      <c r="W372" s="265"/>
      <c r="X372" s="265"/>
      <c r="Y372" s="265"/>
      <c r="Z372" s="265" t="s">
        <v>1451</v>
      </c>
      <c r="AA372" s="265"/>
      <c r="AD372" s="22"/>
      <c r="AE372" s="22"/>
      <c r="AF372" s="22"/>
      <c r="AG372" s="22"/>
      <c r="AH372" s="22"/>
      <c r="AI372" s="22"/>
      <c r="AJ372" s="22"/>
      <c r="AK372" s="22"/>
      <c r="AL372" s="22"/>
      <c r="AM372" s="22"/>
      <c r="AN372" s="22"/>
      <c r="AO372" s="22"/>
      <c r="AP372" s="22"/>
    </row>
    <row r="373" ht="25.5" customHeight="1">
      <c r="A373" s="198">
        <f t="shared" si="3"/>
        <v>372</v>
      </c>
      <c r="B373" s="198" t="s">
        <v>61</v>
      </c>
      <c r="C373" s="27" t="s">
        <v>63</v>
      </c>
      <c r="D373" s="27" t="s">
        <v>64</v>
      </c>
      <c r="E373" s="264" t="str">
        <f t="shared" si="52"/>
        <v/>
      </c>
      <c r="F373" s="30" t="s">
        <v>35</v>
      </c>
      <c r="G373" s="266" t="s">
        <v>36</v>
      </c>
      <c r="H373" s="198" t="s">
        <v>1452</v>
      </c>
      <c r="I373" s="198" t="s">
        <v>38</v>
      </c>
      <c r="J373" s="198" t="s">
        <v>1453</v>
      </c>
      <c r="K373" s="198" t="s">
        <v>1454</v>
      </c>
      <c r="L373" s="198" t="str">
        <f t="shared" si="53"/>
        <v>Calle 1c #66b-100, el refugio, Cali</v>
      </c>
      <c r="M373" s="198" t="s">
        <v>231</v>
      </c>
      <c r="N373" s="198" t="s">
        <v>233</v>
      </c>
      <c r="O373" s="33"/>
      <c r="P373" s="33"/>
      <c r="Q373" s="27" t="s">
        <v>81</v>
      </c>
      <c r="R373" s="30"/>
      <c r="S373" s="30"/>
      <c r="T373" s="30">
        <v>1.0</v>
      </c>
      <c r="U373" s="265"/>
      <c r="V373" s="265"/>
      <c r="W373" s="265"/>
      <c r="X373" s="265"/>
      <c r="Y373" s="265"/>
      <c r="Z373" s="265" t="s">
        <v>1455</v>
      </c>
      <c r="AA373" s="265"/>
      <c r="AD373" s="22"/>
      <c r="AE373" s="22"/>
      <c r="AF373" s="22"/>
      <c r="AG373" s="22"/>
      <c r="AH373" s="22"/>
      <c r="AI373" s="22"/>
      <c r="AJ373" s="22"/>
      <c r="AK373" s="22"/>
      <c r="AL373" s="22"/>
      <c r="AM373" s="22"/>
      <c r="AN373" s="22"/>
      <c r="AO373" s="22"/>
      <c r="AP373" s="22"/>
    </row>
    <row r="374" ht="25.5" customHeight="1">
      <c r="A374" s="198">
        <f t="shared" si="3"/>
        <v>373</v>
      </c>
      <c r="B374" s="198" t="s">
        <v>61</v>
      </c>
      <c r="C374" s="27" t="s">
        <v>63</v>
      </c>
      <c r="D374" s="27" t="s">
        <v>64</v>
      </c>
      <c r="E374" s="264" t="str">
        <f t="shared" si="52"/>
        <v/>
      </c>
      <c r="F374" s="30" t="s">
        <v>70</v>
      </c>
      <c r="G374" s="30" t="s">
        <v>36</v>
      </c>
      <c r="H374" s="198" t="s">
        <v>211</v>
      </c>
      <c r="I374" s="198" t="s">
        <v>38</v>
      </c>
      <c r="J374" s="198" t="s">
        <v>1456</v>
      </c>
      <c r="K374" s="198"/>
      <c r="L374" s="198" t="str">
        <f t="shared" si="53"/>
        <v>Calle 12a #29b-78, Colseguros, Cali</v>
      </c>
      <c r="M374" s="198" t="s">
        <v>231</v>
      </c>
      <c r="N374" s="198" t="s">
        <v>233</v>
      </c>
      <c r="O374" s="208"/>
      <c r="P374" s="208"/>
      <c r="Q374" s="27" t="s">
        <v>81</v>
      </c>
      <c r="R374" s="30"/>
      <c r="S374" s="30"/>
      <c r="T374" s="30">
        <v>1.0</v>
      </c>
      <c r="U374" s="265"/>
      <c r="V374" s="265"/>
      <c r="W374" s="265"/>
      <c r="X374" s="265"/>
      <c r="Y374" s="265"/>
      <c r="Z374" s="265" t="s">
        <v>1457</v>
      </c>
      <c r="AA374" s="265"/>
      <c r="AD374" s="22"/>
      <c r="AE374" s="22"/>
      <c r="AF374" s="22"/>
      <c r="AG374" s="22"/>
      <c r="AH374" s="22"/>
      <c r="AI374" s="22"/>
      <c r="AJ374" s="22"/>
      <c r="AK374" s="22"/>
      <c r="AL374" s="22"/>
      <c r="AM374" s="22"/>
      <c r="AN374" s="22"/>
      <c r="AO374" s="22"/>
      <c r="AP374" s="22"/>
    </row>
    <row r="375" ht="25.5" customHeight="1">
      <c r="A375" s="198">
        <f t="shared" si="3"/>
        <v>374</v>
      </c>
      <c r="B375" s="198" t="s">
        <v>61</v>
      </c>
      <c r="C375" s="27" t="s">
        <v>63</v>
      </c>
      <c r="D375" s="27" t="s">
        <v>64</v>
      </c>
      <c r="E375" s="264" t="str">
        <f t="shared" si="52"/>
        <v/>
      </c>
      <c r="F375" s="30" t="s">
        <v>76</v>
      </c>
      <c r="G375" s="30" t="s">
        <v>350</v>
      </c>
      <c r="H375" s="198" t="s">
        <v>475</v>
      </c>
      <c r="I375" s="198" t="s">
        <v>38</v>
      </c>
      <c r="J375" s="198" t="s">
        <v>1458</v>
      </c>
      <c r="K375" s="198" t="s">
        <v>1459</v>
      </c>
      <c r="L375" s="198" t="str">
        <f t="shared" si="53"/>
        <v>Avenida 10n #21-06, santa monica, Cali</v>
      </c>
      <c r="M375" s="198" t="s">
        <v>231</v>
      </c>
      <c r="N375" s="198" t="s">
        <v>233</v>
      </c>
      <c r="O375" s="208"/>
      <c r="P375" s="208"/>
      <c r="Q375" s="27" t="s">
        <v>81</v>
      </c>
      <c r="R375" s="30"/>
      <c r="S375" s="30"/>
      <c r="T375" s="30">
        <v>1.0</v>
      </c>
      <c r="U375" s="265"/>
      <c r="V375" s="265"/>
      <c r="W375" s="265"/>
      <c r="X375" s="265"/>
      <c r="Y375" s="265"/>
      <c r="Z375" s="265" t="s">
        <v>1460</v>
      </c>
      <c r="AA375" s="265"/>
      <c r="AD375" s="22"/>
      <c r="AE375" s="22"/>
      <c r="AF375" s="22"/>
      <c r="AG375" s="22"/>
      <c r="AH375" s="22"/>
      <c r="AI375" s="22"/>
      <c r="AJ375" s="22"/>
      <c r="AK375" s="22"/>
      <c r="AL375" s="22"/>
      <c r="AM375" s="22"/>
      <c r="AN375" s="22"/>
      <c r="AO375" s="22"/>
      <c r="AP375" s="22"/>
    </row>
    <row r="376" ht="25.5" customHeight="1">
      <c r="A376" s="198">
        <f t="shared" si="3"/>
        <v>375</v>
      </c>
      <c r="B376" s="198" t="s">
        <v>61</v>
      </c>
      <c r="C376" s="27" t="s">
        <v>63</v>
      </c>
      <c r="D376" s="27" t="s">
        <v>64</v>
      </c>
      <c r="E376" s="264" t="str">
        <f t="shared" si="52"/>
        <v/>
      </c>
      <c r="F376" s="30" t="s">
        <v>76</v>
      </c>
      <c r="G376" s="30" t="s">
        <v>350</v>
      </c>
      <c r="H376" s="198" t="s">
        <v>475</v>
      </c>
      <c r="I376" s="198" t="s">
        <v>38</v>
      </c>
      <c r="J376" s="198" t="s">
        <v>1461</v>
      </c>
      <c r="K376" s="198" t="s">
        <v>1462</v>
      </c>
      <c r="L376" s="198" t="str">
        <f t="shared" si="53"/>
        <v>Calle 23n #6an-17, santa monica, Cali</v>
      </c>
      <c r="M376" s="198" t="s">
        <v>231</v>
      </c>
      <c r="N376" s="198" t="s">
        <v>233</v>
      </c>
      <c r="O376" s="268"/>
      <c r="P376" s="268"/>
      <c r="Q376" s="27" t="s">
        <v>81</v>
      </c>
      <c r="R376" s="30"/>
      <c r="S376" s="30"/>
      <c r="T376" s="30">
        <v>1.0</v>
      </c>
      <c r="U376" s="265"/>
      <c r="V376" s="265"/>
      <c r="W376" s="265"/>
      <c r="X376" s="265"/>
      <c r="Y376" s="265"/>
      <c r="Z376" s="265" t="s">
        <v>1463</v>
      </c>
      <c r="AA376" s="265"/>
      <c r="AD376" s="22"/>
      <c r="AE376" s="22"/>
      <c r="AF376" s="22"/>
      <c r="AG376" s="22"/>
      <c r="AH376" s="22"/>
      <c r="AI376" s="22"/>
      <c r="AJ376" s="22"/>
      <c r="AK376" s="22"/>
      <c r="AL376" s="22"/>
      <c r="AM376" s="22"/>
      <c r="AN376" s="22"/>
      <c r="AO376" s="22"/>
      <c r="AP376" s="22"/>
    </row>
    <row r="377" ht="25.5" customHeight="1">
      <c r="A377" s="198">
        <f t="shared" si="3"/>
        <v>376</v>
      </c>
      <c r="B377" s="198" t="s">
        <v>61</v>
      </c>
      <c r="C377" s="27" t="s">
        <v>63</v>
      </c>
      <c r="D377" s="27" t="s">
        <v>64</v>
      </c>
      <c r="E377" s="264" t="str">
        <f t="shared" si="52"/>
        <v/>
      </c>
      <c r="F377" s="30" t="s">
        <v>76</v>
      </c>
      <c r="G377" s="30" t="s">
        <v>350</v>
      </c>
      <c r="H377" s="198" t="s">
        <v>1424</v>
      </c>
      <c r="I377" s="198" t="s">
        <v>38</v>
      </c>
      <c r="J377" s="198" t="s">
        <v>1464</v>
      </c>
      <c r="K377" s="198" t="s">
        <v>1465</v>
      </c>
      <c r="L377" s="198" t="str">
        <f t="shared" si="53"/>
        <v>Avenida 3n #23bn-43, san vicente, Cali</v>
      </c>
      <c r="M377" s="148" t="s">
        <v>1466</v>
      </c>
      <c r="N377" s="148" t="s">
        <v>233</v>
      </c>
      <c r="O377" s="268"/>
      <c r="P377" s="268"/>
      <c r="Q377" s="27" t="s">
        <v>81</v>
      </c>
      <c r="R377" s="30"/>
      <c r="S377" s="30"/>
      <c r="T377" s="30">
        <v>1.0</v>
      </c>
      <c r="U377" s="265"/>
      <c r="V377" s="265"/>
      <c r="W377" s="265"/>
      <c r="X377" s="265"/>
      <c r="Y377" s="265"/>
      <c r="Z377" s="265" t="s">
        <v>1467</v>
      </c>
      <c r="AA377" s="265"/>
      <c r="AD377" s="22"/>
      <c r="AE377" s="22"/>
      <c r="AF377" s="22"/>
      <c r="AG377" s="22"/>
      <c r="AH377" s="22"/>
      <c r="AI377" s="22"/>
      <c r="AJ377" s="22"/>
      <c r="AK377" s="22"/>
      <c r="AL377" s="22"/>
      <c r="AM377" s="22"/>
      <c r="AN377" s="22"/>
      <c r="AO377" s="22"/>
      <c r="AP377" s="22"/>
    </row>
    <row r="378" ht="25.5" customHeight="1">
      <c r="A378" s="198">
        <f t="shared" si="3"/>
        <v>377</v>
      </c>
      <c r="B378" s="198" t="s">
        <v>61</v>
      </c>
      <c r="C378" s="27" t="s">
        <v>63</v>
      </c>
      <c r="D378" s="27" t="s">
        <v>64</v>
      </c>
      <c r="E378" s="264" t="str">
        <f t="shared" si="52"/>
        <v/>
      </c>
      <c r="F378" s="250" t="s">
        <v>102</v>
      </c>
      <c r="G378" s="266" t="s">
        <v>36</v>
      </c>
      <c r="H378" s="198" t="s">
        <v>332</v>
      </c>
      <c r="I378" s="198" t="s">
        <v>286</v>
      </c>
      <c r="J378" s="198" t="s">
        <v>1468</v>
      </c>
      <c r="K378" s="198"/>
      <c r="L378" s="198" t="str">
        <f t="shared" si="53"/>
        <v>Calle 25 #127-100, La viga-pance, Cali</v>
      </c>
      <c r="M378" s="198" t="s">
        <v>231</v>
      </c>
      <c r="N378" s="198" t="s">
        <v>233</v>
      </c>
      <c r="O378" s="268"/>
      <c r="P378" s="268"/>
      <c r="Q378" s="27" t="s">
        <v>81</v>
      </c>
      <c r="R378" s="30"/>
      <c r="S378" s="30"/>
      <c r="T378" s="30">
        <v>1.0</v>
      </c>
      <c r="U378" s="265"/>
      <c r="V378" s="265"/>
      <c r="W378" s="265"/>
      <c r="X378" s="265"/>
      <c r="Y378" s="265"/>
      <c r="Z378" s="265" t="s">
        <v>1469</v>
      </c>
      <c r="AA378" s="265"/>
      <c r="AD378" s="22"/>
      <c r="AE378" s="22"/>
      <c r="AF378" s="22"/>
      <c r="AG378" s="22"/>
      <c r="AH378" s="22"/>
      <c r="AI378" s="22"/>
      <c r="AJ378" s="22"/>
      <c r="AK378" s="22"/>
      <c r="AL378" s="22"/>
      <c r="AM378" s="22"/>
      <c r="AN378" s="22"/>
      <c r="AO378" s="22"/>
      <c r="AP378" s="22"/>
    </row>
    <row r="379" ht="25.5" customHeight="1">
      <c r="A379" s="198">
        <f t="shared" si="3"/>
        <v>378</v>
      </c>
      <c r="B379" s="198" t="s">
        <v>61</v>
      </c>
      <c r="C379" s="27" t="s">
        <v>63</v>
      </c>
      <c r="D379" s="27" t="s">
        <v>64</v>
      </c>
      <c r="E379" s="264" t="str">
        <f t="shared" si="52"/>
        <v/>
      </c>
      <c r="F379" s="250" t="s">
        <v>121</v>
      </c>
      <c r="G379" s="266" t="s">
        <v>426</v>
      </c>
      <c r="H379" s="198" t="s">
        <v>477</v>
      </c>
      <c r="I379" s="198" t="s">
        <v>38</v>
      </c>
      <c r="J379" s="198" t="s">
        <v>1470</v>
      </c>
      <c r="K379" s="198" t="s">
        <v>1471</v>
      </c>
      <c r="L379" s="198" t="str">
        <f t="shared" si="53"/>
        <v>Carrera 24b #33c-150, santa monica popular, Cali</v>
      </c>
      <c r="M379" s="198" t="s">
        <v>231</v>
      </c>
      <c r="N379" s="198" t="s">
        <v>233</v>
      </c>
      <c r="O379" s="268"/>
      <c r="P379" s="268"/>
      <c r="Q379" s="27" t="s">
        <v>81</v>
      </c>
      <c r="R379" s="30"/>
      <c r="S379" s="30"/>
      <c r="T379" s="30">
        <v>1.0</v>
      </c>
      <c r="U379" s="265"/>
      <c r="V379" s="265"/>
      <c r="W379" s="265"/>
      <c r="X379" s="265"/>
      <c r="Y379" s="265"/>
      <c r="Z379" s="265" t="s">
        <v>1472</v>
      </c>
      <c r="AA379" s="265"/>
      <c r="AD379" s="22"/>
      <c r="AE379" s="22"/>
      <c r="AF379" s="22"/>
      <c r="AG379" s="22"/>
      <c r="AH379" s="22"/>
      <c r="AI379" s="22"/>
      <c r="AJ379" s="22"/>
      <c r="AK379" s="22"/>
      <c r="AL379" s="22"/>
      <c r="AM379" s="22"/>
      <c r="AN379" s="22"/>
      <c r="AO379" s="22"/>
      <c r="AP379" s="22"/>
    </row>
    <row r="380" ht="25.5" customHeight="1">
      <c r="A380" s="198">
        <f t="shared" si="3"/>
        <v>379</v>
      </c>
      <c r="B380" s="198" t="s">
        <v>61</v>
      </c>
      <c r="C380" s="27" t="s">
        <v>63</v>
      </c>
      <c r="D380" s="27" t="s">
        <v>64</v>
      </c>
      <c r="E380" s="264" t="str">
        <f t="shared" si="52"/>
        <v/>
      </c>
      <c r="F380" s="30" t="s">
        <v>70</v>
      </c>
      <c r="G380" s="30" t="s">
        <v>36</v>
      </c>
      <c r="H380" s="198" t="s">
        <v>1473</v>
      </c>
      <c r="I380" s="198" t="s">
        <v>286</v>
      </c>
      <c r="J380" s="198" t="s">
        <v>1474</v>
      </c>
      <c r="K380" s="198"/>
      <c r="L380" s="198" t="str">
        <f t="shared" si="53"/>
        <v>Carrera 46a #12-36, panamericano, Cali</v>
      </c>
      <c r="M380" s="198" t="s">
        <v>231</v>
      </c>
      <c r="N380" s="198" t="s">
        <v>233</v>
      </c>
      <c r="O380" s="268"/>
      <c r="P380" s="268"/>
      <c r="Q380" s="27" t="s">
        <v>81</v>
      </c>
      <c r="R380" s="30"/>
      <c r="S380" s="30"/>
      <c r="T380" s="30">
        <v>1.0</v>
      </c>
      <c r="U380" s="265"/>
      <c r="V380" s="265"/>
      <c r="W380" s="265"/>
      <c r="X380" s="265"/>
      <c r="Y380" s="265"/>
      <c r="Z380" s="265" t="s">
        <v>1475</v>
      </c>
      <c r="AA380" s="265"/>
      <c r="AD380" s="22"/>
      <c r="AE380" s="22"/>
      <c r="AF380" s="22"/>
      <c r="AG380" s="22"/>
      <c r="AH380" s="22"/>
      <c r="AI380" s="22"/>
      <c r="AJ380" s="22"/>
      <c r="AK380" s="22"/>
      <c r="AL380" s="22"/>
      <c r="AM380" s="22"/>
      <c r="AN380" s="22"/>
      <c r="AO380" s="22"/>
      <c r="AP380" s="22"/>
    </row>
    <row r="381" ht="25.5" customHeight="1">
      <c r="A381" s="198">
        <f t="shared" si="3"/>
        <v>380</v>
      </c>
      <c r="B381" s="198" t="s">
        <v>307</v>
      </c>
      <c r="C381" s="27" t="s">
        <v>63</v>
      </c>
      <c r="D381" s="27" t="s">
        <v>64</v>
      </c>
      <c r="E381" s="264" t="str">
        <f t="shared" si="52"/>
        <v/>
      </c>
      <c r="F381" s="30" t="s">
        <v>35</v>
      </c>
      <c r="G381" s="30" t="s">
        <v>36</v>
      </c>
      <c r="H381" s="198" t="s">
        <v>275</v>
      </c>
      <c r="I381" s="198" t="s">
        <v>286</v>
      </c>
      <c r="J381" s="198" t="s">
        <v>1476</v>
      </c>
      <c r="K381" s="198"/>
      <c r="L381" s="198" t="str">
        <f t="shared" si="53"/>
        <v>Calle 9 #38-06, Eucarístico, Cali</v>
      </c>
      <c r="M381" s="198" t="s">
        <v>1477</v>
      </c>
      <c r="N381" s="198" t="s">
        <v>41</v>
      </c>
      <c r="O381" s="268"/>
      <c r="P381" s="268"/>
      <c r="Q381" s="27" t="s">
        <v>81</v>
      </c>
      <c r="R381" s="30">
        <v>1.0</v>
      </c>
      <c r="S381" s="30"/>
      <c r="T381" s="30"/>
      <c r="U381" s="265"/>
      <c r="V381" s="265"/>
      <c r="W381" s="265"/>
      <c r="X381" s="265"/>
      <c r="Y381" s="265"/>
      <c r="Z381" s="265" t="s">
        <v>1478</v>
      </c>
      <c r="AA381" s="265"/>
      <c r="AD381" s="22"/>
      <c r="AE381" s="22"/>
      <c r="AF381" s="22"/>
      <c r="AG381" s="22"/>
      <c r="AH381" s="22"/>
      <c r="AI381" s="22"/>
      <c r="AJ381" s="22"/>
      <c r="AK381" s="22"/>
      <c r="AL381" s="22"/>
      <c r="AM381" s="22"/>
      <c r="AN381" s="22"/>
      <c r="AO381" s="22"/>
      <c r="AP381" s="22"/>
    </row>
    <row r="382" ht="25.5" customHeight="1">
      <c r="A382" s="198">
        <f t="shared" si="3"/>
        <v>381</v>
      </c>
      <c r="B382" s="198" t="s">
        <v>61</v>
      </c>
      <c r="C382" s="27" t="s">
        <v>63</v>
      </c>
      <c r="D382" s="27" t="s">
        <v>64</v>
      </c>
      <c r="E382" s="264" t="str">
        <f t="shared" si="52"/>
        <v/>
      </c>
      <c r="F382" s="30" t="s">
        <v>70</v>
      </c>
      <c r="G382" s="30" t="s">
        <v>36</v>
      </c>
      <c r="H382" s="198" t="s">
        <v>232</v>
      </c>
      <c r="I382" s="198" t="s">
        <v>38</v>
      </c>
      <c r="J382" s="198" t="s">
        <v>1479</v>
      </c>
      <c r="K382" s="198"/>
      <c r="L382" s="198" t="str">
        <f t="shared" si="53"/>
        <v>Calle 10A # 49A - 11, Departamental, Cali</v>
      </c>
      <c r="M382" s="198" t="s">
        <v>231</v>
      </c>
      <c r="N382" s="198" t="s">
        <v>233</v>
      </c>
      <c r="O382" s="268"/>
      <c r="P382" s="268"/>
      <c r="Q382" s="27" t="s">
        <v>81</v>
      </c>
      <c r="R382" s="30"/>
      <c r="S382" s="30"/>
      <c r="T382" s="30">
        <v>1.0</v>
      </c>
      <c r="U382" s="265"/>
      <c r="V382" s="265"/>
      <c r="W382" s="265"/>
      <c r="X382" s="265"/>
      <c r="Y382" s="265"/>
      <c r="Z382" s="265" t="s">
        <v>1480</v>
      </c>
      <c r="AA382" s="265"/>
      <c r="AD382" s="22"/>
      <c r="AE382" s="22"/>
      <c r="AF382" s="22"/>
      <c r="AG382" s="22"/>
      <c r="AH382" s="22"/>
      <c r="AI382" s="22"/>
      <c r="AJ382" s="22"/>
      <c r="AK382" s="22"/>
      <c r="AL382" s="22"/>
      <c r="AM382" s="22"/>
      <c r="AN382" s="22"/>
      <c r="AO382" s="22"/>
      <c r="AP382" s="22"/>
    </row>
    <row r="383" ht="25.5" customHeight="1">
      <c r="A383" s="198">
        <f t="shared" si="3"/>
        <v>382</v>
      </c>
      <c r="B383" s="198" t="s">
        <v>61</v>
      </c>
      <c r="C383" s="27" t="s">
        <v>63</v>
      </c>
      <c r="D383" s="27" t="s">
        <v>64</v>
      </c>
      <c r="E383" s="264" t="str">
        <f t="shared" si="52"/>
        <v/>
      </c>
      <c r="F383" s="250" t="s">
        <v>128</v>
      </c>
      <c r="G383" s="266" t="s">
        <v>36</v>
      </c>
      <c r="H383" s="198" t="s">
        <v>1481</v>
      </c>
      <c r="I383" s="198" t="s">
        <v>286</v>
      </c>
      <c r="J383" s="198" t="s">
        <v>1482</v>
      </c>
      <c r="K383" s="198"/>
      <c r="L383" s="198" t="str">
        <f t="shared" si="53"/>
        <v>Carrera 33 #10-39, colseguros, Cali</v>
      </c>
      <c r="M383" s="154" t="s">
        <v>1483</v>
      </c>
      <c r="N383" s="154" t="s">
        <v>233</v>
      </c>
      <c r="O383" s="268"/>
      <c r="P383" s="268"/>
      <c r="Q383" s="27" t="s">
        <v>81</v>
      </c>
      <c r="R383" s="30"/>
      <c r="S383" s="30"/>
      <c r="T383" s="30">
        <v>1.0</v>
      </c>
      <c r="U383" s="265"/>
      <c r="V383" s="265"/>
      <c r="W383" s="265"/>
      <c r="X383" s="265"/>
      <c r="Y383" s="265"/>
      <c r="Z383" s="265" t="s">
        <v>1484</v>
      </c>
      <c r="AA383" s="265"/>
      <c r="AD383" s="22"/>
      <c r="AE383" s="22"/>
      <c r="AF383" s="22"/>
      <c r="AG383" s="22"/>
      <c r="AH383" s="22"/>
      <c r="AI383" s="22"/>
      <c r="AJ383" s="22"/>
      <c r="AK383" s="22"/>
      <c r="AL383" s="22"/>
      <c r="AM383" s="22"/>
      <c r="AN383" s="22"/>
      <c r="AO383" s="22"/>
      <c r="AP383" s="22"/>
    </row>
    <row r="384" ht="25.5" customHeight="1">
      <c r="A384" s="198">
        <f t="shared" si="3"/>
        <v>383</v>
      </c>
      <c r="B384" s="198" t="s">
        <v>61</v>
      </c>
      <c r="C384" s="27" t="s">
        <v>63</v>
      </c>
      <c r="D384" s="27" t="s">
        <v>64</v>
      </c>
      <c r="E384" s="264" t="str">
        <f t="shared" si="52"/>
        <v/>
      </c>
      <c r="F384" s="30" t="s">
        <v>35</v>
      </c>
      <c r="G384" s="266" t="s">
        <v>939</v>
      </c>
      <c r="H384" s="198" t="s">
        <v>137</v>
      </c>
      <c r="I384" s="198" t="s">
        <v>38</v>
      </c>
      <c r="J384" s="198" t="s">
        <v>1485</v>
      </c>
      <c r="K384" s="198" t="s">
        <v>1486</v>
      </c>
      <c r="L384" s="198" t="str">
        <f t="shared" si="53"/>
        <v>Calle 8 oeste #4-32, Bellavista, Cali</v>
      </c>
      <c r="M384" s="148" t="s">
        <v>1487</v>
      </c>
      <c r="N384" s="148" t="s">
        <v>233</v>
      </c>
      <c r="O384" s="268"/>
      <c r="P384" s="268"/>
      <c r="Q384" s="27" t="s">
        <v>81</v>
      </c>
      <c r="R384" s="30"/>
      <c r="S384" s="30"/>
      <c r="T384" s="30">
        <v>1.0</v>
      </c>
      <c r="U384" s="265"/>
      <c r="V384" s="265"/>
      <c r="W384" s="265"/>
      <c r="X384" s="265"/>
      <c r="Y384" s="265"/>
      <c r="Z384" s="265" t="s">
        <v>1488</v>
      </c>
      <c r="AA384" s="265"/>
      <c r="AD384" s="22"/>
      <c r="AE384" s="22"/>
      <c r="AF384" s="22"/>
      <c r="AG384" s="22"/>
      <c r="AH384" s="22"/>
      <c r="AI384" s="22"/>
      <c r="AJ384" s="22"/>
      <c r="AK384" s="22"/>
      <c r="AL384" s="22"/>
      <c r="AM384" s="22"/>
      <c r="AN384" s="22"/>
      <c r="AO384" s="22"/>
      <c r="AP384" s="22"/>
    </row>
    <row r="385" ht="25.5" customHeight="1">
      <c r="A385" s="198">
        <f t="shared" si="3"/>
        <v>384</v>
      </c>
      <c r="B385" s="198" t="s">
        <v>61</v>
      </c>
      <c r="C385" s="27" t="s">
        <v>63</v>
      </c>
      <c r="D385" s="27" t="s">
        <v>64</v>
      </c>
      <c r="E385" s="264" t="str">
        <f t="shared" si="52"/>
        <v/>
      </c>
      <c r="F385" s="30" t="s">
        <v>76</v>
      </c>
      <c r="G385" s="30" t="s">
        <v>350</v>
      </c>
      <c r="H385" s="198" t="s">
        <v>475</v>
      </c>
      <c r="I385" s="198" t="s">
        <v>38</v>
      </c>
      <c r="J385" s="198" t="s">
        <v>1489</v>
      </c>
      <c r="K385" s="198" t="s">
        <v>1490</v>
      </c>
      <c r="L385" s="198" t="str">
        <f t="shared" si="53"/>
        <v>Avenida 8 n #46n-27, santa monica, Cali</v>
      </c>
      <c r="M385" s="198" t="s">
        <v>231</v>
      </c>
      <c r="N385" s="198" t="s">
        <v>233</v>
      </c>
      <c r="O385" s="268"/>
      <c r="P385" s="268"/>
      <c r="Q385" s="27" t="s">
        <v>81</v>
      </c>
      <c r="R385" s="30"/>
      <c r="S385" s="30"/>
      <c r="T385" s="30">
        <v>1.0</v>
      </c>
      <c r="U385" s="265"/>
      <c r="V385" s="265"/>
      <c r="W385" s="265"/>
      <c r="X385" s="265"/>
      <c r="Y385" s="265"/>
      <c r="Z385" s="265" t="s">
        <v>1491</v>
      </c>
      <c r="AA385" s="265"/>
      <c r="AD385" s="22"/>
      <c r="AE385" s="22"/>
      <c r="AF385" s="22"/>
      <c r="AG385" s="22"/>
      <c r="AH385" s="22"/>
      <c r="AI385" s="22"/>
      <c r="AJ385" s="22"/>
      <c r="AK385" s="22"/>
      <c r="AL385" s="22"/>
      <c r="AM385" s="22"/>
      <c r="AN385" s="22"/>
      <c r="AO385" s="22"/>
      <c r="AP385" s="22"/>
    </row>
    <row r="386" ht="25.5" customHeight="1">
      <c r="A386" s="198">
        <f t="shared" si="3"/>
        <v>385</v>
      </c>
      <c r="B386" s="198" t="s">
        <v>61</v>
      </c>
      <c r="C386" s="27" t="s">
        <v>63</v>
      </c>
      <c r="D386" s="27" t="s">
        <v>64</v>
      </c>
      <c r="E386" s="264" t="str">
        <f t="shared" si="52"/>
        <v/>
      </c>
      <c r="F386" s="30" t="s">
        <v>76</v>
      </c>
      <c r="G386" s="30" t="s">
        <v>350</v>
      </c>
      <c r="H386" s="198" t="s">
        <v>1095</v>
      </c>
      <c r="I386" s="198" t="s">
        <v>38</v>
      </c>
      <c r="J386" s="198" t="s">
        <v>1492</v>
      </c>
      <c r="K386" s="198" t="s">
        <v>1493</v>
      </c>
      <c r="L386" s="198" t="str">
        <f t="shared" si="53"/>
        <v>Calle 48n #con avenida 4, la flora, Cali</v>
      </c>
      <c r="M386" s="198" t="s">
        <v>231</v>
      </c>
      <c r="N386" s="198" t="s">
        <v>233</v>
      </c>
      <c r="O386" s="268"/>
      <c r="P386" s="268"/>
      <c r="Q386" s="27" t="s">
        <v>81</v>
      </c>
      <c r="R386" s="30"/>
      <c r="S386" s="30"/>
      <c r="T386" s="30">
        <v>1.0</v>
      </c>
      <c r="U386" s="265"/>
      <c r="V386" s="265"/>
      <c r="W386" s="265"/>
      <c r="X386" s="265"/>
      <c r="Y386" s="265"/>
      <c r="Z386" s="265" t="s">
        <v>1494</v>
      </c>
      <c r="AA386" s="265"/>
      <c r="AD386" s="22"/>
      <c r="AE386" s="22"/>
      <c r="AF386" s="22"/>
      <c r="AG386" s="22"/>
      <c r="AH386" s="22"/>
      <c r="AI386" s="22"/>
      <c r="AJ386" s="22"/>
      <c r="AK386" s="22"/>
      <c r="AL386" s="22"/>
      <c r="AM386" s="22"/>
      <c r="AN386" s="22"/>
      <c r="AO386" s="22"/>
      <c r="AP386" s="22"/>
    </row>
    <row r="387" ht="25.5" customHeight="1">
      <c r="A387" s="198">
        <f t="shared" si="3"/>
        <v>386</v>
      </c>
      <c r="B387" s="198" t="s">
        <v>61</v>
      </c>
      <c r="C387" s="27" t="s">
        <v>63</v>
      </c>
      <c r="D387" s="27" t="s">
        <v>64</v>
      </c>
      <c r="E387" s="264" t="str">
        <f t="shared" si="52"/>
        <v/>
      </c>
      <c r="F387" s="30" t="s">
        <v>35</v>
      </c>
      <c r="G387" s="266" t="s">
        <v>36</v>
      </c>
      <c r="H387" s="198" t="s">
        <v>1321</v>
      </c>
      <c r="I387" s="198" t="s">
        <v>38</v>
      </c>
      <c r="J387" s="198" t="s">
        <v>1495</v>
      </c>
      <c r="K387" s="198" t="s">
        <v>1496</v>
      </c>
      <c r="L387" s="198" t="str">
        <f t="shared" si="53"/>
        <v>Calle 3 #63-34, pampalinda, Cali</v>
      </c>
      <c r="M387" s="198" t="s">
        <v>231</v>
      </c>
      <c r="N387" s="198" t="s">
        <v>233</v>
      </c>
      <c r="O387" s="268"/>
      <c r="P387" s="268"/>
      <c r="Q387" s="27" t="s">
        <v>81</v>
      </c>
      <c r="R387" s="30"/>
      <c r="S387" s="30"/>
      <c r="T387" s="30">
        <v>1.0</v>
      </c>
      <c r="U387" s="265"/>
      <c r="V387" s="265"/>
      <c r="W387" s="265"/>
      <c r="X387" s="265"/>
      <c r="Y387" s="265"/>
      <c r="Z387" s="265" t="s">
        <v>1497</v>
      </c>
      <c r="AA387" s="265"/>
      <c r="AD387" s="22"/>
      <c r="AE387" s="22"/>
      <c r="AF387" s="22"/>
      <c r="AG387" s="22"/>
      <c r="AH387" s="22"/>
      <c r="AI387" s="22"/>
      <c r="AJ387" s="22"/>
      <c r="AK387" s="22"/>
      <c r="AL387" s="22"/>
      <c r="AM387" s="22"/>
      <c r="AN387" s="22"/>
      <c r="AO387" s="22"/>
      <c r="AP387" s="22"/>
    </row>
    <row r="388" ht="25.5" customHeight="1">
      <c r="A388" s="198">
        <f t="shared" si="3"/>
        <v>387</v>
      </c>
      <c r="B388" s="198" t="s">
        <v>61</v>
      </c>
      <c r="C388" s="27" t="s">
        <v>63</v>
      </c>
      <c r="D388" s="27" t="s">
        <v>64</v>
      </c>
      <c r="E388" s="264" t="str">
        <f t="shared" si="52"/>
        <v/>
      </c>
      <c r="F388" s="30" t="s">
        <v>88</v>
      </c>
      <c r="G388" s="30" t="s">
        <v>426</v>
      </c>
      <c r="H388" s="198" t="s">
        <v>244</v>
      </c>
      <c r="I388" s="198" t="s">
        <v>286</v>
      </c>
      <c r="J388" s="198" t="s">
        <v>1498</v>
      </c>
      <c r="K388" s="198"/>
      <c r="L388" s="198" t="str">
        <f t="shared" si="53"/>
        <v>Carrera 33b #27-43, El Jardin, Cali</v>
      </c>
      <c r="M388" s="198" t="s">
        <v>231</v>
      </c>
      <c r="N388" s="198" t="s">
        <v>233</v>
      </c>
      <c r="O388" s="268"/>
      <c r="P388" s="268"/>
      <c r="Q388" s="27" t="s">
        <v>81</v>
      </c>
      <c r="R388" s="30"/>
      <c r="S388" s="30"/>
      <c r="T388" s="30">
        <v>1.0</v>
      </c>
      <c r="U388" s="265"/>
      <c r="V388" s="265"/>
      <c r="W388" s="265"/>
      <c r="X388" s="265"/>
      <c r="Y388" s="265"/>
      <c r="Z388" s="265" t="s">
        <v>1499</v>
      </c>
      <c r="AA388" s="265"/>
      <c r="AD388" s="22"/>
      <c r="AE388" s="22"/>
      <c r="AF388" s="22"/>
      <c r="AG388" s="22"/>
      <c r="AH388" s="22"/>
      <c r="AI388" s="22"/>
      <c r="AJ388" s="22"/>
      <c r="AK388" s="22"/>
      <c r="AL388" s="22"/>
      <c r="AM388" s="22"/>
      <c r="AN388" s="22"/>
      <c r="AO388" s="22"/>
      <c r="AP388" s="22"/>
    </row>
    <row r="389" ht="25.5" customHeight="1">
      <c r="A389" s="198">
        <f t="shared" si="3"/>
        <v>388</v>
      </c>
      <c r="B389" s="198" t="s">
        <v>61</v>
      </c>
      <c r="C389" s="27" t="s">
        <v>63</v>
      </c>
      <c r="D389" s="27" t="s">
        <v>64</v>
      </c>
      <c r="E389" s="264" t="str">
        <f t="shared" si="52"/>
        <v/>
      </c>
      <c r="F389" s="30" t="s">
        <v>110</v>
      </c>
      <c r="G389" s="30" t="s">
        <v>176</v>
      </c>
      <c r="H389" s="198" t="s">
        <v>1500</v>
      </c>
      <c r="I389" s="198" t="s">
        <v>286</v>
      </c>
      <c r="J389" s="198" t="s">
        <v>1501</v>
      </c>
      <c r="K389" s="198"/>
      <c r="L389" s="198" t="str">
        <f t="shared" si="53"/>
        <v>Calle 6 #5-50, la merced, Cali</v>
      </c>
      <c r="M389" s="154" t="s">
        <v>1483</v>
      </c>
      <c r="N389" s="154" t="s">
        <v>233</v>
      </c>
      <c r="O389" s="268"/>
      <c r="P389" s="268"/>
      <c r="Q389" s="27" t="s">
        <v>81</v>
      </c>
      <c r="R389" s="30"/>
      <c r="S389" s="30"/>
      <c r="T389" s="30">
        <v>1.0</v>
      </c>
      <c r="U389" s="265"/>
      <c r="V389" s="265"/>
      <c r="W389" s="265"/>
      <c r="X389" s="265"/>
      <c r="Y389" s="265"/>
      <c r="Z389" s="265" t="s">
        <v>1502</v>
      </c>
      <c r="AA389" s="265"/>
      <c r="AD389" s="22"/>
      <c r="AE389" s="22"/>
      <c r="AF389" s="22"/>
      <c r="AG389" s="22"/>
      <c r="AH389" s="22"/>
      <c r="AI389" s="22"/>
      <c r="AJ389" s="22"/>
      <c r="AK389" s="22"/>
      <c r="AL389" s="22"/>
      <c r="AM389" s="22"/>
      <c r="AN389" s="22"/>
      <c r="AO389" s="22"/>
      <c r="AP389" s="22"/>
    </row>
    <row r="390" ht="25.5" customHeight="1">
      <c r="A390" s="198">
        <f t="shared" si="3"/>
        <v>389</v>
      </c>
      <c r="B390" s="198" t="s">
        <v>61</v>
      </c>
      <c r="C390" s="27" t="s">
        <v>63</v>
      </c>
      <c r="D390" s="27" t="s">
        <v>64</v>
      </c>
      <c r="E390" s="264" t="str">
        <f t="shared" si="52"/>
        <v/>
      </c>
      <c r="F390" s="30" t="s">
        <v>35</v>
      </c>
      <c r="G390" s="266" t="s">
        <v>36</v>
      </c>
      <c r="H390" s="198" t="s">
        <v>1316</v>
      </c>
      <c r="I390" s="198" t="s">
        <v>38</v>
      </c>
      <c r="J390" s="198" t="s">
        <v>1503</v>
      </c>
      <c r="K390" s="198"/>
      <c r="L390" s="198" t="str">
        <f t="shared" si="53"/>
        <v>Calle 5 #35-38, san fernando, Cali</v>
      </c>
      <c r="M390" s="198" t="s">
        <v>231</v>
      </c>
      <c r="N390" s="198" t="s">
        <v>233</v>
      </c>
      <c r="O390" s="268"/>
      <c r="P390" s="268"/>
      <c r="Q390" s="27" t="s">
        <v>81</v>
      </c>
      <c r="R390" s="30"/>
      <c r="S390" s="30"/>
      <c r="T390" s="30">
        <v>1.0</v>
      </c>
      <c r="U390" s="265"/>
      <c r="V390" s="265"/>
      <c r="W390" s="265"/>
      <c r="X390" s="265"/>
      <c r="Y390" s="265"/>
      <c r="Z390" s="265" t="s">
        <v>1504</v>
      </c>
      <c r="AA390" s="265"/>
      <c r="AD390" s="22"/>
      <c r="AE390" s="22"/>
      <c r="AF390" s="22"/>
      <c r="AG390" s="22"/>
      <c r="AH390" s="22"/>
      <c r="AI390" s="22"/>
      <c r="AJ390" s="22"/>
      <c r="AK390" s="22"/>
      <c r="AL390" s="22"/>
      <c r="AM390" s="22"/>
      <c r="AN390" s="22"/>
      <c r="AO390" s="22"/>
      <c r="AP390" s="22"/>
    </row>
    <row r="391" ht="25.5" customHeight="1">
      <c r="A391" s="198">
        <f t="shared" si="3"/>
        <v>390</v>
      </c>
      <c r="B391" s="198" t="s">
        <v>61</v>
      </c>
      <c r="C391" s="27" t="s">
        <v>63</v>
      </c>
      <c r="D391" s="27" t="s">
        <v>64</v>
      </c>
      <c r="E391" s="264" t="str">
        <f t="shared" si="52"/>
        <v/>
      </c>
      <c r="F391" s="30" t="s">
        <v>110</v>
      </c>
      <c r="G391" s="30" t="s">
        <v>176</v>
      </c>
      <c r="H391" s="198" t="s">
        <v>483</v>
      </c>
      <c r="I391" s="198" t="s">
        <v>286</v>
      </c>
      <c r="J391" s="198" t="s">
        <v>1505</v>
      </c>
      <c r="K391" s="198"/>
      <c r="L391" s="198" t="str">
        <f t="shared" si="53"/>
        <v>Calle 7 #10-82, santa rosa, Cali</v>
      </c>
      <c r="M391" s="198" t="s">
        <v>231</v>
      </c>
      <c r="N391" s="198" t="s">
        <v>233</v>
      </c>
      <c r="O391" s="268"/>
      <c r="P391" s="268"/>
      <c r="Q391" s="27" t="s">
        <v>81</v>
      </c>
      <c r="R391" s="30"/>
      <c r="S391" s="30"/>
      <c r="T391" s="30">
        <v>1.0</v>
      </c>
      <c r="U391" s="265"/>
      <c r="V391" s="265"/>
      <c r="W391" s="265"/>
      <c r="X391" s="265"/>
      <c r="Y391" s="265"/>
      <c r="Z391" s="265" t="s">
        <v>1506</v>
      </c>
      <c r="AA391" s="265"/>
      <c r="AD391" s="22"/>
      <c r="AE391" s="22"/>
      <c r="AF391" s="22"/>
      <c r="AG391" s="22"/>
      <c r="AH391" s="22"/>
      <c r="AI391" s="22"/>
      <c r="AJ391" s="22"/>
      <c r="AK391" s="22"/>
      <c r="AL391" s="22"/>
      <c r="AM391" s="22"/>
      <c r="AN391" s="22"/>
      <c r="AO391" s="22"/>
      <c r="AP391" s="22"/>
    </row>
    <row r="392" ht="25.5" customHeight="1">
      <c r="A392" s="63">
        <f t="shared" si="3"/>
        <v>391</v>
      </c>
      <c r="B392" s="63" t="s">
        <v>62</v>
      </c>
      <c r="C392" s="65" t="s">
        <v>133</v>
      </c>
      <c r="D392" s="108" t="s">
        <v>64</v>
      </c>
      <c r="E392" s="68" t="s">
        <v>62</v>
      </c>
      <c r="F392" s="70" t="s">
        <v>62</v>
      </c>
      <c r="G392" s="70" t="s">
        <v>62</v>
      </c>
      <c r="H392" s="71" t="s">
        <v>62</v>
      </c>
      <c r="I392" s="71" t="s">
        <v>62</v>
      </c>
      <c r="J392" s="68" t="s">
        <v>62</v>
      </c>
      <c r="K392" s="68" t="s">
        <v>62</v>
      </c>
      <c r="L392" s="68" t="s">
        <v>62</v>
      </c>
      <c r="M392" s="68" t="s">
        <v>62</v>
      </c>
      <c r="N392" s="68" t="s">
        <v>62</v>
      </c>
      <c r="O392" s="68" t="s">
        <v>62</v>
      </c>
      <c r="P392" s="68" t="s">
        <v>62</v>
      </c>
      <c r="Q392" s="68" t="s">
        <v>62</v>
      </c>
      <c r="R392" s="68" t="s">
        <v>62</v>
      </c>
      <c r="S392" s="68"/>
      <c r="T392" s="68" t="s">
        <v>62</v>
      </c>
      <c r="U392" s="68" t="s">
        <v>62</v>
      </c>
      <c r="V392" s="68" t="s">
        <v>62</v>
      </c>
      <c r="W392" s="68" t="s">
        <v>62</v>
      </c>
      <c r="X392" s="68" t="s">
        <v>62</v>
      </c>
      <c r="Y392" s="68" t="s">
        <v>62</v>
      </c>
      <c r="Z392" s="68" t="s">
        <v>62</v>
      </c>
      <c r="AA392" s="68" t="s">
        <v>62</v>
      </c>
      <c r="AD392" s="22"/>
      <c r="AE392" s="22"/>
      <c r="AF392" s="22"/>
      <c r="AG392" s="22"/>
      <c r="AH392" s="22"/>
      <c r="AI392" s="22"/>
      <c r="AJ392" s="22"/>
      <c r="AK392" s="22"/>
      <c r="AL392" s="22"/>
      <c r="AM392" s="22"/>
      <c r="AN392" s="22"/>
      <c r="AO392" s="22"/>
      <c r="AP392" s="22"/>
    </row>
    <row r="393" ht="25.5" customHeight="1">
      <c r="A393" s="198">
        <f t="shared" si="3"/>
        <v>392</v>
      </c>
      <c r="B393" s="198" t="s">
        <v>61</v>
      </c>
      <c r="C393" s="27" t="s">
        <v>63</v>
      </c>
      <c r="D393" s="27" t="s">
        <v>64</v>
      </c>
      <c r="E393" s="264" t="str">
        <f t="shared" ref="E393:E401" si="54">IF(OR($B393="ALTA",AND(ISNUMBER($W393),$W393&gt;0),AND($U393&lt;&gt;"",$U393&lt;&gt;"NO")),"SI","")</f>
        <v/>
      </c>
      <c r="F393" s="30" t="s">
        <v>35</v>
      </c>
      <c r="G393" s="266" t="s">
        <v>36</v>
      </c>
      <c r="H393" s="198" t="s">
        <v>1507</v>
      </c>
      <c r="I393" s="198" t="s">
        <v>38</v>
      </c>
      <c r="J393" s="198" t="s">
        <v>1508</v>
      </c>
      <c r="K393" s="198"/>
      <c r="L393" s="198" t="str">
        <f t="shared" ref="L393:L401" si="55">CONCATENATE(J393,", ",H393,", Cali")</f>
        <v>Calle 8 #32-32, champagnat, Cali</v>
      </c>
      <c r="M393" s="198" t="s">
        <v>231</v>
      </c>
      <c r="N393" s="198" t="s">
        <v>233</v>
      </c>
      <c r="O393" s="268"/>
      <c r="P393" s="268"/>
      <c r="Q393" s="27" t="s">
        <v>81</v>
      </c>
      <c r="R393" s="30"/>
      <c r="S393" s="30"/>
      <c r="T393" s="30">
        <v>1.0</v>
      </c>
      <c r="U393" s="265"/>
      <c r="V393" s="265"/>
      <c r="W393" s="265"/>
      <c r="X393" s="265"/>
      <c r="Y393" s="265"/>
      <c r="Z393" s="265" t="s">
        <v>1376</v>
      </c>
      <c r="AA393" s="265"/>
      <c r="AD393" s="22"/>
      <c r="AE393" s="22"/>
      <c r="AF393" s="22"/>
      <c r="AG393" s="22"/>
      <c r="AH393" s="22"/>
      <c r="AI393" s="22"/>
      <c r="AJ393" s="22"/>
      <c r="AK393" s="22"/>
      <c r="AL393" s="22"/>
      <c r="AM393" s="22"/>
      <c r="AN393" s="22"/>
      <c r="AO393" s="22"/>
      <c r="AP393" s="22"/>
    </row>
    <row r="394" ht="25.5" customHeight="1">
      <c r="A394" s="198">
        <f t="shared" si="3"/>
        <v>393</v>
      </c>
      <c r="B394" s="198" t="s">
        <v>61</v>
      </c>
      <c r="C394" s="27" t="s">
        <v>63</v>
      </c>
      <c r="D394" s="27" t="s">
        <v>64</v>
      </c>
      <c r="E394" s="264" t="str">
        <f t="shared" si="54"/>
        <v/>
      </c>
      <c r="F394" s="30" t="s">
        <v>35</v>
      </c>
      <c r="G394" s="266" t="s">
        <v>36</v>
      </c>
      <c r="H394" s="198" t="s">
        <v>1509</v>
      </c>
      <c r="I394" s="198" t="s">
        <v>286</v>
      </c>
      <c r="J394" s="198" t="s">
        <v>1510</v>
      </c>
      <c r="K394" s="198"/>
      <c r="L394" s="198" t="str">
        <f t="shared" si="55"/>
        <v>Carrera 37a #6-43, templete, Cali</v>
      </c>
      <c r="M394" s="154" t="s">
        <v>1511</v>
      </c>
      <c r="N394" s="154" t="s">
        <v>233</v>
      </c>
      <c r="O394" s="268"/>
      <c r="P394" s="268"/>
      <c r="Q394" s="27" t="s">
        <v>81</v>
      </c>
      <c r="R394" s="30"/>
      <c r="S394" s="30"/>
      <c r="T394" s="30">
        <v>1.0</v>
      </c>
      <c r="U394" s="265"/>
      <c r="V394" s="265"/>
      <c r="W394" s="265"/>
      <c r="X394" s="265"/>
      <c r="Y394" s="265"/>
      <c r="Z394" s="265" t="s">
        <v>1512</v>
      </c>
      <c r="AA394" s="265"/>
      <c r="AD394" s="22"/>
      <c r="AE394" s="22"/>
      <c r="AF394" s="22"/>
      <c r="AG394" s="22"/>
      <c r="AH394" s="22"/>
      <c r="AI394" s="22"/>
      <c r="AJ394" s="22"/>
      <c r="AK394" s="22"/>
      <c r="AL394" s="22"/>
      <c r="AM394" s="22"/>
      <c r="AN394" s="22"/>
      <c r="AO394" s="22"/>
      <c r="AP394" s="22"/>
    </row>
    <row r="395">
      <c r="A395" s="198">
        <f t="shared" si="3"/>
        <v>394</v>
      </c>
      <c r="B395" s="198" t="s">
        <v>61</v>
      </c>
      <c r="C395" s="27" t="s">
        <v>63</v>
      </c>
      <c r="D395" s="27" t="s">
        <v>64</v>
      </c>
      <c r="E395" s="264" t="str">
        <f t="shared" si="54"/>
        <v/>
      </c>
      <c r="F395" s="30" t="s">
        <v>70</v>
      </c>
      <c r="G395" s="30" t="s">
        <v>36</v>
      </c>
      <c r="H395" s="198" t="s">
        <v>240</v>
      </c>
      <c r="I395" s="198" t="s">
        <v>286</v>
      </c>
      <c r="J395" s="198" t="s">
        <v>1513</v>
      </c>
      <c r="K395" s="198"/>
      <c r="L395" s="198" t="str">
        <f t="shared" si="55"/>
        <v>Carrera 44 #14-71, El Guabal, Cali</v>
      </c>
      <c r="M395" s="198" t="s">
        <v>231</v>
      </c>
      <c r="N395" s="198" t="s">
        <v>233</v>
      </c>
      <c r="O395" s="268"/>
      <c r="P395" s="268"/>
      <c r="Q395" s="27" t="s">
        <v>81</v>
      </c>
      <c r="R395" s="30"/>
      <c r="S395" s="30"/>
      <c r="T395" s="30">
        <v>1.0</v>
      </c>
      <c r="U395" s="265"/>
      <c r="V395" s="265"/>
      <c r="W395" s="265"/>
      <c r="X395" s="265"/>
      <c r="Y395" s="265"/>
      <c r="Z395" s="265" t="s">
        <v>1514</v>
      </c>
      <c r="AA395" s="265"/>
      <c r="AD395" s="22"/>
      <c r="AE395" s="22"/>
      <c r="AF395" s="22"/>
      <c r="AG395" s="22"/>
      <c r="AH395" s="22"/>
      <c r="AI395" s="22"/>
      <c r="AJ395" s="22"/>
      <c r="AK395" s="22"/>
      <c r="AL395" s="22"/>
      <c r="AM395" s="22"/>
      <c r="AN395" s="22"/>
      <c r="AO395" s="22"/>
      <c r="AP395" s="22"/>
    </row>
    <row r="396" ht="25.5" customHeight="1">
      <c r="A396" s="198">
        <f t="shared" si="3"/>
        <v>395</v>
      </c>
      <c r="B396" s="198" t="s">
        <v>61</v>
      </c>
      <c r="C396" s="27" t="s">
        <v>63</v>
      </c>
      <c r="D396" s="27" t="s">
        <v>64</v>
      </c>
      <c r="E396" s="264" t="str">
        <f t="shared" si="54"/>
        <v/>
      </c>
      <c r="F396" s="30" t="s">
        <v>35</v>
      </c>
      <c r="G396" s="266" t="s">
        <v>36</v>
      </c>
      <c r="H396" s="198" t="s">
        <v>1452</v>
      </c>
      <c r="I396" s="198" t="s">
        <v>38</v>
      </c>
      <c r="J396" s="198" t="s">
        <v>1515</v>
      </c>
      <c r="K396" s="198" t="s">
        <v>1516</v>
      </c>
      <c r="L396" s="198" t="str">
        <f t="shared" si="55"/>
        <v>Calle 2a #66-56, el refugio, Cali</v>
      </c>
      <c r="M396" s="198" t="s">
        <v>231</v>
      </c>
      <c r="N396" s="198" t="s">
        <v>233</v>
      </c>
      <c r="O396" s="268"/>
      <c r="P396" s="268"/>
      <c r="Q396" s="27" t="s">
        <v>81</v>
      </c>
      <c r="R396" s="30"/>
      <c r="S396" s="30"/>
      <c r="T396" s="30">
        <v>1.0</v>
      </c>
      <c r="U396" s="265"/>
      <c r="V396" s="265"/>
      <c r="W396" s="265"/>
      <c r="X396" s="265"/>
      <c r="Y396" s="265"/>
      <c r="Z396" s="265" t="s">
        <v>1517</v>
      </c>
      <c r="AA396" s="265"/>
      <c r="AD396" s="22"/>
      <c r="AE396" s="22"/>
      <c r="AF396" s="22"/>
      <c r="AG396" s="22"/>
      <c r="AH396" s="22"/>
      <c r="AI396" s="22"/>
      <c r="AJ396" s="22"/>
      <c r="AK396" s="22"/>
      <c r="AL396" s="22"/>
      <c r="AM396" s="22"/>
      <c r="AN396" s="22"/>
      <c r="AO396" s="22"/>
      <c r="AP396" s="22"/>
    </row>
    <row r="397" ht="25.5" customHeight="1">
      <c r="A397" s="198">
        <f t="shared" si="3"/>
        <v>396</v>
      </c>
      <c r="B397" s="198" t="s">
        <v>307</v>
      </c>
      <c r="C397" s="27" t="s">
        <v>63</v>
      </c>
      <c r="D397" s="27" t="s">
        <v>64</v>
      </c>
      <c r="E397" s="264" t="str">
        <f t="shared" si="54"/>
        <v/>
      </c>
      <c r="F397" s="30" t="s">
        <v>35</v>
      </c>
      <c r="G397" s="266" t="s">
        <v>36</v>
      </c>
      <c r="H397" s="198" t="s">
        <v>1396</v>
      </c>
      <c r="I397" s="198" t="s">
        <v>38</v>
      </c>
      <c r="J397" s="198" t="s">
        <v>1518</v>
      </c>
      <c r="K397" s="198" t="s">
        <v>1519</v>
      </c>
      <c r="L397" s="198" t="str">
        <f t="shared" si="55"/>
        <v>Carrera 42 #5a-39, tequendama, Cali</v>
      </c>
      <c r="M397" s="198" t="s">
        <v>1520</v>
      </c>
      <c r="N397" s="198" t="s">
        <v>233</v>
      </c>
      <c r="O397" s="33"/>
      <c r="P397" s="265"/>
      <c r="Q397" s="27" t="s">
        <v>81</v>
      </c>
      <c r="R397" s="30"/>
      <c r="S397" s="30"/>
      <c r="T397" s="30">
        <v>1.0</v>
      </c>
      <c r="U397" s="265"/>
      <c r="V397" s="265"/>
      <c r="W397" s="265"/>
      <c r="X397" s="265"/>
      <c r="Y397" s="265"/>
      <c r="Z397" s="265" t="s">
        <v>1521</v>
      </c>
      <c r="AA397" s="265"/>
      <c r="AD397" s="22"/>
      <c r="AE397" s="22"/>
      <c r="AF397" s="22"/>
      <c r="AG397" s="22"/>
      <c r="AH397" s="22"/>
      <c r="AI397" s="22"/>
      <c r="AJ397" s="22"/>
      <c r="AK397" s="22"/>
      <c r="AL397" s="22"/>
      <c r="AM397" s="22"/>
      <c r="AN397" s="22"/>
      <c r="AO397" s="22"/>
      <c r="AP397" s="22"/>
    </row>
    <row r="398" ht="25.5" customHeight="1">
      <c r="A398" s="198">
        <f t="shared" si="3"/>
        <v>397</v>
      </c>
      <c r="B398" s="198" t="s">
        <v>61</v>
      </c>
      <c r="C398" s="27" t="s">
        <v>63</v>
      </c>
      <c r="D398" s="27" t="s">
        <v>64</v>
      </c>
      <c r="E398" s="264" t="str">
        <f t="shared" si="54"/>
        <v/>
      </c>
      <c r="F398" s="250" t="s">
        <v>60</v>
      </c>
      <c r="G398" s="266" t="s">
        <v>36</v>
      </c>
      <c r="H398" s="198" t="s">
        <v>1522</v>
      </c>
      <c r="I398" s="198" t="s">
        <v>38</v>
      </c>
      <c r="J398" s="198" t="s">
        <v>1523</v>
      </c>
      <c r="K398" s="198" t="s">
        <v>1524</v>
      </c>
      <c r="L398" s="198" t="str">
        <f t="shared" si="55"/>
        <v>Carrera 86a #5-10, las vegas, Cali</v>
      </c>
      <c r="M398" s="198" t="s">
        <v>231</v>
      </c>
      <c r="N398" s="198" t="s">
        <v>233</v>
      </c>
      <c r="O398" s="268"/>
      <c r="P398" s="268"/>
      <c r="Q398" s="27" t="s">
        <v>81</v>
      </c>
      <c r="R398" s="30"/>
      <c r="S398" s="30"/>
      <c r="T398" s="30">
        <v>1.0</v>
      </c>
      <c r="U398" s="265"/>
      <c r="V398" s="265"/>
      <c r="W398" s="265"/>
      <c r="X398" s="265"/>
      <c r="Y398" s="265"/>
      <c r="Z398" s="265" t="s">
        <v>1525</v>
      </c>
      <c r="AA398" s="265"/>
      <c r="AD398" s="22"/>
      <c r="AE398" s="22"/>
      <c r="AF398" s="22"/>
      <c r="AG398" s="22"/>
      <c r="AH398" s="22"/>
      <c r="AI398" s="22"/>
      <c r="AJ398" s="22"/>
      <c r="AK398" s="22"/>
      <c r="AL398" s="22"/>
      <c r="AM398" s="22"/>
      <c r="AN398" s="22"/>
      <c r="AO398" s="22"/>
      <c r="AP398" s="22"/>
    </row>
    <row r="399" ht="25.5" customHeight="1">
      <c r="A399" s="198">
        <f t="shared" si="3"/>
        <v>398</v>
      </c>
      <c r="B399" s="198" t="s">
        <v>61</v>
      </c>
      <c r="C399" s="27" t="s">
        <v>63</v>
      </c>
      <c r="D399" s="27" t="s">
        <v>64</v>
      </c>
      <c r="E399" s="264" t="str">
        <f t="shared" si="54"/>
        <v/>
      </c>
      <c r="F399" s="30" t="s">
        <v>87</v>
      </c>
      <c r="G399" s="266" t="s">
        <v>939</v>
      </c>
      <c r="H399" s="27" t="s">
        <v>94</v>
      </c>
      <c r="I399" s="198" t="s">
        <v>38</v>
      </c>
      <c r="J399" s="198" t="s">
        <v>1526</v>
      </c>
      <c r="K399" s="198" t="s">
        <v>1527</v>
      </c>
      <c r="L399" s="198" t="str">
        <f t="shared" si="55"/>
        <v>Calle 1A Oeste # 100A-12, Altos de Santa Elena / Polvorines, Cali</v>
      </c>
      <c r="M399" s="148" t="s">
        <v>1528</v>
      </c>
      <c r="N399" s="148" t="s">
        <v>233</v>
      </c>
      <c r="O399" s="268"/>
      <c r="P399" s="268"/>
      <c r="Q399" s="27" t="s">
        <v>81</v>
      </c>
      <c r="R399" s="30"/>
      <c r="S399" s="30"/>
      <c r="T399" s="30">
        <v>1.0</v>
      </c>
      <c r="U399" s="265"/>
      <c r="V399" s="265"/>
      <c r="W399" s="265"/>
      <c r="X399" s="265"/>
      <c r="Y399" s="265"/>
      <c r="Z399" s="265" t="s">
        <v>1529</v>
      </c>
      <c r="AA399" s="265"/>
      <c r="AD399" s="22"/>
      <c r="AE399" s="22"/>
      <c r="AF399" s="22"/>
      <c r="AG399" s="22"/>
      <c r="AH399" s="22"/>
      <c r="AI399" s="22"/>
      <c r="AJ399" s="22"/>
      <c r="AK399" s="22"/>
      <c r="AL399" s="22"/>
      <c r="AM399" s="22"/>
      <c r="AN399" s="22"/>
      <c r="AO399" s="22"/>
      <c r="AP399" s="22"/>
    </row>
    <row r="400" ht="25.5" customHeight="1">
      <c r="A400" s="27">
        <f t="shared" si="3"/>
        <v>399</v>
      </c>
      <c r="B400" s="27" t="s">
        <v>307</v>
      </c>
      <c r="C400" s="27" t="s">
        <v>63</v>
      </c>
      <c r="D400" s="27" t="s">
        <v>64</v>
      </c>
      <c r="E400" s="95" t="str">
        <f t="shared" si="54"/>
        <v/>
      </c>
      <c r="F400" s="30" t="s">
        <v>299</v>
      </c>
      <c r="G400" s="30" t="s">
        <v>939</v>
      </c>
      <c r="H400" s="27" t="s">
        <v>298</v>
      </c>
      <c r="I400" s="27" t="s">
        <v>286</v>
      </c>
      <c r="J400" s="27" t="s">
        <v>1530</v>
      </c>
      <c r="K400" s="27"/>
      <c r="L400" s="27" t="str">
        <f t="shared" si="55"/>
        <v>Carrera 41a oeste #1b-57, isabel perez, Cali</v>
      </c>
      <c r="M400" s="27" t="s">
        <v>1531</v>
      </c>
      <c r="N400" s="27" t="s">
        <v>18</v>
      </c>
      <c r="O400" s="33"/>
      <c r="P400" s="33"/>
      <c r="Q400" s="27" t="s">
        <v>81</v>
      </c>
      <c r="R400" s="30"/>
      <c r="S400" s="30">
        <v>1.0</v>
      </c>
      <c r="T400" s="30"/>
      <c r="U400" s="33"/>
      <c r="V400" s="33"/>
      <c r="W400" s="33"/>
      <c r="X400" s="33"/>
      <c r="Y400" s="27" t="s">
        <v>1266</v>
      </c>
      <c r="Z400" s="27" t="s">
        <v>1532</v>
      </c>
      <c r="AA400" s="27"/>
      <c r="AD400" s="22"/>
      <c r="AE400" s="22"/>
      <c r="AF400" s="22"/>
      <c r="AG400" s="22"/>
      <c r="AH400" s="22"/>
      <c r="AI400" s="22"/>
      <c r="AJ400" s="22"/>
      <c r="AK400" s="22"/>
      <c r="AL400" s="22"/>
      <c r="AM400" s="22"/>
      <c r="AN400" s="22"/>
      <c r="AO400" s="22"/>
      <c r="AP400" s="22"/>
    </row>
    <row r="401" ht="25.5" customHeight="1">
      <c r="A401" s="198">
        <f t="shared" si="3"/>
        <v>400</v>
      </c>
      <c r="B401" s="198" t="s">
        <v>61</v>
      </c>
      <c r="C401" s="27" t="s">
        <v>63</v>
      </c>
      <c r="D401" s="27" t="s">
        <v>64</v>
      </c>
      <c r="E401" s="264" t="str">
        <f t="shared" si="54"/>
        <v/>
      </c>
      <c r="F401" s="30" t="s">
        <v>70</v>
      </c>
      <c r="G401" s="30" t="s">
        <v>36</v>
      </c>
      <c r="H401" s="198" t="s">
        <v>1473</v>
      </c>
      <c r="I401" s="198" t="s">
        <v>38</v>
      </c>
      <c r="J401" s="198" t="s">
        <v>1533</v>
      </c>
      <c r="K401" s="198" t="s">
        <v>1534</v>
      </c>
      <c r="L401" s="198" t="str">
        <f t="shared" si="55"/>
        <v>Calle 9b #50-15, panamericano, Cali</v>
      </c>
      <c r="M401" s="198" t="s">
        <v>231</v>
      </c>
      <c r="N401" s="198" t="s">
        <v>233</v>
      </c>
      <c r="O401" s="268"/>
      <c r="P401" s="268"/>
      <c r="Q401" s="27" t="s">
        <v>81</v>
      </c>
      <c r="R401" s="30"/>
      <c r="S401" s="30"/>
      <c r="T401" s="30">
        <v>1.0</v>
      </c>
      <c r="U401" s="265"/>
      <c r="V401" s="265"/>
      <c r="W401" s="265"/>
      <c r="X401" s="265"/>
      <c r="Y401" s="265"/>
      <c r="Z401" s="265" t="s">
        <v>1535</v>
      </c>
      <c r="AA401" s="265"/>
      <c r="AD401" s="22"/>
      <c r="AE401" s="22"/>
      <c r="AF401" s="22"/>
      <c r="AG401" s="22"/>
      <c r="AH401" s="22"/>
      <c r="AI401" s="22"/>
      <c r="AJ401" s="22"/>
      <c r="AK401" s="22"/>
      <c r="AL401" s="22"/>
      <c r="AM401" s="22"/>
      <c r="AN401" s="22"/>
      <c r="AO401" s="22"/>
      <c r="AP401" s="22"/>
    </row>
    <row r="402" ht="25.5" customHeight="1">
      <c r="A402" s="63">
        <f t="shared" si="3"/>
        <v>401</v>
      </c>
      <c r="B402" s="63" t="s">
        <v>62</v>
      </c>
      <c r="C402" s="65" t="s">
        <v>133</v>
      </c>
      <c r="D402" s="108" t="s">
        <v>64</v>
      </c>
      <c r="E402" s="68" t="s">
        <v>62</v>
      </c>
      <c r="F402" s="70" t="s">
        <v>62</v>
      </c>
      <c r="G402" s="70" t="s">
        <v>62</v>
      </c>
      <c r="H402" s="71" t="s">
        <v>62</v>
      </c>
      <c r="I402" s="71" t="s">
        <v>62</v>
      </c>
      <c r="J402" s="68" t="s">
        <v>62</v>
      </c>
      <c r="K402" s="68" t="s">
        <v>62</v>
      </c>
      <c r="L402" s="68" t="s">
        <v>62</v>
      </c>
      <c r="M402" s="68" t="s">
        <v>62</v>
      </c>
      <c r="N402" s="68" t="s">
        <v>62</v>
      </c>
      <c r="O402" s="68" t="s">
        <v>62</v>
      </c>
      <c r="P402" s="68" t="s">
        <v>62</v>
      </c>
      <c r="Q402" s="68" t="s">
        <v>62</v>
      </c>
      <c r="R402" s="68" t="s">
        <v>62</v>
      </c>
      <c r="S402" s="68"/>
      <c r="T402" s="68" t="s">
        <v>62</v>
      </c>
      <c r="U402" s="68" t="s">
        <v>62</v>
      </c>
      <c r="V402" s="68" t="s">
        <v>62</v>
      </c>
      <c r="W402" s="68" t="s">
        <v>62</v>
      </c>
      <c r="X402" s="68" t="s">
        <v>62</v>
      </c>
      <c r="Y402" s="68" t="s">
        <v>62</v>
      </c>
      <c r="Z402" s="68" t="s">
        <v>62</v>
      </c>
      <c r="AA402" s="68" t="s">
        <v>62</v>
      </c>
      <c r="AD402" s="22"/>
      <c r="AE402" s="22"/>
      <c r="AF402" s="22"/>
      <c r="AG402" s="22"/>
      <c r="AH402" s="22"/>
      <c r="AI402" s="22"/>
      <c r="AJ402" s="22"/>
      <c r="AK402" s="22"/>
      <c r="AL402" s="22"/>
      <c r="AM402" s="22"/>
      <c r="AN402" s="22"/>
      <c r="AO402" s="22"/>
      <c r="AP402" s="22"/>
    </row>
    <row r="403" ht="25.5" customHeight="1">
      <c r="A403" s="198">
        <f t="shared" si="3"/>
        <v>402</v>
      </c>
      <c r="B403" s="198" t="s">
        <v>307</v>
      </c>
      <c r="C403" s="27" t="s">
        <v>63</v>
      </c>
      <c r="D403" s="27" t="s">
        <v>64</v>
      </c>
      <c r="E403" s="264" t="str">
        <f t="shared" ref="E403:E450" si="56">IF(OR($B403="ALTA",AND(ISNUMBER($W403),$W403&gt;0),AND($U403&lt;&gt;"",$U403&lt;&gt;"NO")),"SI","")</f>
        <v/>
      </c>
      <c r="F403" s="250" t="s">
        <v>128</v>
      </c>
      <c r="G403" s="266" t="s">
        <v>176</v>
      </c>
      <c r="H403" s="198" t="s">
        <v>144</v>
      </c>
      <c r="I403" s="198" t="s">
        <v>286</v>
      </c>
      <c r="J403" s="198" t="s">
        <v>1536</v>
      </c>
      <c r="K403" s="198"/>
      <c r="L403" s="198" t="str">
        <f t="shared" ref="L403:L452" si="57">CONCATENATE(J403,", ",H403,", Cali")</f>
        <v>Carrera 17 #39-87, Bretaña, Cali</v>
      </c>
      <c r="M403" s="198" t="s">
        <v>1537</v>
      </c>
      <c r="N403" s="198" t="s">
        <v>41</v>
      </c>
      <c r="O403" s="33"/>
      <c r="P403" s="265"/>
      <c r="Q403" s="27" t="s">
        <v>81</v>
      </c>
      <c r="R403" s="30">
        <v>1.0</v>
      </c>
      <c r="S403" s="30"/>
      <c r="T403" s="30"/>
      <c r="U403" s="265"/>
      <c r="V403" s="265"/>
      <c r="W403" s="265"/>
      <c r="X403" s="265"/>
      <c r="Y403" s="265"/>
      <c r="Z403" s="265" t="s">
        <v>1538</v>
      </c>
      <c r="AA403" s="265"/>
      <c r="AD403" s="22"/>
      <c r="AE403" s="22"/>
      <c r="AF403" s="22"/>
      <c r="AG403" s="22"/>
      <c r="AH403" s="22"/>
      <c r="AI403" s="22"/>
      <c r="AJ403" s="22"/>
      <c r="AK403" s="22"/>
      <c r="AL403" s="22"/>
      <c r="AM403" s="22"/>
      <c r="AN403" s="22"/>
      <c r="AO403" s="22"/>
      <c r="AP403" s="22"/>
    </row>
    <row r="404" ht="25.5" customHeight="1">
      <c r="A404" s="198">
        <f t="shared" si="3"/>
        <v>403</v>
      </c>
      <c r="B404" s="198" t="s">
        <v>307</v>
      </c>
      <c r="C404" s="27" t="s">
        <v>63</v>
      </c>
      <c r="D404" s="27" t="s">
        <v>64</v>
      </c>
      <c r="E404" s="264" t="str">
        <f t="shared" si="56"/>
        <v/>
      </c>
      <c r="F404" s="30" t="s">
        <v>87</v>
      </c>
      <c r="G404" s="266" t="s">
        <v>36</v>
      </c>
      <c r="H404" s="198" t="s">
        <v>1301</v>
      </c>
      <c r="I404" s="198" t="s">
        <v>286</v>
      </c>
      <c r="J404" s="198" t="s">
        <v>1539</v>
      </c>
      <c r="K404" s="198"/>
      <c r="L404" s="198" t="str">
        <f t="shared" si="57"/>
        <v>Calle 2a #92-10, melendez, Cali</v>
      </c>
      <c r="M404" s="198" t="s">
        <v>1540</v>
      </c>
      <c r="N404" s="198" t="s">
        <v>18</v>
      </c>
      <c r="O404" s="33"/>
      <c r="P404" s="265"/>
      <c r="Q404" s="27" t="s">
        <v>81</v>
      </c>
      <c r="R404" s="30"/>
      <c r="S404" s="30">
        <v>1.0</v>
      </c>
      <c r="T404" s="30"/>
      <c r="U404" s="265"/>
      <c r="V404" s="265"/>
      <c r="W404" s="265"/>
      <c r="X404" s="265"/>
      <c r="Y404" s="265"/>
      <c r="Z404" s="265" t="s">
        <v>1541</v>
      </c>
      <c r="AA404" s="265"/>
      <c r="AD404" s="22"/>
      <c r="AE404" s="22"/>
      <c r="AF404" s="22"/>
      <c r="AG404" s="22"/>
      <c r="AH404" s="22"/>
      <c r="AI404" s="22"/>
      <c r="AJ404" s="22"/>
      <c r="AK404" s="22"/>
      <c r="AL404" s="22"/>
      <c r="AM404" s="22"/>
      <c r="AN404" s="22"/>
      <c r="AO404" s="22"/>
      <c r="AP404" s="22"/>
    </row>
    <row r="405" ht="25.5" customHeight="1">
      <c r="A405" s="198">
        <f t="shared" si="3"/>
        <v>404</v>
      </c>
      <c r="B405" s="198" t="s">
        <v>307</v>
      </c>
      <c r="C405" s="27" t="s">
        <v>63</v>
      </c>
      <c r="D405" s="27" t="s">
        <v>64</v>
      </c>
      <c r="E405" s="264" t="str">
        <f t="shared" si="56"/>
        <v/>
      </c>
      <c r="F405" s="30" t="s">
        <v>110</v>
      </c>
      <c r="G405" s="30" t="s">
        <v>176</v>
      </c>
      <c r="H405" s="198" t="s">
        <v>1403</v>
      </c>
      <c r="I405" s="198" t="s">
        <v>286</v>
      </c>
      <c r="J405" s="198" t="s">
        <v>1542</v>
      </c>
      <c r="K405" s="198"/>
      <c r="L405" s="198" t="str">
        <f t="shared" si="57"/>
        <v>Calle 11 #3-25, san pedro, Cali</v>
      </c>
      <c r="M405" s="198" t="s">
        <v>1543</v>
      </c>
      <c r="N405" s="198" t="s">
        <v>18</v>
      </c>
      <c r="O405" s="33"/>
      <c r="P405" s="265"/>
      <c r="Q405" s="27" t="s">
        <v>81</v>
      </c>
      <c r="R405" s="30"/>
      <c r="S405" s="30">
        <v>1.0</v>
      </c>
      <c r="T405" s="30"/>
      <c r="U405" s="265"/>
      <c r="V405" s="265"/>
      <c r="W405" s="265"/>
      <c r="X405" s="265"/>
      <c r="Y405" s="265"/>
      <c r="Z405" s="265" t="s">
        <v>1544</v>
      </c>
      <c r="AA405" s="265"/>
      <c r="AD405" s="22"/>
      <c r="AE405" s="22"/>
      <c r="AF405" s="22"/>
      <c r="AG405" s="22"/>
      <c r="AH405" s="22"/>
      <c r="AI405" s="22"/>
      <c r="AJ405" s="22"/>
      <c r="AK405" s="22"/>
      <c r="AL405" s="22"/>
      <c r="AM405" s="22"/>
      <c r="AN405" s="22"/>
      <c r="AO405" s="22"/>
      <c r="AP405" s="22"/>
    </row>
    <row r="406" ht="25.5" customHeight="1">
      <c r="A406" s="198">
        <f t="shared" si="3"/>
        <v>405</v>
      </c>
      <c r="B406" s="198" t="s">
        <v>61</v>
      </c>
      <c r="C406" s="27" t="s">
        <v>63</v>
      </c>
      <c r="D406" s="27" t="s">
        <v>64</v>
      </c>
      <c r="E406" s="264" t="str">
        <f t="shared" si="56"/>
        <v/>
      </c>
      <c r="F406" s="30" t="s">
        <v>76</v>
      </c>
      <c r="G406" s="30" t="s">
        <v>350</v>
      </c>
      <c r="H406" s="198" t="s">
        <v>1545</v>
      </c>
      <c r="I406" s="198" t="s">
        <v>38</v>
      </c>
      <c r="J406" s="198" t="s">
        <v>1546</v>
      </c>
      <c r="K406" s="198"/>
      <c r="L406" s="198" t="str">
        <f t="shared" si="57"/>
        <v>Avenida 5n #4n-116, juanambu, Cali</v>
      </c>
      <c r="M406" s="198" t="s">
        <v>231</v>
      </c>
      <c r="N406" s="198" t="s">
        <v>233</v>
      </c>
      <c r="O406" s="268"/>
      <c r="P406" s="268"/>
      <c r="Q406" s="27" t="s">
        <v>81</v>
      </c>
      <c r="R406" s="30"/>
      <c r="S406" s="30"/>
      <c r="T406" s="30">
        <v>1.0</v>
      </c>
      <c r="U406" s="265"/>
      <c r="V406" s="265"/>
      <c r="W406" s="265"/>
      <c r="X406" s="265"/>
      <c r="Y406" s="265"/>
      <c r="Z406" s="265" t="s">
        <v>1547</v>
      </c>
      <c r="AA406" s="265"/>
      <c r="AD406" s="22"/>
      <c r="AE406" s="22"/>
      <c r="AF406" s="22"/>
      <c r="AG406" s="22"/>
      <c r="AH406" s="22"/>
      <c r="AI406" s="22"/>
      <c r="AJ406" s="22"/>
      <c r="AK406" s="22"/>
      <c r="AL406" s="22"/>
      <c r="AM406" s="22"/>
      <c r="AN406" s="22"/>
      <c r="AO406" s="22"/>
      <c r="AP406" s="22"/>
    </row>
    <row r="407" ht="25.5" customHeight="1">
      <c r="A407" s="198">
        <f t="shared" si="3"/>
        <v>406</v>
      </c>
      <c r="B407" s="198" t="s">
        <v>61</v>
      </c>
      <c r="C407" s="27" t="s">
        <v>63</v>
      </c>
      <c r="D407" s="27" t="s">
        <v>64</v>
      </c>
      <c r="E407" s="264" t="str">
        <f t="shared" si="56"/>
        <v/>
      </c>
      <c r="F407" s="30" t="s">
        <v>110</v>
      </c>
      <c r="G407" s="30" t="s">
        <v>176</v>
      </c>
      <c r="H407" s="198" t="s">
        <v>1548</v>
      </c>
      <c r="I407" s="198" t="s">
        <v>38</v>
      </c>
      <c r="J407" s="198" t="s">
        <v>1549</v>
      </c>
      <c r="K407" s="198"/>
      <c r="L407" s="198" t="str">
        <f t="shared" si="57"/>
        <v>Calle 2a #18-60, libertadores, Cali</v>
      </c>
      <c r="M407" s="198" t="s">
        <v>231</v>
      </c>
      <c r="N407" s="198" t="s">
        <v>233</v>
      </c>
      <c r="O407" s="268"/>
      <c r="P407" s="268"/>
      <c r="Q407" s="27" t="s">
        <v>81</v>
      </c>
      <c r="R407" s="30"/>
      <c r="S407" s="30"/>
      <c r="T407" s="30">
        <v>1.0</v>
      </c>
      <c r="U407" s="265"/>
      <c r="V407" s="265"/>
      <c r="W407" s="265"/>
      <c r="X407" s="265"/>
      <c r="Y407" s="265"/>
      <c r="Z407" s="265" t="s">
        <v>1550</v>
      </c>
      <c r="AA407" s="265"/>
      <c r="AD407" s="22"/>
      <c r="AE407" s="22"/>
      <c r="AF407" s="22"/>
      <c r="AG407" s="22"/>
      <c r="AH407" s="22"/>
      <c r="AI407" s="22"/>
      <c r="AJ407" s="22"/>
      <c r="AK407" s="22"/>
      <c r="AL407" s="22"/>
      <c r="AM407" s="22"/>
      <c r="AN407" s="22"/>
      <c r="AO407" s="22"/>
      <c r="AP407" s="22"/>
    </row>
    <row r="408" ht="25.5" customHeight="1">
      <c r="A408" s="198">
        <f t="shared" si="3"/>
        <v>407</v>
      </c>
      <c r="B408" s="198" t="s">
        <v>307</v>
      </c>
      <c r="C408" s="27" t="s">
        <v>63</v>
      </c>
      <c r="D408" s="27" t="s">
        <v>64</v>
      </c>
      <c r="E408" s="264" t="str">
        <f t="shared" si="56"/>
        <v/>
      </c>
      <c r="F408" s="30" t="s">
        <v>87</v>
      </c>
      <c r="G408" s="266" t="s">
        <v>36</v>
      </c>
      <c r="H408" s="198" t="s">
        <v>433</v>
      </c>
      <c r="I408" s="198" t="s">
        <v>286</v>
      </c>
      <c r="J408" s="198" t="s">
        <v>1551</v>
      </c>
      <c r="K408" s="198"/>
      <c r="L408" s="198" t="str">
        <f t="shared" si="57"/>
        <v>Calle 1a oeste #73d-19, prados del sur, Cali</v>
      </c>
      <c r="M408" s="198" t="s">
        <v>1552</v>
      </c>
      <c r="N408" s="198" t="s">
        <v>18</v>
      </c>
      <c r="O408" s="33"/>
      <c r="P408" s="265"/>
      <c r="Q408" s="27" t="s">
        <v>81</v>
      </c>
      <c r="R408" s="30"/>
      <c r="S408" s="30">
        <v>1.0</v>
      </c>
      <c r="T408" s="30"/>
      <c r="U408" s="265"/>
      <c r="V408" s="265"/>
      <c r="W408" s="265"/>
      <c r="X408" s="265"/>
      <c r="Y408" s="265"/>
      <c r="Z408" s="265" t="s">
        <v>1553</v>
      </c>
      <c r="AA408" s="265"/>
      <c r="AD408" s="22"/>
      <c r="AE408" s="22"/>
      <c r="AF408" s="22"/>
      <c r="AG408" s="22"/>
      <c r="AH408" s="22"/>
      <c r="AI408" s="22"/>
      <c r="AJ408" s="22"/>
      <c r="AK408" s="22"/>
      <c r="AL408" s="22"/>
      <c r="AM408" s="22"/>
      <c r="AN408" s="22"/>
      <c r="AO408" s="22"/>
      <c r="AP408" s="22"/>
    </row>
    <row r="409" ht="25.5" customHeight="1">
      <c r="A409" s="198">
        <f t="shared" si="3"/>
        <v>408</v>
      </c>
      <c r="B409" s="198" t="s">
        <v>61</v>
      </c>
      <c r="C409" s="27" t="s">
        <v>63</v>
      </c>
      <c r="D409" s="27" t="s">
        <v>64</v>
      </c>
      <c r="E409" s="264" t="str">
        <f t="shared" si="56"/>
        <v/>
      </c>
      <c r="F409" s="30" t="s">
        <v>35</v>
      </c>
      <c r="G409" s="266" t="s">
        <v>36</v>
      </c>
      <c r="H409" s="198" t="s">
        <v>169</v>
      </c>
      <c r="I409" s="198" t="s">
        <v>38</v>
      </c>
      <c r="J409" s="198" t="s">
        <v>1554</v>
      </c>
      <c r="K409" s="198"/>
      <c r="L409" s="198" t="str">
        <f t="shared" si="57"/>
        <v>Carrera 66 #2b-4, Cascada, Cali</v>
      </c>
      <c r="M409" s="198" t="s">
        <v>231</v>
      </c>
      <c r="N409" s="198" t="s">
        <v>233</v>
      </c>
      <c r="O409" s="268"/>
      <c r="P409" s="268"/>
      <c r="Q409" s="27" t="s">
        <v>81</v>
      </c>
      <c r="R409" s="30"/>
      <c r="S409" s="30"/>
      <c r="T409" s="30">
        <v>1.0</v>
      </c>
      <c r="U409" s="265"/>
      <c r="V409" s="265"/>
      <c r="W409" s="265"/>
      <c r="X409" s="265"/>
      <c r="Y409" s="265"/>
      <c r="Z409" s="265" t="s">
        <v>1376</v>
      </c>
      <c r="AA409" s="265"/>
      <c r="AD409" s="22"/>
      <c r="AE409" s="22"/>
      <c r="AF409" s="22"/>
      <c r="AG409" s="22"/>
      <c r="AH409" s="22"/>
      <c r="AI409" s="22"/>
      <c r="AJ409" s="22"/>
      <c r="AK409" s="22"/>
      <c r="AL409" s="22"/>
      <c r="AM409" s="22"/>
      <c r="AN409" s="22"/>
      <c r="AO409" s="22"/>
      <c r="AP409" s="22"/>
    </row>
    <row r="410" ht="25.5" customHeight="1">
      <c r="A410" s="198">
        <f t="shared" si="3"/>
        <v>409</v>
      </c>
      <c r="B410" s="198" t="s">
        <v>61</v>
      </c>
      <c r="C410" s="27" t="s">
        <v>63</v>
      </c>
      <c r="D410" s="27" t="s">
        <v>64</v>
      </c>
      <c r="E410" s="264" t="str">
        <f t="shared" si="56"/>
        <v/>
      </c>
      <c r="F410" s="30" t="s">
        <v>76</v>
      </c>
      <c r="G410" s="30" t="s">
        <v>350</v>
      </c>
      <c r="H410" s="198" t="s">
        <v>1424</v>
      </c>
      <c r="I410" s="198" t="s">
        <v>38</v>
      </c>
      <c r="J410" s="198" t="s">
        <v>1555</v>
      </c>
      <c r="K410" s="198"/>
      <c r="L410" s="198" t="str">
        <f t="shared" si="57"/>
        <v>Avenida 6n #37bn-50, san vicente, Cali</v>
      </c>
      <c r="M410" s="198" t="s">
        <v>231</v>
      </c>
      <c r="N410" s="198" t="s">
        <v>233</v>
      </c>
      <c r="O410" s="268"/>
      <c r="P410" s="268"/>
      <c r="Q410" s="27" t="s">
        <v>81</v>
      </c>
      <c r="R410" s="30"/>
      <c r="S410" s="30"/>
      <c r="T410" s="30">
        <v>1.0</v>
      </c>
      <c r="U410" s="265"/>
      <c r="V410" s="265"/>
      <c r="W410" s="265"/>
      <c r="X410" s="265"/>
      <c r="Y410" s="265"/>
      <c r="Z410" s="265" t="s">
        <v>1556</v>
      </c>
      <c r="AA410" s="265"/>
      <c r="AD410" s="22"/>
      <c r="AE410" s="22"/>
      <c r="AF410" s="22"/>
      <c r="AG410" s="22"/>
      <c r="AH410" s="22"/>
      <c r="AI410" s="22"/>
      <c r="AJ410" s="22"/>
      <c r="AK410" s="22"/>
      <c r="AL410" s="22"/>
      <c r="AM410" s="22"/>
      <c r="AN410" s="22"/>
      <c r="AO410" s="22"/>
      <c r="AP410" s="22"/>
    </row>
    <row r="411" ht="25.5" customHeight="1">
      <c r="A411" s="198">
        <f t="shared" si="3"/>
        <v>410</v>
      </c>
      <c r="B411" s="198" t="s">
        <v>61</v>
      </c>
      <c r="C411" s="27" t="s">
        <v>63</v>
      </c>
      <c r="D411" s="27" t="s">
        <v>64</v>
      </c>
      <c r="E411" s="269" t="str">
        <f t="shared" si="56"/>
        <v/>
      </c>
      <c r="F411" s="30" t="s">
        <v>35</v>
      </c>
      <c r="G411" s="266" t="s">
        <v>36</v>
      </c>
      <c r="H411" s="198" t="s">
        <v>1557</v>
      </c>
      <c r="I411" s="198" t="s">
        <v>38</v>
      </c>
      <c r="J411" s="198" t="s">
        <v>1558</v>
      </c>
      <c r="K411" s="198" t="s">
        <v>1559</v>
      </c>
      <c r="L411" s="198" t="str">
        <f t="shared" si="57"/>
        <v>Carrera 56 #5-152, Camino real, Cali</v>
      </c>
      <c r="M411" s="148" t="s">
        <v>1560</v>
      </c>
      <c r="N411" s="148" t="s">
        <v>233</v>
      </c>
      <c r="O411" s="268"/>
      <c r="P411" s="268"/>
      <c r="Q411" s="27" t="s">
        <v>81</v>
      </c>
      <c r="R411" s="30"/>
      <c r="S411" s="30"/>
      <c r="T411" s="30">
        <v>1.0</v>
      </c>
      <c r="U411" s="265"/>
      <c r="V411" s="265"/>
      <c r="W411" s="265"/>
      <c r="X411" s="265"/>
      <c r="Y411" s="265"/>
      <c r="Z411" s="265" t="s">
        <v>1561</v>
      </c>
      <c r="AA411" s="265"/>
      <c r="AD411" s="22"/>
      <c r="AE411" s="22"/>
      <c r="AF411" s="22"/>
      <c r="AG411" s="22"/>
      <c r="AH411" s="22"/>
      <c r="AI411" s="22"/>
      <c r="AJ411" s="22"/>
      <c r="AK411" s="22"/>
      <c r="AL411" s="22"/>
      <c r="AM411" s="22"/>
      <c r="AN411" s="22"/>
      <c r="AO411" s="22"/>
      <c r="AP411" s="22"/>
    </row>
    <row r="412" ht="25.5" customHeight="1">
      <c r="A412" s="198">
        <f t="shared" si="3"/>
        <v>411</v>
      </c>
      <c r="B412" s="198" t="s">
        <v>61</v>
      </c>
      <c r="C412" s="27" t="s">
        <v>63</v>
      </c>
      <c r="D412" s="27" t="s">
        <v>64</v>
      </c>
      <c r="E412" s="264" t="str">
        <f t="shared" si="56"/>
        <v/>
      </c>
      <c r="F412" s="250" t="s">
        <v>60</v>
      </c>
      <c r="G412" s="266" t="s">
        <v>36</v>
      </c>
      <c r="H412" s="198" t="s">
        <v>243</v>
      </c>
      <c r="I412" s="198" t="s">
        <v>38</v>
      </c>
      <c r="J412" s="198" t="s">
        <v>1562</v>
      </c>
      <c r="K412" s="198" t="s">
        <v>1563</v>
      </c>
      <c r="L412" s="198" t="str">
        <f t="shared" si="57"/>
        <v>CALLE 17 # 85 C- 44, El ingenio, Cali</v>
      </c>
      <c r="M412" s="198" t="s">
        <v>231</v>
      </c>
      <c r="N412" s="198" t="s">
        <v>233</v>
      </c>
      <c r="O412" s="268"/>
      <c r="P412" s="268"/>
      <c r="Q412" s="27" t="s">
        <v>81</v>
      </c>
      <c r="R412" s="30"/>
      <c r="S412" s="30"/>
      <c r="T412" s="30">
        <v>1.0</v>
      </c>
      <c r="U412" s="265"/>
      <c r="V412" s="265"/>
      <c r="W412" s="265"/>
      <c r="X412" s="265"/>
      <c r="Y412" s="265"/>
      <c r="Z412" s="265" t="s">
        <v>1564</v>
      </c>
      <c r="AA412" s="265"/>
      <c r="AD412" s="22"/>
      <c r="AE412" s="22"/>
      <c r="AF412" s="22"/>
      <c r="AG412" s="22"/>
      <c r="AH412" s="22"/>
      <c r="AI412" s="22"/>
      <c r="AJ412" s="22"/>
      <c r="AK412" s="22"/>
      <c r="AL412" s="22"/>
      <c r="AM412" s="22"/>
      <c r="AN412" s="22"/>
      <c r="AO412" s="22"/>
      <c r="AP412" s="22"/>
    </row>
    <row r="413" ht="25.5" customHeight="1">
      <c r="A413" s="198">
        <f t="shared" si="3"/>
        <v>412</v>
      </c>
      <c r="B413" s="198" t="s">
        <v>61</v>
      </c>
      <c r="C413" s="27" t="s">
        <v>63</v>
      </c>
      <c r="D413" s="27" t="s">
        <v>64</v>
      </c>
      <c r="E413" s="264" t="str">
        <f t="shared" si="56"/>
        <v/>
      </c>
      <c r="F413" s="30" t="s">
        <v>35</v>
      </c>
      <c r="G413" s="266" t="s">
        <v>36</v>
      </c>
      <c r="H413" s="198" t="s">
        <v>356</v>
      </c>
      <c r="I413" s="198" t="s">
        <v>38</v>
      </c>
      <c r="J413" s="198" t="s">
        <v>1565</v>
      </c>
      <c r="K413" s="198" t="s">
        <v>1493</v>
      </c>
      <c r="L413" s="198" t="str">
        <f t="shared" si="57"/>
        <v>Carrera 2 #59B, Los amendros, Cali</v>
      </c>
      <c r="M413" s="198" t="s">
        <v>231</v>
      </c>
      <c r="N413" s="198" t="s">
        <v>233</v>
      </c>
      <c r="O413" s="268"/>
      <c r="P413" s="268"/>
      <c r="Q413" s="27" t="s">
        <v>81</v>
      </c>
      <c r="R413" s="30"/>
      <c r="S413" s="30"/>
      <c r="T413" s="30">
        <v>1.0</v>
      </c>
      <c r="U413" s="265"/>
      <c r="V413" s="265"/>
      <c r="W413" s="265"/>
      <c r="X413" s="265"/>
      <c r="Y413" s="265"/>
      <c r="Z413" s="265" t="s">
        <v>1566</v>
      </c>
      <c r="AA413" s="265"/>
      <c r="AD413" s="22"/>
      <c r="AE413" s="22"/>
      <c r="AF413" s="22"/>
      <c r="AG413" s="22"/>
      <c r="AH413" s="22"/>
      <c r="AI413" s="22"/>
      <c r="AJ413" s="22"/>
      <c r="AK413" s="22"/>
      <c r="AL413" s="22"/>
      <c r="AM413" s="22"/>
      <c r="AN413" s="22"/>
      <c r="AO413" s="22"/>
      <c r="AP413" s="22"/>
    </row>
    <row r="414" ht="25.5" customHeight="1">
      <c r="A414" s="198">
        <f t="shared" si="3"/>
        <v>413</v>
      </c>
      <c r="B414" s="198" t="s">
        <v>61</v>
      </c>
      <c r="C414" s="27" t="s">
        <v>63</v>
      </c>
      <c r="D414" s="27" t="s">
        <v>64</v>
      </c>
      <c r="E414" s="264" t="str">
        <f t="shared" si="56"/>
        <v/>
      </c>
      <c r="F414" s="30" t="s">
        <v>35</v>
      </c>
      <c r="G414" s="266" t="s">
        <v>36</v>
      </c>
      <c r="H414" s="198" t="s">
        <v>369</v>
      </c>
      <c r="I414" s="198" t="s">
        <v>38</v>
      </c>
      <c r="J414" s="198" t="s">
        <v>1567</v>
      </c>
      <c r="K414" s="198"/>
      <c r="L414" s="198" t="str">
        <f t="shared" si="57"/>
        <v>Carrera 42a #5C-67, Tequendama, Cali</v>
      </c>
      <c r="M414" s="198" t="s">
        <v>231</v>
      </c>
      <c r="N414" s="198" t="s">
        <v>233</v>
      </c>
      <c r="O414" s="268"/>
      <c r="P414" s="268"/>
      <c r="Q414" s="27" t="s">
        <v>81</v>
      </c>
      <c r="R414" s="30"/>
      <c r="S414" s="30"/>
      <c r="T414" s="30">
        <v>1.0</v>
      </c>
      <c r="U414" s="265"/>
      <c r="V414" s="265"/>
      <c r="W414" s="265"/>
      <c r="X414" s="265"/>
      <c r="Y414" s="265"/>
      <c r="Z414" s="265" t="s">
        <v>1568</v>
      </c>
      <c r="AA414" s="265"/>
      <c r="AD414" s="22"/>
      <c r="AE414" s="22"/>
      <c r="AF414" s="22"/>
      <c r="AG414" s="22"/>
      <c r="AH414" s="22"/>
      <c r="AI414" s="22"/>
      <c r="AJ414" s="22"/>
      <c r="AK414" s="22"/>
      <c r="AL414" s="22"/>
      <c r="AM414" s="22"/>
      <c r="AN414" s="22"/>
      <c r="AO414" s="22"/>
      <c r="AP414" s="22"/>
    </row>
    <row r="415" ht="25.5" customHeight="1">
      <c r="A415" s="198">
        <f t="shared" si="3"/>
        <v>414</v>
      </c>
      <c r="B415" s="198" t="s">
        <v>61</v>
      </c>
      <c r="C415" s="27" t="s">
        <v>63</v>
      </c>
      <c r="D415" s="27" t="s">
        <v>64</v>
      </c>
      <c r="E415" s="264" t="str">
        <f t="shared" si="56"/>
        <v/>
      </c>
      <c r="F415" s="30" t="s">
        <v>87</v>
      </c>
      <c r="G415" s="266" t="s">
        <v>36</v>
      </c>
      <c r="H415" s="198" t="s">
        <v>152</v>
      </c>
      <c r="I415" s="198" t="s">
        <v>286</v>
      </c>
      <c r="J415" s="198" t="s">
        <v>1569</v>
      </c>
      <c r="K415" s="198"/>
      <c r="L415" s="198" t="str">
        <f t="shared" si="57"/>
        <v>carrera 69 # 2 c 02 y calle 2 c # 69-01, Caldas, Cali</v>
      </c>
      <c r="M415" s="198" t="s">
        <v>231</v>
      </c>
      <c r="N415" s="198" t="s">
        <v>233</v>
      </c>
      <c r="O415" s="268"/>
      <c r="P415" s="268"/>
      <c r="Q415" s="27" t="s">
        <v>81</v>
      </c>
      <c r="R415" s="30"/>
      <c r="S415" s="30"/>
      <c r="T415" s="30">
        <v>1.0</v>
      </c>
      <c r="U415" s="265"/>
      <c r="V415" s="265"/>
      <c r="W415" s="265"/>
      <c r="X415" s="265"/>
      <c r="Y415" s="265"/>
      <c r="Z415" s="265" t="s">
        <v>1570</v>
      </c>
      <c r="AA415" s="265"/>
      <c r="AD415" s="22"/>
      <c r="AE415" s="22"/>
      <c r="AF415" s="22"/>
      <c r="AG415" s="22"/>
      <c r="AH415" s="22"/>
      <c r="AI415" s="22"/>
      <c r="AJ415" s="22"/>
      <c r="AK415" s="22"/>
      <c r="AL415" s="22"/>
      <c r="AM415" s="22"/>
      <c r="AN415" s="22"/>
      <c r="AO415" s="22"/>
      <c r="AP415" s="22"/>
    </row>
    <row r="416" ht="25.5" customHeight="1">
      <c r="A416" s="198">
        <f t="shared" si="3"/>
        <v>415</v>
      </c>
      <c r="B416" s="198" t="s">
        <v>61</v>
      </c>
      <c r="C416" s="27" t="s">
        <v>63</v>
      </c>
      <c r="D416" s="27" t="s">
        <v>64</v>
      </c>
      <c r="E416" s="264" t="str">
        <f t="shared" si="56"/>
        <v/>
      </c>
      <c r="F416" s="250" t="s">
        <v>139</v>
      </c>
      <c r="G416" s="266" t="s">
        <v>350</v>
      </c>
      <c r="H416" s="198" t="s">
        <v>366</v>
      </c>
      <c r="I416" s="198" t="s">
        <v>38</v>
      </c>
      <c r="J416" s="198" t="s">
        <v>1571</v>
      </c>
      <c r="K416" s="198" t="s">
        <v>1572</v>
      </c>
      <c r="L416" s="198" t="str">
        <f t="shared" si="57"/>
        <v>calle 70 bis # 4 cn 103, Los Guaduales, Cali</v>
      </c>
      <c r="M416" s="198" t="s">
        <v>231</v>
      </c>
      <c r="N416" s="198" t="s">
        <v>233</v>
      </c>
      <c r="O416" s="268"/>
      <c r="P416" s="268"/>
      <c r="Q416" s="27" t="s">
        <v>81</v>
      </c>
      <c r="R416" s="30"/>
      <c r="S416" s="30"/>
      <c r="T416" s="30">
        <v>1.0</v>
      </c>
      <c r="U416" s="265"/>
      <c r="V416" s="265"/>
      <c r="W416" s="265"/>
      <c r="X416" s="265"/>
      <c r="Y416" s="265"/>
      <c r="Z416" s="265" t="s">
        <v>1573</v>
      </c>
      <c r="AA416" s="265"/>
      <c r="AD416" s="22"/>
      <c r="AE416" s="22"/>
      <c r="AF416" s="22"/>
      <c r="AG416" s="22"/>
      <c r="AH416" s="22"/>
      <c r="AI416" s="22"/>
      <c r="AJ416" s="22"/>
      <c r="AK416" s="22"/>
      <c r="AL416" s="22"/>
      <c r="AM416" s="22"/>
      <c r="AN416" s="22"/>
      <c r="AO416" s="22"/>
      <c r="AP416" s="22"/>
    </row>
    <row r="417" ht="25.5" customHeight="1">
      <c r="A417" s="198">
        <f t="shared" si="3"/>
        <v>416</v>
      </c>
      <c r="B417" s="198" t="s">
        <v>61</v>
      </c>
      <c r="C417" s="27" t="s">
        <v>63</v>
      </c>
      <c r="D417" s="27" t="s">
        <v>64</v>
      </c>
      <c r="E417" s="264" t="str">
        <f t="shared" si="56"/>
        <v/>
      </c>
      <c r="F417" s="250" t="s">
        <v>60</v>
      </c>
      <c r="G417" s="266" t="s">
        <v>36</v>
      </c>
      <c r="H417" s="197" t="s">
        <v>1162</v>
      </c>
      <c r="I417" s="197" t="s">
        <v>38</v>
      </c>
      <c r="J417" s="198" t="s">
        <v>1574</v>
      </c>
      <c r="K417" s="198" t="s">
        <v>1228</v>
      </c>
      <c r="L417" s="198" t="str">
        <f t="shared" si="57"/>
        <v>calle 17 85 c 44, El Ingenio, Cali</v>
      </c>
      <c r="M417" s="198" t="s">
        <v>231</v>
      </c>
      <c r="N417" s="198" t="s">
        <v>233</v>
      </c>
      <c r="O417" s="268"/>
      <c r="P417" s="268"/>
      <c r="Q417" s="27" t="s">
        <v>81</v>
      </c>
      <c r="R417" s="30"/>
      <c r="S417" s="30"/>
      <c r="T417" s="30">
        <v>1.0</v>
      </c>
      <c r="U417" s="265"/>
      <c r="V417" s="265"/>
      <c r="W417" s="265"/>
      <c r="X417" s="265"/>
      <c r="Y417" s="265"/>
      <c r="Z417" s="265" t="s">
        <v>1573</v>
      </c>
      <c r="AA417" s="265"/>
      <c r="AD417" s="22"/>
      <c r="AE417" s="22"/>
      <c r="AF417" s="22"/>
      <c r="AG417" s="22"/>
      <c r="AH417" s="22"/>
      <c r="AI417" s="22"/>
      <c r="AJ417" s="22"/>
      <c r="AK417" s="22"/>
      <c r="AL417" s="22"/>
      <c r="AM417" s="22"/>
      <c r="AN417" s="22"/>
      <c r="AO417" s="22"/>
      <c r="AP417" s="22"/>
    </row>
    <row r="418" ht="25.5" customHeight="1">
      <c r="A418" s="198">
        <f t="shared" si="3"/>
        <v>417</v>
      </c>
      <c r="B418" s="198" t="s">
        <v>61</v>
      </c>
      <c r="C418" s="27" t="s">
        <v>63</v>
      </c>
      <c r="D418" s="27" t="s">
        <v>64</v>
      </c>
      <c r="E418" s="264" t="str">
        <f t="shared" si="56"/>
        <v/>
      </c>
      <c r="F418" s="250" t="s">
        <v>85</v>
      </c>
      <c r="G418" s="266" t="s">
        <v>350</v>
      </c>
      <c r="H418" s="198" t="s">
        <v>341</v>
      </c>
      <c r="I418" s="198" t="s">
        <v>286</v>
      </c>
      <c r="J418" s="198" t="s">
        <v>1575</v>
      </c>
      <c r="K418" s="198"/>
      <c r="L418" s="198" t="str">
        <f t="shared" si="57"/>
        <v>Carrera 7Pbis # 62-124, las ceibas, Cali</v>
      </c>
      <c r="M418" s="198" t="s">
        <v>231</v>
      </c>
      <c r="N418" s="198" t="s">
        <v>233</v>
      </c>
      <c r="O418" s="268"/>
      <c r="P418" s="268"/>
      <c r="Q418" s="27" t="s">
        <v>81</v>
      </c>
      <c r="R418" s="30"/>
      <c r="S418" s="30"/>
      <c r="T418" s="30">
        <v>1.0</v>
      </c>
      <c r="U418" s="265"/>
      <c r="V418" s="265"/>
      <c r="W418" s="265"/>
      <c r="X418" s="265"/>
      <c r="Y418" s="265"/>
      <c r="Z418" s="265" t="s">
        <v>1576</v>
      </c>
      <c r="AA418" s="265"/>
      <c r="AD418" s="22"/>
      <c r="AE418" s="22"/>
      <c r="AF418" s="22"/>
      <c r="AG418" s="22"/>
      <c r="AH418" s="22"/>
      <c r="AI418" s="22"/>
      <c r="AJ418" s="22"/>
      <c r="AK418" s="22"/>
      <c r="AL418" s="22"/>
      <c r="AM418" s="22"/>
      <c r="AN418" s="22"/>
      <c r="AO418" s="22"/>
      <c r="AP418" s="22"/>
    </row>
    <row r="419" ht="25.5" customHeight="1">
      <c r="A419" s="198">
        <f t="shared" si="3"/>
        <v>418</v>
      </c>
      <c r="B419" s="198" t="s">
        <v>61</v>
      </c>
      <c r="C419" s="27" t="s">
        <v>63</v>
      </c>
      <c r="D419" s="27" t="s">
        <v>64</v>
      </c>
      <c r="E419" s="264" t="str">
        <f t="shared" si="56"/>
        <v/>
      </c>
      <c r="F419" s="30" t="s">
        <v>35</v>
      </c>
      <c r="G419" s="266" t="s">
        <v>176</v>
      </c>
      <c r="H419" s="198" t="s">
        <v>1507</v>
      </c>
      <c r="I419" s="198" t="s">
        <v>38</v>
      </c>
      <c r="J419" s="198" t="s">
        <v>1577</v>
      </c>
      <c r="K419" s="198" t="s">
        <v>1578</v>
      </c>
      <c r="L419" s="198" t="str">
        <f t="shared" si="57"/>
        <v>Carrera 30 # 9 50, champagnat, Cali</v>
      </c>
      <c r="M419" s="198" t="s">
        <v>231</v>
      </c>
      <c r="N419" s="198" t="s">
        <v>233</v>
      </c>
      <c r="O419" s="268"/>
      <c r="P419" s="268"/>
      <c r="Q419" s="27" t="s">
        <v>81</v>
      </c>
      <c r="R419" s="30"/>
      <c r="S419" s="30"/>
      <c r="T419" s="30">
        <v>1.0</v>
      </c>
      <c r="U419" s="265"/>
      <c r="V419" s="265"/>
      <c r="W419" s="265"/>
      <c r="X419" s="265"/>
      <c r="Y419" s="265"/>
      <c r="Z419" s="265" t="s">
        <v>1579</v>
      </c>
      <c r="AA419" s="265"/>
      <c r="AD419" s="22"/>
      <c r="AE419" s="22"/>
      <c r="AF419" s="22"/>
      <c r="AG419" s="22"/>
      <c r="AH419" s="22"/>
      <c r="AI419" s="22"/>
      <c r="AJ419" s="22"/>
      <c r="AK419" s="22"/>
      <c r="AL419" s="22"/>
      <c r="AM419" s="22"/>
      <c r="AN419" s="22"/>
      <c r="AO419" s="22"/>
      <c r="AP419" s="22"/>
    </row>
    <row r="420" ht="25.5" customHeight="1">
      <c r="A420" s="198">
        <f t="shared" si="3"/>
        <v>419</v>
      </c>
      <c r="B420" s="198" t="s">
        <v>61</v>
      </c>
      <c r="C420" s="27" t="s">
        <v>63</v>
      </c>
      <c r="D420" s="27" t="s">
        <v>64</v>
      </c>
      <c r="E420" s="264" t="str">
        <f t="shared" si="56"/>
        <v/>
      </c>
      <c r="F420" s="30" t="s">
        <v>87</v>
      </c>
      <c r="G420" s="266" t="s">
        <v>36</v>
      </c>
      <c r="H420" s="27" t="s">
        <v>94</v>
      </c>
      <c r="I420" s="198" t="s">
        <v>38</v>
      </c>
      <c r="J420" s="198" t="s">
        <v>1580</v>
      </c>
      <c r="K420" s="198" t="s">
        <v>1581</v>
      </c>
      <c r="L420" s="198" t="str">
        <f t="shared" si="57"/>
        <v>Calle 1d oeste # 100bis -76, Altos de Santa Elena / Polvorines, Cali</v>
      </c>
      <c r="M420" s="148" t="s">
        <v>1582</v>
      </c>
      <c r="N420" s="148" t="s">
        <v>18</v>
      </c>
      <c r="O420" s="268"/>
      <c r="P420" s="268"/>
      <c r="Q420" s="27" t="s">
        <v>81</v>
      </c>
      <c r="R420" s="30"/>
      <c r="S420" s="30">
        <v>1.0</v>
      </c>
      <c r="T420" s="30"/>
      <c r="U420" s="265"/>
      <c r="V420" s="265"/>
      <c r="W420" s="265"/>
      <c r="X420" s="265"/>
      <c r="Y420" s="265"/>
      <c r="Z420" s="265" t="s">
        <v>1583</v>
      </c>
      <c r="AA420" s="265"/>
      <c r="AD420" s="22"/>
      <c r="AE420" s="22"/>
      <c r="AF420" s="22"/>
      <c r="AG420" s="22"/>
      <c r="AH420" s="22"/>
      <c r="AI420" s="22"/>
      <c r="AJ420" s="22"/>
      <c r="AK420" s="22"/>
      <c r="AL420" s="22"/>
      <c r="AM420" s="22"/>
      <c r="AN420" s="22"/>
      <c r="AO420" s="22"/>
      <c r="AP420" s="22"/>
    </row>
    <row r="421" ht="25.5" customHeight="1">
      <c r="A421" s="198">
        <f t="shared" si="3"/>
        <v>420</v>
      </c>
      <c r="B421" s="198" t="s">
        <v>307</v>
      </c>
      <c r="C421" s="27" t="s">
        <v>63</v>
      </c>
      <c r="D421" s="27" t="s">
        <v>64</v>
      </c>
      <c r="E421" s="269" t="str">
        <f t="shared" si="56"/>
        <v/>
      </c>
      <c r="F421" s="30" t="s">
        <v>35</v>
      </c>
      <c r="G421" s="266" t="s">
        <v>36</v>
      </c>
      <c r="H421" s="198" t="s">
        <v>235</v>
      </c>
      <c r="I421" s="198" t="s">
        <v>286</v>
      </c>
      <c r="J421" s="198" t="s">
        <v>1584</v>
      </c>
      <c r="K421" s="198"/>
      <c r="L421" s="198" t="str">
        <f t="shared" si="57"/>
        <v>carrera 47 c 7 sur # 28, El Cristal, Cali</v>
      </c>
      <c r="M421" s="198" t="s">
        <v>1450</v>
      </c>
      <c r="N421" s="198" t="s">
        <v>233</v>
      </c>
      <c r="O421" s="33"/>
      <c r="P421" s="265"/>
      <c r="Q421" s="27" t="s">
        <v>81</v>
      </c>
      <c r="R421" s="30"/>
      <c r="S421" s="30"/>
      <c r="T421" s="30">
        <v>1.0</v>
      </c>
      <c r="U421" s="265"/>
      <c r="V421" s="265"/>
      <c r="W421" s="265"/>
      <c r="X421" s="265"/>
      <c r="Y421" s="265"/>
      <c r="Z421" s="265" t="s">
        <v>1585</v>
      </c>
      <c r="AA421" s="265"/>
      <c r="AD421" s="22"/>
      <c r="AE421" s="22"/>
      <c r="AF421" s="22"/>
      <c r="AG421" s="22"/>
      <c r="AH421" s="22"/>
      <c r="AI421" s="22"/>
      <c r="AJ421" s="22"/>
      <c r="AK421" s="22"/>
      <c r="AL421" s="22"/>
      <c r="AM421" s="22"/>
      <c r="AN421" s="22"/>
      <c r="AO421" s="22"/>
      <c r="AP421" s="22"/>
    </row>
    <row r="422" ht="25.5" customHeight="1">
      <c r="A422" s="198">
        <f t="shared" si="3"/>
        <v>421</v>
      </c>
      <c r="B422" s="198" t="s">
        <v>61</v>
      </c>
      <c r="C422" s="27" t="s">
        <v>63</v>
      </c>
      <c r="D422" s="27" t="s">
        <v>64</v>
      </c>
      <c r="E422" s="264" t="str">
        <f t="shared" si="56"/>
        <v/>
      </c>
      <c r="F422" s="30" t="s">
        <v>76</v>
      </c>
      <c r="G422" s="30" t="s">
        <v>350</v>
      </c>
      <c r="H422" s="198" t="s">
        <v>324</v>
      </c>
      <c r="I422" s="198" t="s">
        <v>286</v>
      </c>
      <c r="J422" s="198" t="s">
        <v>1586</v>
      </c>
      <c r="K422" s="198"/>
      <c r="L422" s="198" t="str">
        <f t="shared" si="57"/>
        <v>Calle 45 norte # 6DN - 39, La Paz, Cali</v>
      </c>
      <c r="M422" s="154" t="s">
        <v>1587</v>
      </c>
      <c r="N422" s="154" t="s">
        <v>233</v>
      </c>
      <c r="O422" s="268"/>
      <c r="P422" s="268"/>
      <c r="Q422" s="27" t="s">
        <v>81</v>
      </c>
      <c r="R422" s="30"/>
      <c r="S422" s="30"/>
      <c r="T422" s="30">
        <v>1.0</v>
      </c>
      <c r="U422" s="265"/>
      <c r="V422" s="265"/>
      <c r="W422" s="265"/>
      <c r="X422" s="265"/>
      <c r="Y422" s="265"/>
      <c r="Z422" s="265" t="s">
        <v>1588</v>
      </c>
      <c r="AA422" s="265"/>
      <c r="AD422" s="22"/>
      <c r="AE422" s="22"/>
      <c r="AF422" s="22"/>
      <c r="AG422" s="22"/>
      <c r="AH422" s="22"/>
      <c r="AI422" s="22"/>
      <c r="AJ422" s="22"/>
      <c r="AK422" s="22"/>
      <c r="AL422" s="22"/>
      <c r="AM422" s="22"/>
      <c r="AN422" s="22"/>
      <c r="AO422" s="22"/>
      <c r="AP422" s="22"/>
    </row>
    <row r="423" ht="25.5" customHeight="1">
      <c r="A423" s="198">
        <f t="shared" si="3"/>
        <v>422</v>
      </c>
      <c r="B423" s="198" t="s">
        <v>61</v>
      </c>
      <c r="C423" s="27" t="s">
        <v>63</v>
      </c>
      <c r="D423" s="27" t="s">
        <v>64</v>
      </c>
      <c r="E423" s="264" t="str">
        <f t="shared" si="56"/>
        <v/>
      </c>
      <c r="F423" s="30" t="s">
        <v>76</v>
      </c>
      <c r="G423" s="30" t="s">
        <v>350</v>
      </c>
      <c r="H423" s="198" t="s">
        <v>432</v>
      </c>
      <c r="I423" s="198" t="s">
        <v>38</v>
      </c>
      <c r="J423" s="198" t="s">
        <v>1589</v>
      </c>
      <c r="K423" s="198"/>
      <c r="L423" s="198" t="str">
        <f t="shared" si="57"/>
        <v>Calle 30 Norte # 2BN-42, Prados del Norte, Cali</v>
      </c>
      <c r="M423" s="154" t="s">
        <v>1587</v>
      </c>
      <c r="N423" s="154" t="s">
        <v>233</v>
      </c>
      <c r="O423" s="268"/>
      <c r="P423" s="268"/>
      <c r="Q423" s="27" t="s">
        <v>81</v>
      </c>
      <c r="R423" s="30"/>
      <c r="S423" s="30"/>
      <c r="T423" s="30">
        <v>1.0</v>
      </c>
      <c r="U423" s="265"/>
      <c r="V423" s="265"/>
      <c r="W423" s="265"/>
      <c r="X423" s="265"/>
      <c r="Y423" s="265"/>
      <c r="Z423" s="265" t="s">
        <v>1590</v>
      </c>
      <c r="AA423" s="265"/>
      <c r="AD423" s="22"/>
      <c r="AE423" s="22"/>
      <c r="AF423" s="22"/>
      <c r="AG423" s="22"/>
      <c r="AH423" s="22"/>
      <c r="AI423" s="22"/>
      <c r="AJ423" s="22"/>
      <c r="AK423" s="22"/>
      <c r="AL423" s="22"/>
      <c r="AM423" s="22"/>
      <c r="AN423" s="22"/>
      <c r="AO423" s="22"/>
      <c r="AP423" s="22"/>
    </row>
    <row r="424" ht="25.5" customHeight="1">
      <c r="A424" s="198">
        <f t="shared" si="3"/>
        <v>423</v>
      </c>
      <c r="B424" s="198" t="s">
        <v>61</v>
      </c>
      <c r="C424" s="27" t="s">
        <v>63</v>
      </c>
      <c r="D424" s="27" t="s">
        <v>64</v>
      </c>
      <c r="E424" s="264" t="str">
        <f t="shared" si="56"/>
        <v/>
      </c>
      <c r="F424" s="30" t="s">
        <v>76</v>
      </c>
      <c r="G424" s="30" t="s">
        <v>350</v>
      </c>
      <c r="H424" s="198" t="s">
        <v>187</v>
      </c>
      <c r="I424" s="198" t="s">
        <v>38</v>
      </c>
      <c r="J424" s="198" t="s">
        <v>1591</v>
      </c>
      <c r="K424" s="198" t="s">
        <v>1592</v>
      </c>
      <c r="L424" s="198" t="str">
        <f t="shared" si="57"/>
        <v>Calle 40 Norte # 6A-45, Chipichape, Cali</v>
      </c>
      <c r="M424" s="198" t="s">
        <v>231</v>
      </c>
      <c r="N424" s="198" t="s">
        <v>233</v>
      </c>
      <c r="O424" s="268"/>
      <c r="P424" s="268"/>
      <c r="Q424" s="27" t="s">
        <v>81</v>
      </c>
      <c r="R424" s="30"/>
      <c r="S424" s="30"/>
      <c r="T424" s="30">
        <v>1.0</v>
      </c>
      <c r="U424" s="265"/>
      <c r="V424" s="265"/>
      <c r="W424" s="265"/>
      <c r="X424" s="265"/>
      <c r="Y424" s="265"/>
      <c r="Z424" s="265" t="s">
        <v>1593</v>
      </c>
      <c r="AA424" s="265"/>
      <c r="AD424" s="22"/>
      <c r="AE424" s="22"/>
      <c r="AF424" s="22"/>
      <c r="AG424" s="22"/>
      <c r="AH424" s="22"/>
      <c r="AI424" s="22"/>
      <c r="AJ424" s="22"/>
      <c r="AK424" s="22"/>
      <c r="AL424" s="22"/>
      <c r="AM424" s="22"/>
      <c r="AN424" s="22"/>
      <c r="AO424" s="22"/>
      <c r="AP424" s="22"/>
    </row>
    <row r="425" ht="25.5" customHeight="1">
      <c r="A425" s="198">
        <f t="shared" si="3"/>
        <v>424</v>
      </c>
      <c r="B425" s="198" t="s">
        <v>61</v>
      </c>
      <c r="C425" s="27" t="s">
        <v>63</v>
      </c>
      <c r="D425" s="27" t="s">
        <v>64</v>
      </c>
      <c r="E425" s="264" t="str">
        <f t="shared" si="56"/>
        <v/>
      </c>
      <c r="F425" s="30" t="s">
        <v>192</v>
      </c>
      <c r="G425" s="30" t="s">
        <v>426</v>
      </c>
      <c r="H425" s="198" t="s">
        <v>346</v>
      </c>
      <c r="I425" s="198" t="s">
        <v>286</v>
      </c>
      <c r="J425" s="198" t="s">
        <v>1594</v>
      </c>
      <c r="K425" s="198"/>
      <c r="L425" s="198" t="str">
        <f t="shared" si="57"/>
        <v>calle 30 a # 29 a 109, laureano gomez, Cali</v>
      </c>
      <c r="M425" s="198" t="s">
        <v>231</v>
      </c>
      <c r="N425" s="198" t="s">
        <v>233</v>
      </c>
      <c r="O425" s="268"/>
      <c r="P425" s="268"/>
      <c r="Q425" s="27" t="s">
        <v>81</v>
      </c>
      <c r="R425" s="30"/>
      <c r="S425" s="30"/>
      <c r="T425" s="30">
        <v>1.0</v>
      </c>
      <c r="U425" s="265"/>
      <c r="V425" s="265"/>
      <c r="W425" s="265"/>
      <c r="X425" s="265"/>
      <c r="Y425" s="265"/>
      <c r="Z425" s="265" t="s">
        <v>1595</v>
      </c>
      <c r="AA425" s="265"/>
      <c r="AD425" s="22"/>
      <c r="AE425" s="22"/>
      <c r="AF425" s="22"/>
      <c r="AG425" s="22"/>
      <c r="AH425" s="22"/>
      <c r="AI425" s="22"/>
      <c r="AJ425" s="22"/>
      <c r="AK425" s="22"/>
      <c r="AL425" s="22"/>
      <c r="AM425" s="22"/>
      <c r="AN425" s="22"/>
      <c r="AO425" s="22"/>
      <c r="AP425" s="22"/>
    </row>
    <row r="426" ht="25.5" customHeight="1">
      <c r="A426" s="198">
        <f t="shared" si="3"/>
        <v>425</v>
      </c>
      <c r="B426" s="198" t="s">
        <v>61</v>
      </c>
      <c r="C426" s="27" t="s">
        <v>63</v>
      </c>
      <c r="D426" s="27" t="s">
        <v>64</v>
      </c>
      <c r="E426" s="264" t="str">
        <f t="shared" si="56"/>
        <v/>
      </c>
      <c r="F426" s="30" t="s">
        <v>76</v>
      </c>
      <c r="G426" s="30" t="s">
        <v>350</v>
      </c>
      <c r="H426" s="198" t="s">
        <v>349</v>
      </c>
      <c r="I426" s="198" t="s">
        <v>286</v>
      </c>
      <c r="J426" s="198" t="s">
        <v>1596</v>
      </c>
      <c r="K426" s="198" t="s">
        <v>1597</v>
      </c>
      <c r="L426" s="198" t="str">
        <f t="shared" si="57"/>
        <v>calle 57N #2BN-30, los alamos, Cali</v>
      </c>
      <c r="M426" s="198" t="s">
        <v>231</v>
      </c>
      <c r="N426" s="198" t="s">
        <v>233</v>
      </c>
      <c r="O426" s="268"/>
      <c r="P426" s="268"/>
      <c r="Q426" s="27" t="s">
        <v>81</v>
      </c>
      <c r="R426" s="30"/>
      <c r="S426" s="30"/>
      <c r="T426" s="30">
        <v>1.0</v>
      </c>
      <c r="U426" s="265"/>
      <c r="V426" s="265"/>
      <c r="W426" s="265"/>
      <c r="X426" s="265"/>
      <c r="Y426" s="265"/>
      <c r="Z426" s="265" t="s">
        <v>1598</v>
      </c>
      <c r="AA426" s="265"/>
      <c r="AD426" s="22"/>
      <c r="AE426" s="22"/>
      <c r="AF426" s="22"/>
      <c r="AG426" s="22"/>
      <c r="AH426" s="22"/>
      <c r="AI426" s="22"/>
      <c r="AJ426" s="22"/>
      <c r="AK426" s="22"/>
      <c r="AL426" s="22"/>
      <c r="AM426" s="22"/>
      <c r="AN426" s="22"/>
      <c r="AO426" s="22"/>
      <c r="AP426" s="22"/>
    </row>
    <row r="427" ht="25.5" customHeight="1">
      <c r="A427" s="198">
        <f t="shared" si="3"/>
        <v>426</v>
      </c>
      <c r="B427" s="198" t="s">
        <v>61</v>
      </c>
      <c r="C427" s="27" t="s">
        <v>63</v>
      </c>
      <c r="D427" s="27" t="s">
        <v>64</v>
      </c>
      <c r="E427" s="264" t="str">
        <f t="shared" si="56"/>
        <v/>
      </c>
      <c r="F427" s="250" t="s">
        <v>73</v>
      </c>
      <c r="G427" s="266" t="s">
        <v>176</v>
      </c>
      <c r="H427" s="198" t="s">
        <v>72</v>
      </c>
      <c r="I427" s="198" t="s">
        <v>38</v>
      </c>
      <c r="J427" s="198" t="s">
        <v>1599</v>
      </c>
      <c r="K427" s="198"/>
      <c r="L427" s="198" t="str">
        <f t="shared" si="57"/>
        <v>Carrera 36B con 9, Alameda, Cali</v>
      </c>
      <c r="M427" s="198" t="s">
        <v>231</v>
      </c>
      <c r="N427" s="198" t="s">
        <v>233</v>
      </c>
      <c r="O427" s="268"/>
      <c r="P427" s="268"/>
      <c r="Q427" s="27" t="s">
        <v>81</v>
      </c>
      <c r="R427" s="30"/>
      <c r="S427" s="30"/>
      <c r="T427" s="30">
        <v>1.0</v>
      </c>
      <c r="U427" s="265"/>
      <c r="V427" s="265"/>
      <c r="W427" s="265"/>
      <c r="X427" s="265"/>
      <c r="Y427" s="265"/>
      <c r="Z427" s="265" t="s">
        <v>1600</v>
      </c>
      <c r="AA427" s="265"/>
      <c r="AD427" s="22"/>
      <c r="AE427" s="22"/>
      <c r="AF427" s="22"/>
      <c r="AG427" s="22"/>
      <c r="AH427" s="22"/>
      <c r="AI427" s="22"/>
      <c r="AJ427" s="22"/>
      <c r="AK427" s="22"/>
      <c r="AL427" s="22"/>
      <c r="AM427" s="22"/>
      <c r="AN427" s="22"/>
      <c r="AO427" s="22"/>
      <c r="AP427" s="22"/>
    </row>
    <row r="428" ht="25.5" customHeight="1">
      <c r="A428" s="198">
        <f t="shared" si="3"/>
        <v>427</v>
      </c>
      <c r="B428" s="198" t="s">
        <v>61</v>
      </c>
      <c r="C428" s="27" t="s">
        <v>63</v>
      </c>
      <c r="D428" s="27" t="s">
        <v>64</v>
      </c>
      <c r="E428" s="264" t="str">
        <f t="shared" si="56"/>
        <v/>
      </c>
      <c r="F428" s="30" t="s">
        <v>35</v>
      </c>
      <c r="G428" s="266" t="s">
        <v>939</v>
      </c>
      <c r="H428" s="198" t="s">
        <v>393</v>
      </c>
      <c r="I428" s="198" t="s">
        <v>286</v>
      </c>
      <c r="J428" s="198" t="s">
        <v>1601</v>
      </c>
      <c r="K428" s="198"/>
      <c r="L428" s="198" t="str">
        <f t="shared" si="57"/>
        <v>calle 3 # 23 b -93, mira flores, Cali</v>
      </c>
      <c r="M428" s="198" t="s">
        <v>231</v>
      </c>
      <c r="N428" s="198" t="s">
        <v>233</v>
      </c>
      <c r="O428" s="268"/>
      <c r="P428" s="268"/>
      <c r="Q428" s="27" t="s">
        <v>81</v>
      </c>
      <c r="R428" s="30"/>
      <c r="S428" s="30"/>
      <c r="T428" s="30">
        <v>1.0</v>
      </c>
      <c r="U428" s="265"/>
      <c r="V428" s="265"/>
      <c r="W428" s="265"/>
      <c r="X428" s="265"/>
      <c r="Y428" s="265"/>
      <c r="Z428" s="265" t="s">
        <v>1602</v>
      </c>
      <c r="AA428" s="265"/>
      <c r="AD428" s="22"/>
      <c r="AE428" s="22"/>
      <c r="AF428" s="22"/>
      <c r="AG428" s="22"/>
      <c r="AH428" s="22"/>
      <c r="AI428" s="22"/>
      <c r="AJ428" s="22"/>
      <c r="AK428" s="22"/>
      <c r="AL428" s="22"/>
      <c r="AM428" s="22"/>
      <c r="AN428" s="22"/>
      <c r="AO428" s="22"/>
      <c r="AP428" s="22"/>
    </row>
    <row r="429" ht="25.5" customHeight="1">
      <c r="A429" s="198">
        <f t="shared" si="3"/>
        <v>428</v>
      </c>
      <c r="B429" s="198" t="s">
        <v>307</v>
      </c>
      <c r="C429" s="27" t="s">
        <v>63</v>
      </c>
      <c r="D429" s="27" t="s">
        <v>64</v>
      </c>
      <c r="E429" s="264" t="str">
        <f t="shared" si="56"/>
        <v/>
      </c>
      <c r="F429" s="250" t="s">
        <v>128</v>
      </c>
      <c r="G429" s="266" t="s">
        <v>176</v>
      </c>
      <c r="H429" s="198" t="s">
        <v>295</v>
      </c>
      <c r="I429" s="198" t="s">
        <v>286</v>
      </c>
      <c r="J429" s="198" t="s">
        <v>1603</v>
      </c>
      <c r="K429" s="198"/>
      <c r="L429" s="198" t="str">
        <f t="shared" si="57"/>
        <v>Calle 12#15-51, Guayaquil, Cali</v>
      </c>
      <c r="M429" s="198" t="s">
        <v>1604</v>
      </c>
      <c r="N429" s="198" t="s">
        <v>18</v>
      </c>
      <c r="O429" s="33"/>
      <c r="P429" s="265"/>
      <c r="Q429" s="27" t="s">
        <v>81</v>
      </c>
      <c r="R429" s="30"/>
      <c r="S429" s="30">
        <v>1.0</v>
      </c>
      <c r="T429" s="30"/>
      <c r="U429" s="265"/>
      <c r="V429" s="265"/>
      <c r="W429" s="265"/>
      <c r="X429" s="265"/>
      <c r="Y429" s="265"/>
      <c r="Z429" s="265" t="s">
        <v>1605</v>
      </c>
      <c r="AA429" s="265"/>
      <c r="AD429" s="22"/>
      <c r="AE429" s="22"/>
      <c r="AF429" s="22"/>
      <c r="AG429" s="22"/>
      <c r="AH429" s="22"/>
      <c r="AI429" s="22"/>
      <c r="AJ429" s="22"/>
      <c r="AK429" s="22"/>
      <c r="AL429" s="22"/>
      <c r="AM429" s="22"/>
      <c r="AN429" s="22"/>
      <c r="AO429" s="22"/>
      <c r="AP429" s="22"/>
    </row>
    <row r="430" ht="25.5" customHeight="1">
      <c r="A430" s="198">
        <f t="shared" si="3"/>
        <v>429</v>
      </c>
      <c r="B430" s="198" t="s">
        <v>61</v>
      </c>
      <c r="C430" s="27" t="s">
        <v>63</v>
      </c>
      <c r="D430" s="27" t="s">
        <v>64</v>
      </c>
      <c r="E430" s="264" t="str">
        <f t="shared" si="56"/>
        <v/>
      </c>
      <c r="F430" s="30" t="s">
        <v>35</v>
      </c>
      <c r="G430" s="266" t="s">
        <v>176</v>
      </c>
      <c r="H430" s="198" t="s">
        <v>1321</v>
      </c>
      <c r="I430" s="198" t="s">
        <v>38</v>
      </c>
      <c r="J430" s="198" t="s">
        <v>1606</v>
      </c>
      <c r="K430" s="198" t="s">
        <v>1607</v>
      </c>
      <c r="L430" s="198" t="str">
        <f t="shared" si="57"/>
        <v>Calle 1B #60 - 44, pampalinda, Cali</v>
      </c>
      <c r="M430" s="198" t="s">
        <v>231</v>
      </c>
      <c r="N430" s="198" t="s">
        <v>233</v>
      </c>
      <c r="O430" s="268"/>
      <c r="P430" s="268"/>
      <c r="Q430" s="27" t="s">
        <v>81</v>
      </c>
      <c r="R430" s="30"/>
      <c r="S430" s="30"/>
      <c r="T430" s="30">
        <v>1.0</v>
      </c>
      <c r="U430" s="265"/>
      <c r="V430" s="265"/>
      <c r="W430" s="265"/>
      <c r="X430" s="265"/>
      <c r="Y430" s="265"/>
      <c r="Z430" s="265"/>
      <c r="AA430" s="265"/>
      <c r="AB430" s="265" t="s">
        <v>1608</v>
      </c>
      <c r="AD430" s="22"/>
      <c r="AE430" s="22"/>
      <c r="AF430" s="22"/>
      <c r="AG430" s="22"/>
      <c r="AH430" s="22"/>
      <c r="AI430" s="22"/>
      <c r="AJ430" s="22"/>
      <c r="AK430" s="22"/>
      <c r="AL430" s="22"/>
      <c r="AM430" s="22"/>
      <c r="AN430" s="22"/>
      <c r="AO430" s="22"/>
      <c r="AP430" s="22"/>
    </row>
    <row r="431" ht="25.5" customHeight="1">
      <c r="A431" s="198">
        <f t="shared" si="3"/>
        <v>430</v>
      </c>
      <c r="B431" s="198" t="s">
        <v>61</v>
      </c>
      <c r="C431" s="27" t="s">
        <v>63</v>
      </c>
      <c r="D431" s="27" t="s">
        <v>64</v>
      </c>
      <c r="E431" s="95" t="str">
        <f t="shared" si="56"/>
        <v/>
      </c>
      <c r="F431" s="30" t="s">
        <v>35</v>
      </c>
      <c r="G431" s="30" t="s">
        <v>176</v>
      </c>
      <c r="H431" s="27" t="s">
        <v>502</v>
      </c>
      <c r="I431" s="27" t="s">
        <v>38</v>
      </c>
      <c r="J431" s="27" t="s">
        <v>1609</v>
      </c>
      <c r="K431" s="27" t="s">
        <v>1610</v>
      </c>
      <c r="L431" s="27" t="str">
        <f t="shared" si="57"/>
        <v>Calle 9 # 44-56, Urbanizacion militar, Cali</v>
      </c>
      <c r="M431" s="27" t="s">
        <v>231</v>
      </c>
      <c r="N431" s="27" t="s">
        <v>233</v>
      </c>
      <c r="O431" s="33"/>
      <c r="P431" s="33"/>
      <c r="Q431" s="27" t="s">
        <v>81</v>
      </c>
      <c r="R431" s="30"/>
      <c r="S431" s="30"/>
      <c r="T431" s="30">
        <v>1.0</v>
      </c>
      <c r="U431" s="33"/>
      <c r="V431" s="33"/>
      <c r="W431" s="33"/>
      <c r="X431" s="33"/>
      <c r="Y431" s="33"/>
      <c r="Z431" s="27" t="s">
        <v>1611</v>
      </c>
      <c r="AA431" s="27"/>
      <c r="AB431" s="27"/>
      <c r="AD431" s="22"/>
      <c r="AE431" s="22"/>
      <c r="AF431" s="22"/>
      <c r="AG431" s="22"/>
      <c r="AH431" s="22"/>
      <c r="AI431" s="22"/>
      <c r="AJ431" s="22"/>
      <c r="AK431" s="22"/>
      <c r="AL431" s="22"/>
      <c r="AM431" s="22"/>
      <c r="AN431" s="22"/>
      <c r="AO431" s="22"/>
      <c r="AP431" s="22"/>
    </row>
    <row r="432" ht="25.5" customHeight="1">
      <c r="A432" s="198">
        <f t="shared" si="3"/>
        <v>431</v>
      </c>
      <c r="B432" s="198" t="s">
        <v>61</v>
      </c>
      <c r="C432" s="27" t="s">
        <v>63</v>
      </c>
      <c r="D432" s="27" t="s">
        <v>64</v>
      </c>
      <c r="E432" s="95" t="str">
        <f t="shared" si="56"/>
        <v/>
      </c>
      <c r="F432" s="30" t="s">
        <v>76</v>
      </c>
      <c r="G432" s="30" t="s">
        <v>350</v>
      </c>
      <c r="H432" s="27" t="s">
        <v>1612</v>
      </c>
      <c r="I432" s="27" t="s">
        <v>993</v>
      </c>
      <c r="J432" s="27" t="s">
        <v>1613</v>
      </c>
      <c r="K432" s="27" t="s">
        <v>1614</v>
      </c>
      <c r="L432" s="27" t="str">
        <f t="shared" si="57"/>
        <v>Avenida 4B Norte # 52N-70, La flora, Cali</v>
      </c>
      <c r="M432" s="27" t="s">
        <v>231</v>
      </c>
      <c r="N432" s="27" t="s">
        <v>233</v>
      </c>
      <c r="O432" s="33"/>
      <c r="P432" s="33"/>
      <c r="Q432" s="27" t="s">
        <v>81</v>
      </c>
      <c r="R432" s="30"/>
      <c r="S432" s="30"/>
      <c r="T432" s="30">
        <v>1.0</v>
      </c>
      <c r="U432" s="33"/>
      <c r="V432" s="33"/>
      <c r="W432" s="33"/>
      <c r="X432" s="33"/>
      <c r="Y432" s="33"/>
      <c r="Z432" s="27" t="s">
        <v>1615</v>
      </c>
      <c r="AA432" s="27"/>
      <c r="AB432" s="27"/>
      <c r="AD432" s="22"/>
      <c r="AE432" s="22"/>
      <c r="AF432" s="22"/>
      <c r="AG432" s="22"/>
      <c r="AH432" s="22"/>
      <c r="AI432" s="22"/>
      <c r="AJ432" s="22"/>
      <c r="AK432" s="22"/>
      <c r="AL432" s="22"/>
      <c r="AM432" s="22"/>
      <c r="AN432" s="22"/>
      <c r="AO432" s="22"/>
      <c r="AP432" s="22"/>
    </row>
    <row r="433" ht="25.5" customHeight="1">
      <c r="A433" s="198">
        <f t="shared" si="3"/>
        <v>432</v>
      </c>
      <c r="B433" s="198" t="s">
        <v>61</v>
      </c>
      <c r="C433" s="27" t="s">
        <v>63</v>
      </c>
      <c r="D433" s="27" t="s">
        <v>64</v>
      </c>
      <c r="E433" s="95" t="str">
        <f t="shared" si="56"/>
        <v/>
      </c>
      <c r="F433" s="30" t="s">
        <v>121</v>
      </c>
      <c r="G433" s="30" t="s">
        <v>426</v>
      </c>
      <c r="H433" s="27" t="s">
        <v>478</v>
      </c>
      <c r="I433" s="27" t="s">
        <v>286</v>
      </c>
      <c r="J433" s="27" t="s">
        <v>1616</v>
      </c>
      <c r="K433" s="27"/>
      <c r="L433" s="27" t="str">
        <f t="shared" si="57"/>
        <v>transversal 29 # 23-09, Santa Mónica Popular, Cali</v>
      </c>
      <c r="M433" s="27" t="s">
        <v>231</v>
      </c>
      <c r="N433" s="27" t="s">
        <v>233</v>
      </c>
      <c r="O433" s="33"/>
      <c r="P433" s="33"/>
      <c r="Q433" s="27" t="s">
        <v>81</v>
      </c>
      <c r="R433" s="30"/>
      <c r="S433" s="30"/>
      <c r="T433" s="30">
        <v>1.0</v>
      </c>
      <c r="U433" s="33"/>
      <c r="V433" s="33"/>
      <c r="W433" s="33"/>
      <c r="X433" s="33"/>
      <c r="Y433" s="33"/>
      <c r="Z433" s="262"/>
      <c r="AA433" s="262"/>
      <c r="AB433" s="262"/>
      <c r="AD433" s="22"/>
      <c r="AE433" s="22"/>
      <c r="AF433" s="22"/>
      <c r="AG433" s="22"/>
      <c r="AH433" s="22"/>
      <c r="AI433" s="22"/>
      <c r="AJ433" s="22"/>
      <c r="AK433" s="22"/>
      <c r="AL433" s="22"/>
      <c r="AM433" s="22"/>
      <c r="AN433" s="22"/>
      <c r="AO433" s="22"/>
      <c r="AP433" s="22"/>
    </row>
    <row r="434" ht="25.5" customHeight="1">
      <c r="A434" s="198">
        <f t="shared" si="3"/>
        <v>433</v>
      </c>
      <c r="B434" s="198" t="s">
        <v>61</v>
      </c>
      <c r="C434" s="27" t="s">
        <v>63</v>
      </c>
      <c r="D434" s="27" t="s">
        <v>64</v>
      </c>
      <c r="E434" s="95" t="str">
        <f t="shared" si="56"/>
        <v/>
      </c>
      <c r="F434" s="30" t="s">
        <v>76</v>
      </c>
      <c r="G434" s="30" t="s">
        <v>350</v>
      </c>
      <c r="H434" s="27" t="s">
        <v>256</v>
      </c>
      <c r="I434" s="27" t="s">
        <v>38</v>
      </c>
      <c r="J434" s="27" t="s">
        <v>1617</v>
      </c>
      <c r="K434" s="27" t="s">
        <v>1618</v>
      </c>
      <c r="L434" s="27" t="str">
        <f t="shared" si="57"/>
        <v>Calle 63 Norte # 3e-60, El rincon, Cali</v>
      </c>
      <c r="M434" s="27" t="s">
        <v>231</v>
      </c>
      <c r="N434" s="27" t="s">
        <v>233</v>
      </c>
      <c r="O434" s="33"/>
      <c r="P434" s="33"/>
      <c r="Q434" s="27" t="s">
        <v>81</v>
      </c>
      <c r="R434" s="30"/>
      <c r="S434" s="30"/>
      <c r="T434" s="30">
        <v>1.0</v>
      </c>
      <c r="U434" s="33"/>
      <c r="V434" s="33"/>
      <c r="W434" s="33"/>
      <c r="X434" s="33"/>
      <c r="Y434" s="33"/>
      <c r="Z434" s="27" t="s">
        <v>1619</v>
      </c>
      <c r="AA434" s="27"/>
      <c r="AB434" s="27"/>
      <c r="AD434" s="22"/>
      <c r="AE434" s="22"/>
      <c r="AF434" s="22"/>
      <c r="AG434" s="22"/>
      <c r="AH434" s="22"/>
      <c r="AI434" s="22"/>
      <c r="AJ434" s="22"/>
      <c r="AK434" s="22"/>
      <c r="AL434" s="22"/>
      <c r="AM434" s="22"/>
      <c r="AN434" s="22"/>
      <c r="AO434" s="22"/>
      <c r="AP434" s="22"/>
    </row>
    <row r="435" ht="25.5" customHeight="1">
      <c r="A435" s="198">
        <f t="shared" si="3"/>
        <v>434</v>
      </c>
      <c r="B435" s="198" t="s">
        <v>61</v>
      </c>
      <c r="C435" s="27" t="s">
        <v>63</v>
      </c>
      <c r="D435" s="27" t="s">
        <v>64</v>
      </c>
      <c r="E435" s="95" t="str">
        <f t="shared" si="56"/>
        <v/>
      </c>
      <c r="F435" s="30" t="s">
        <v>35</v>
      </c>
      <c r="G435" s="30" t="s">
        <v>36</v>
      </c>
      <c r="H435" s="27" t="s">
        <v>1339</v>
      </c>
      <c r="I435" s="27" t="s">
        <v>38</v>
      </c>
      <c r="J435" s="27" t="s">
        <v>1620</v>
      </c>
      <c r="K435" s="27"/>
      <c r="L435" s="27" t="str">
        <f t="shared" si="57"/>
        <v>Calle 5 #27-09, San fernando, Cali</v>
      </c>
      <c r="M435" s="27" t="s">
        <v>231</v>
      </c>
      <c r="N435" s="27" t="s">
        <v>233</v>
      </c>
      <c r="O435" s="33"/>
      <c r="P435" s="33"/>
      <c r="Q435" s="27" t="s">
        <v>81</v>
      </c>
      <c r="R435" s="30"/>
      <c r="S435" s="30"/>
      <c r="T435" s="30">
        <v>1.0</v>
      </c>
      <c r="U435" s="33"/>
      <c r="V435" s="33"/>
      <c r="W435" s="33"/>
      <c r="X435" s="33"/>
      <c r="Y435" s="33"/>
      <c r="Z435" s="27"/>
      <c r="AA435" s="27"/>
      <c r="AB435" s="27"/>
      <c r="AD435" s="22"/>
      <c r="AE435" s="22"/>
      <c r="AF435" s="22"/>
      <c r="AG435" s="22"/>
      <c r="AH435" s="22"/>
      <c r="AI435" s="22"/>
      <c r="AJ435" s="22"/>
      <c r="AK435" s="22"/>
      <c r="AL435" s="22"/>
      <c r="AM435" s="22"/>
      <c r="AN435" s="22"/>
      <c r="AO435" s="22"/>
      <c r="AP435" s="22"/>
    </row>
    <row r="436" ht="25.5" customHeight="1">
      <c r="A436" s="198">
        <f t="shared" si="3"/>
        <v>435</v>
      </c>
      <c r="B436" s="198" t="s">
        <v>61</v>
      </c>
      <c r="C436" s="27" t="s">
        <v>63</v>
      </c>
      <c r="D436" s="27" t="s">
        <v>64</v>
      </c>
      <c r="E436" s="95" t="str">
        <f t="shared" si="56"/>
        <v/>
      </c>
      <c r="F436" s="30" t="s">
        <v>35</v>
      </c>
      <c r="G436" s="30" t="s">
        <v>1300</v>
      </c>
      <c r="H436" s="27" t="s">
        <v>219</v>
      </c>
      <c r="I436" s="27" t="s">
        <v>38</v>
      </c>
      <c r="J436" s="27" t="s">
        <v>1621</v>
      </c>
      <c r="K436" s="27"/>
      <c r="L436" s="27" t="str">
        <f t="shared" si="57"/>
        <v>Calle 10 Oeste #27-48, Cristales, Cali</v>
      </c>
      <c r="M436" s="154" t="s">
        <v>1622</v>
      </c>
      <c r="N436" s="154" t="s">
        <v>233</v>
      </c>
      <c r="O436" s="33"/>
      <c r="P436" s="33"/>
      <c r="Q436" s="27" t="s">
        <v>81</v>
      </c>
      <c r="R436" s="30"/>
      <c r="S436" s="30"/>
      <c r="T436" s="30">
        <v>1.0</v>
      </c>
      <c r="U436" s="33"/>
      <c r="V436" s="33"/>
      <c r="W436" s="33"/>
      <c r="X436" s="33"/>
      <c r="Y436" s="27" t="s">
        <v>1266</v>
      </c>
      <c r="Z436" s="27" t="s">
        <v>1623</v>
      </c>
      <c r="AA436" s="27"/>
      <c r="AB436" s="27"/>
      <c r="AD436" s="22"/>
      <c r="AE436" s="22"/>
      <c r="AF436" s="22"/>
      <c r="AG436" s="22"/>
      <c r="AH436" s="22"/>
      <c r="AI436" s="22"/>
      <c r="AJ436" s="22"/>
      <c r="AK436" s="22"/>
      <c r="AL436" s="22"/>
      <c r="AM436" s="22"/>
      <c r="AN436" s="22"/>
      <c r="AO436" s="22"/>
      <c r="AP436" s="22"/>
    </row>
    <row r="437" ht="25.5" customHeight="1">
      <c r="A437" s="198">
        <f t="shared" si="3"/>
        <v>436</v>
      </c>
      <c r="B437" s="198" t="s">
        <v>61</v>
      </c>
      <c r="C437" s="27" t="s">
        <v>63</v>
      </c>
      <c r="D437" s="27" t="s">
        <v>64</v>
      </c>
      <c r="E437" s="95" t="str">
        <f t="shared" si="56"/>
        <v/>
      </c>
      <c r="F437" s="30" t="s">
        <v>76</v>
      </c>
      <c r="G437" s="30" t="s">
        <v>350</v>
      </c>
      <c r="H437" s="27" t="s">
        <v>1095</v>
      </c>
      <c r="I437" s="27" t="s">
        <v>38</v>
      </c>
      <c r="J437" s="27" t="s">
        <v>1624</v>
      </c>
      <c r="K437" s="27" t="s">
        <v>1625</v>
      </c>
      <c r="L437" s="27" t="str">
        <f t="shared" si="57"/>
        <v>Calle 58nte # 5b N - 62, la flora, Cali</v>
      </c>
      <c r="M437" s="27" t="s">
        <v>231</v>
      </c>
      <c r="N437" s="27" t="s">
        <v>233</v>
      </c>
      <c r="O437" s="33"/>
      <c r="P437" s="33"/>
      <c r="Q437" s="27" t="s">
        <v>81</v>
      </c>
      <c r="R437" s="30"/>
      <c r="S437" s="30"/>
      <c r="T437" s="30">
        <v>1.0</v>
      </c>
      <c r="U437" s="33"/>
      <c r="V437" s="33"/>
      <c r="W437" s="33"/>
      <c r="X437" s="33"/>
      <c r="Y437" s="33"/>
      <c r="Z437" s="27"/>
      <c r="AA437" s="27"/>
      <c r="AB437" s="27"/>
      <c r="AD437" s="22"/>
      <c r="AE437" s="22"/>
      <c r="AF437" s="22"/>
      <c r="AG437" s="22"/>
      <c r="AH437" s="22"/>
      <c r="AI437" s="22"/>
      <c r="AJ437" s="22"/>
      <c r="AK437" s="22"/>
      <c r="AL437" s="22"/>
      <c r="AM437" s="22"/>
      <c r="AN437" s="22"/>
      <c r="AO437" s="22"/>
      <c r="AP437" s="22"/>
    </row>
    <row r="438" ht="25.5" customHeight="1">
      <c r="A438" s="198">
        <f t="shared" si="3"/>
        <v>437</v>
      </c>
      <c r="B438" s="198" t="s">
        <v>61</v>
      </c>
      <c r="C438" s="27" t="s">
        <v>63</v>
      </c>
      <c r="D438" s="27" t="s">
        <v>64</v>
      </c>
      <c r="E438" s="27" t="str">
        <f t="shared" si="56"/>
        <v/>
      </c>
      <c r="F438" s="250" t="s">
        <v>102</v>
      </c>
      <c r="G438" s="264" t="s">
        <v>36</v>
      </c>
      <c r="H438" s="198" t="s">
        <v>416</v>
      </c>
      <c r="I438" s="198" t="s">
        <v>1228</v>
      </c>
      <c r="J438" s="198" t="s">
        <v>1626</v>
      </c>
      <c r="K438" s="198" t="s">
        <v>1627</v>
      </c>
      <c r="L438" s="198" t="str">
        <f t="shared" si="57"/>
        <v>Calle 22 A # 118-100, Parcelaciones Pance, Cali</v>
      </c>
      <c r="M438" s="198" t="s">
        <v>231</v>
      </c>
      <c r="N438" s="198" t="s">
        <v>233</v>
      </c>
      <c r="O438" s="198"/>
      <c r="P438" s="33"/>
      <c r="Q438" s="27" t="s">
        <v>81</v>
      </c>
      <c r="R438" s="30"/>
      <c r="S438" s="30"/>
      <c r="T438" s="30">
        <v>1.0</v>
      </c>
      <c r="U438" s="270"/>
      <c r="V438" s="265"/>
      <c r="W438" s="265"/>
      <c r="X438" s="265"/>
      <c r="Y438" s="27" t="s">
        <v>1266</v>
      </c>
      <c r="Z438" s="265" t="s">
        <v>1628</v>
      </c>
      <c r="AA438" s="265"/>
      <c r="AB438" s="265"/>
      <c r="AD438" s="22"/>
      <c r="AE438" s="22"/>
      <c r="AF438" s="22"/>
      <c r="AG438" s="22"/>
      <c r="AH438" s="22"/>
      <c r="AI438" s="22"/>
      <c r="AJ438" s="22"/>
      <c r="AK438" s="22"/>
      <c r="AL438" s="22"/>
      <c r="AM438" s="22"/>
      <c r="AN438" s="22"/>
      <c r="AO438" s="22"/>
      <c r="AP438" s="22"/>
    </row>
    <row r="439" ht="25.5" customHeight="1">
      <c r="A439" s="198">
        <f t="shared" si="3"/>
        <v>438</v>
      </c>
      <c r="B439" s="198" t="s">
        <v>61</v>
      </c>
      <c r="C439" s="27" t="s">
        <v>63</v>
      </c>
      <c r="D439" s="27" t="s">
        <v>64</v>
      </c>
      <c r="E439" s="95" t="str">
        <f t="shared" si="56"/>
        <v/>
      </c>
      <c r="F439" s="30" t="s">
        <v>76</v>
      </c>
      <c r="G439" s="30" t="s">
        <v>350</v>
      </c>
      <c r="H439" s="27" t="s">
        <v>1612</v>
      </c>
      <c r="I439" s="27" t="s">
        <v>1228</v>
      </c>
      <c r="J439" s="27" t="s">
        <v>1629</v>
      </c>
      <c r="K439" s="27" t="s">
        <v>1630</v>
      </c>
      <c r="L439" s="27" t="str">
        <f t="shared" si="57"/>
        <v>Calle 62 Norte No. 3GN – 80, La flora, Cali</v>
      </c>
      <c r="M439" s="27" t="s">
        <v>231</v>
      </c>
      <c r="N439" s="27" t="s">
        <v>233</v>
      </c>
      <c r="O439" s="33"/>
      <c r="P439" s="33"/>
      <c r="Q439" s="27" t="s">
        <v>81</v>
      </c>
      <c r="R439" s="30"/>
      <c r="S439" s="30"/>
      <c r="T439" s="30">
        <v>1.0</v>
      </c>
      <c r="U439" s="33"/>
      <c r="V439" s="33"/>
      <c r="W439" s="33"/>
      <c r="X439" s="33"/>
      <c r="Y439" s="33"/>
      <c r="Z439" s="27" t="s">
        <v>1631</v>
      </c>
      <c r="AA439" s="27"/>
      <c r="AB439" s="27"/>
      <c r="AD439" s="22"/>
      <c r="AE439" s="22"/>
      <c r="AF439" s="22"/>
      <c r="AG439" s="22"/>
      <c r="AH439" s="22"/>
      <c r="AI439" s="22"/>
      <c r="AJ439" s="22"/>
      <c r="AK439" s="22"/>
      <c r="AL439" s="22"/>
      <c r="AM439" s="22"/>
      <c r="AN439" s="22"/>
      <c r="AO439" s="22"/>
      <c r="AP439" s="22"/>
    </row>
    <row r="440" ht="25.5" customHeight="1">
      <c r="A440" s="198">
        <f t="shared" si="3"/>
        <v>439</v>
      </c>
      <c r="B440" s="198" t="s">
        <v>61</v>
      </c>
      <c r="C440" s="27" t="s">
        <v>63</v>
      </c>
      <c r="D440" s="27" t="s">
        <v>64</v>
      </c>
      <c r="E440" s="95" t="str">
        <f t="shared" si="56"/>
        <v/>
      </c>
      <c r="F440" s="30" t="s">
        <v>102</v>
      </c>
      <c r="G440" s="30" t="s">
        <v>36</v>
      </c>
      <c r="H440" s="27" t="s">
        <v>194</v>
      </c>
      <c r="I440" s="27" t="s">
        <v>1228</v>
      </c>
      <c r="J440" s="27" t="s">
        <v>1632</v>
      </c>
      <c r="K440" s="27" t="s">
        <v>1633</v>
      </c>
      <c r="L440" s="27" t="str">
        <f t="shared" si="57"/>
        <v>Carrera 115 # 18-43, Ciudad Jardín, Cali</v>
      </c>
      <c r="M440" s="27" t="s">
        <v>231</v>
      </c>
      <c r="N440" s="27" t="s">
        <v>233</v>
      </c>
      <c r="O440" s="33"/>
      <c r="P440" s="33"/>
      <c r="Q440" s="27" t="s">
        <v>81</v>
      </c>
      <c r="R440" s="30"/>
      <c r="S440" s="30"/>
      <c r="T440" s="30">
        <v>1.0</v>
      </c>
      <c r="U440" s="33"/>
      <c r="V440" s="33"/>
      <c r="W440" s="33"/>
      <c r="X440" s="33"/>
      <c r="Y440" s="27" t="s">
        <v>1266</v>
      </c>
      <c r="Z440" s="27" t="s">
        <v>1634</v>
      </c>
      <c r="AA440" s="27"/>
      <c r="AB440" s="27"/>
      <c r="AD440" s="22"/>
      <c r="AE440" s="22"/>
      <c r="AF440" s="22"/>
      <c r="AG440" s="22"/>
      <c r="AH440" s="22"/>
      <c r="AI440" s="22"/>
      <c r="AJ440" s="22"/>
      <c r="AK440" s="22"/>
      <c r="AL440" s="22"/>
      <c r="AM440" s="22"/>
      <c r="AN440" s="22"/>
      <c r="AO440" s="22"/>
      <c r="AP440" s="22"/>
    </row>
    <row r="441" ht="25.5" customHeight="1">
      <c r="A441" s="198">
        <f t="shared" si="3"/>
        <v>440</v>
      </c>
      <c r="B441" s="198" t="s">
        <v>61</v>
      </c>
      <c r="C441" s="27" t="s">
        <v>63</v>
      </c>
      <c r="D441" s="27" t="s">
        <v>64</v>
      </c>
      <c r="E441" s="95" t="str">
        <f t="shared" si="56"/>
        <v/>
      </c>
      <c r="F441" s="30" t="s">
        <v>76</v>
      </c>
      <c r="G441" s="30" t="s">
        <v>350</v>
      </c>
      <c r="H441" s="27" t="s">
        <v>432</v>
      </c>
      <c r="I441" s="27" t="s">
        <v>1228</v>
      </c>
      <c r="J441" s="27" t="s">
        <v>1635</v>
      </c>
      <c r="K441" s="27" t="s">
        <v>1636</v>
      </c>
      <c r="L441" s="27" t="str">
        <f t="shared" si="57"/>
        <v>Calle 34AN # 2BN-120, Prados del Norte, Cali</v>
      </c>
      <c r="M441" s="27" t="s">
        <v>231</v>
      </c>
      <c r="N441" s="27" t="s">
        <v>233</v>
      </c>
      <c r="O441" s="33"/>
      <c r="P441" s="33"/>
      <c r="Q441" s="27" t="s">
        <v>81</v>
      </c>
      <c r="R441" s="30"/>
      <c r="S441" s="30"/>
      <c r="T441" s="30">
        <v>1.0</v>
      </c>
      <c r="U441" s="33"/>
      <c r="V441" s="33"/>
      <c r="W441" s="33"/>
      <c r="X441" s="33"/>
      <c r="Y441" s="33"/>
      <c r="Z441" s="27" t="s">
        <v>1637</v>
      </c>
      <c r="AA441" s="27"/>
      <c r="AB441" s="27"/>
      <c r="AD441" s="22"/>
      <c r="AE441" s="22"/>
      <c r="AF441" s="22"/>
      <c r="AG441" s="22"/>
      <c r="AH441" s="22"/>
      <c r="AI441" s="22"/>
      <c r="AJ441" s="22"/>
      <c r="AK441" s="22"/>
      <c r="AL441" s="22"/>
      <c r="AM441" s="22"/>
      <c r="AN441" s="22"/>
      <c r="AO441" s="22"/>
      <c r="AP441" s="22"/>
    </row>
    <row r="442" ht="25.5" customHeight="1">
      <c r="A442" s="198">
        <f t="shared" si="3"/>
        <v>441</v>
      </c>
      <c r="B442" s="198" t="s">
        <v>61</v>
      </c>
      <c r="C442" s="27" t="s">
        <v>63</v>
      </c>
      <c r="D442" s="27" t="s">
        <v>64</v>
      </c>
      <c r="E442" s="95" t="str">
        <f t="shared" si="56"/>
        <v/>
      </c>
      <c r="F442" s="35" t="s">
        <v>60</v>
      </c>
      <c r="G442" s="11" t="s">
        <v>36</v>
      </c>
      <c r="H442" s="121" t="s">
        <v>1638</v>
      </c>
      <c r="I442" s="121" t="s">
        <v>38</v>
      </c>
      <c r="J442" s="27" t="s">
        <v>1639</v>
      </c>
      <c r="K442" s="27" t="s">
        <v>1640</v>
      </c>
      <c r="L442" s="27" t="str">
        <f t="shared" si="57"/>
        <v>Calle 50 # 92-56, Valle de Lili, Cali</v>
      </c>
      <c r="M442" s="27" t="s">
        <v>231</v>
      </c>
      <c r="N442" s="27" t="s">
        <v>233</v>
      </c>
      <c r="O442" s="33"/>
      <c r="P442" s="33"/>
      <c r="Q442" s="27" t="s">
        <v>81</v>
      </c>
      <c r="R442" s="30"/>
      <c r="S442" s="30"/>
      <c r="T442" s="30">
        <v>1.0</v>
      </c>
      <c r="U442" s="33"/>
      <c r="V442" s="33"/>
      <c r="W442" s="33"/>
      <c r="X442" s="33"/>
      <c r="Y442" s="27" t="s">
        <v>1266</v>
      </c>
      <c r="Z442" s="27" t="s">
        <v>1641</v>
      </c>
      <c r="AA442" s="27"/>
      <c r="AB442" s="27"/>
      <c r="AD442" s="22"/>
      <c r="AE442" s="22"/>
      <c r="AF442" s="22"/>
      <c r="AG442" s="22"/>
      <c r="AH442" s="22"/>
      <c r="AI442" s="22"/>
      <c r="AJ442" s="22"/>
      <c r="AK442" s="22"/>
      <c r="AL442" s="22"/>
      <c r="AM442" s="22"/>
      <c r="AN442" s="22"/>
      <c r="AO442" s="22"/>
      <c r="AP442" s="22"/>
    </row>
    <row r="443" ht="25.5" customHeight="1">
      <c r="A443" s="198">
        <f t="shared" si="3"/>
        <v>442</v>
      </c>
      <c r="B443" s="198" t="s">
        <v>61</v>
      </c>
      <c r="C443" s="27" t="s">
        <v>63</v>
      </c>
      <c r="D443" s="27" t="s">
        <v>64</v>
      </c>
      <c r="E443" s="95" t="str">
        <f t="shared" si="56"/>
        <v/>
      </c>
      <c r="F443" s="30" t="s">
        <v>59</v>
      </c>
      <c r="G443" s="30" t="s">
        <v>939</v>
      </c>
      <c r="H443" s="27" t="s">
        <v>1642</v>
      </c>
      <c r="I443" s="27" t="s">
        <v>286</v>
      </c>
      <c r="J443" s="27" t="s">
        <v>1643</v>
      </c>
      <c r="K443" s="27" t="s">
        <v>1644</v>
      </c>
      <c r="L443" s="27" t="str">
        <f t="shared" si="57"/>
        <v>Avenida 5 ta Oeste # 16-13, terron colorado, Cali</v>
      </c>
      <c r="M443" s="27" t="s">
        <v>231</v>
      </c>
      <c r="N443" s="27" t="s">
        <v>233</v>
      </c>
      <c r="O443" s="271"/>
      <c r="P443" s="271"/>
      <c r="Q443" s="27" t="s">
        <v>81</v>
      </c>
      <c r="R443" s="30"/>
      <c r="S443" s="30"/>
      <c r="T443" s="30">
        <v>1.0</v>
      </c>
      <c r="U443" s="33"/>
      <c r="V443" s="33"/>
      <c r="W443" s="33"/>
      <c r="X443" s="33"/>
      <c r="Y443" s="27" t="s">
        <v>1266</v>
      </c>
      <c r="Z443" s="33"/>
      <c r="AA443" s="33"/>
      <c r="AB443" s="33"/>
      <c r="AD443" s="22"/>
      <c r="AE443" s="22"/>
      <c r="AF443" s="22"/>
      <c r="AG443" s="22"/>
      <c r="AH443" s="22"/>
      <c r="AI443" s="22"/>
      <c r="AJ443" s="22"/>
      <c r="AK443" s="22"/>
      <c r="AL443" s="22"/>
      <c r="AM443" s="22"/>
      <c r="AN443" s="22"/>
      <c r="AO443" s="22"/>
      <c r="AP443" s="22"/>
    </row>
    <row r="444" ht="25.5" customHeight="1">
      <c r="A444" s="198">
        <f t="shared" si="3"/>
        <v>443</v>
      </c>
      <c r="B444" s="198" t="s">
        <v>61</v>
      </c>
      <c r="C444" s="27" t="s">
        <v>63</v>
      </c>
      <c r="D444" s="27" t="s">
        <v>64</v>
      </c>
      <c r="E444" s="95" t="str">
        <f t="shared" si="56"/>
        <v/>
      </c>
      <c r="F444" s="30" t="s">
        <v>70</v>
      </c>
      <c r="G444" s="30" t="s">
        <v>36</v>
      </c>
      <c r="H444" s="121" t="s">
        <v>232</v>
      </c>
      <c r="I444" s="121" t="s">
        <v>286</v>
      </c>
      <c r="J444" s="121" t="s">
        <v>1645</v>
      </c>
      <c r="K444" s="121" t="s">
        <v>1646</v>
      </c>
      <c r="L444" s="121" t="str">
        <f t="shared" si="57"/>
        <v>Calle 10 No. 39-19, Departamental, Cali</v>
      </c>
      <c r="M444" s="121" t="s">
        <v>231</v>
      </c>
      <c r="N444" s="121" t="s">
        <v>233</v>
      </c>
      <c r="O444" s="263"/>
      <c r="P444" s="263"/>
      <c r="Q444" s="27" t="s">
        <v>81</v>
      </c>
      <c r="R444" s="30"/>
      <c r="S444" s="30"/>
      <c r="T444" s="30">
        <v>1.0</v>
      </c>
      <c r="U444" s="263"/>
      <c r="V444" s="263"/>
      <c r="W444" s="263"/>
      <c r="X444" s="263"/>
      <c r="Y444" s="27" t="s">
        <v>1266</v>
      </c>
      <c r="Z444" s="263"/>
      <c r="AA444" s="263"/>
      <c r="AB444" s="263"/>
      <c r="AD444" s="272"/>
      <c r="AE444" s="272"/>
      <c r="AF444" s="272"/>
      <c r="AG444" s="272"/>
      <c r="AH444" s="272"/>
      <c r="AI444" s="272"/>
      <c r="AJ444" s="272"/>
      <c r="AK444" s="272"/>
      <c r="AL444" s="272"/>
      <c r="AM444" s="272"/>
      <c r="AN444" s="272"/>
      <c r="AO444" s="272"/>
      <c r="AP444" s="272"/>
    </row>
    <row r="445" ht="25.5" customHeight="1">
      <c r="A445" s="198">
        <f t="shared" si="3"/>
        <v>444</v>
      </c>
      <c r="B445" s="198" t="s">
        <v>61</v>
      </c>
      <c r="C445" s="27" t="s">
        <v>63</v>
      </c>
      <c r="D445" s="27" t="s">
        <v>64</v>
      </c>
      <c r="E445" s="95" t="str">
        <f t="shared" si="56"/>
        <v/>
      </c>
      <c r="F445" s="35" t="s">
        <v>60</v>
      </c>
      <c r="G445" s="11" t="s">
        <v>36</v>
      </c>
      <c r="H445" s="121" t="s">
        <v>1638</v>
      </c>
      <c r="I445" s="121" t="s">
        <v>38</v>
      </c>
      <c r="J445" s="27" t="s">
        <v>1647</v>
      </c>
      <c r="K445" s="27" t="s">
        <v>1648</v>
      </c>
      <c r="L445" s="27" t="str">
        <f t="shared" si="57"/>
        <v>Calle 55 # 98-58, Valle de Lili, Cali</v>
      </c>
      <c r="M445" s="27" t="s">
        <v>231</v>
      </c>
      <c r="N445" s="27" t="s">
        <v>233</v>
      </c>
      <c r="O445" s="263"/>
      <c r="P445" s="263"/>
      <c r="Q445" s="27" t="s">
        <v>81</v>
      </c>
      <c r="R445" s="30"/>
      <c r="S445" s="30"/>
      <c r="T445" s="30">
        <v>1.0</v>
      </c>
      <c r="U445" s="263"/>
      <c r="V445" s="263"/>
      <c r="W445" s="263"/>
      <c r="X445" s="263"/>
      <c r="Y445" s="27" t="s">
        <v>1266</v>
      </c>
      <c r="Z445" s="121" t="s">
        <v>1649</v>
      </c>
      <c r="AA445" s="121"/>
      <c r="AB445" s="121"/>
      <c r="AD445" s="272"/>
      <c r="AE445" s="272"/>
      <c r="AF445" s="272"/>
      <c r="AG445" s="272"/>
      <c r="AH445" s="272"/>
      <c r="AI445" s="272"/>
      <c r="AJ445" s="272"/>
      <c r="AK445" s="272"/>
      <c r="AL445" s="272"/>
      <c r="AM445" s="272"/>
      <c r="AN445" s="272"/>
      <c r="AO445" s="272"/>
      <c r="AP445" s="272"/>
    </row>
    <row r="446" ht="25.5" customHeight="1">
      <c r="A446" s="198">
        <f t="shared" si="3"/>
        <v>445</v>
      </c>
      <c r="B446" s="198" t="s">
        <v>61</v>
      </c>
      <c r="C446" s="27" t="s">
        <v>63</v>
      </c>
      <c r="D446" s="27" t="s">
        <v>64</v>
      </c>
      <c r="E446" s="95" t="str">
        <f t="shared" si="56"/>
        <v/>
      </c>
      <c r="F446" s="11" t="s">
        <v>128</v>
      </c>
      <c r="G446" s="11" t="s">
        <v>176</v>
      </c>
      <c r="H446" s="121" t="s">
        <v>295</v>
      </c>
      <c r="I446" s="121" t="s">
        <v>38</v>
      </c>
      <c r="J446" s="146" t="s">
        <v>1650</v>
      </c>
      <c r="K446" s="146" t="s">
        <v>1651</v>
      </c>
      <c r="L446" s="146" t="str">
        <f t="shared" si="57"/>
        <v>Carrera 14 13A 2 (6,8,10), Guayaquil, Cali</v>
      </c>
      <c r="M446" s="146" t="s">
        <v>231</v>
      </c>
      <c r="N446" s="146" t="s">
        <v>233</v>
      </c>
      <c r="O446" s="263"/>
      <c r="P446" s="263"/>
      <c r="Q446" s="27" t="s">
        <v>81</v>
      </c>
      <c r="R446" s="30"/>
      <c r="S446" s="30"/>
      <c r="T446" s="30">
        <v>1.0</v>
      </c>
      <c r="U446" s="263"/>
      <c r="V446" s="263"/>
      <c r="W446" s="263"/>
      <c r="X446" s="263"/>
      <c r="Y446" s="263"/>
      <c r="Z446" s="262"/>
      <c r="AA446" s="262"/>
      <c r="AB446" s="262"/>
      <c r="AD446" s="272"/>
      <c r="AE446" s="272"/>
      <c r="AF446" s="272"/>
      <c r="AG446" s="272"/>
      <c r="AH446" s="272"/>
      <c r="AI446" s="272"/>
      <c r="AJ446" s="272"/>
      <c r="AK446" s="272"/>
      <c r="AL446" s="272"/>
      <c r="AM446" s="272"/>
      <c r="AN446" s="272"/>
      <c r="AO446" s="272"/>
      <c r="AP446" s="272"/>
    </row>
    <row r="447" ht="25.5" customHeight="1">
      <c r="A447" s="198">
        <f t="shared" si="3"/>
        <v>446</v>
      </c>
      <c r="B447" s="198" t="s">
        <v>61</v>
      </c>
      <c r="C447" s="27" t="s">
        <v>63</v>
      </c>
      <c r="D447" s="27" t="s">
        <v>64</v>
      </c>
      <c r="E447" s="95" t="str">
        <f t="shared" si="56"/>
        <v/>
      </c>
      <c r="F447" s="11" t="s">
        <v>128</v>
      </c>
      <c r="G447" s="11" t="s">
        <v>176</v>
      </c>
      <c r="H447" s="121" t="s">
        <v>295</v>
      </c>
      <c r="I447" s="121" t="s">
        <v>286</v>
      </c>
      <c r="J447" s="121" t="s">
        <v>1652</v>
      </c>
      <c r="K447" s="121"/>
      <c r="L447" s="121" t="str">
        <f t="shared" si="57"/>
        <v>Calle 13 A 13 A 110 (122), Guayaquil, Cali</v>
      </c>
      <c r="M447" s="121" t="s">
        <v>231</v>
      </c>
      <c r="N447" s="121" t="s">
        <v>233</v>
      </c>
      <c r="O447" s="263"/>
      <c r="P447" s="263"/>
      <c r="Q447" s="27" t="s">
        <v>81</v>
      </c>
      <c r="R447" s="30"/>
      <c r="S447" s="30"/>
      <c r="T447" s="30">
        <v>1.0</v>
      </c>
      <c r="U447" s="263"/>
      <c r="V447" s="263"/>
      <c r="W447" s="263"/>
      <c r="X447" s="263"/>
      <c r="Y447" s="263"/>
      <c r="Z447" s="263"/>
      <c r="AA447" s="263"/>
      <c r="AB447" s="263"/>
      <c r="AD447" s="272"/>
      <c r="AE447" s="272"/>
      <c r="AF447" s="272"/>
      <c r="AG447" s="272"/>
      <c r="AH447" s="272"/>
      <c r="AI447" s="272"/>
      <c r="AJ447" s="272"/>
      <c r="AK447" s="272"/>
      <c r="AL447" s="272"/>
      <c r="AM447" s="272"/>
      <c r="AN447" s="272"/>
      <c r="AO447" s="272"/>
      <c r="AP447" s="272"/>
    </row>
    <row r="448" ht="25.5" customHeight="1">
      <c r="A448" s="198">
        <f t="shared" si="3"/>
        <v>447</v>
      </c>
      <c r="B448" s="198" t="s">
        <v>61</v>
      </c>
      <c r="C448" s="27" t="s">
        <v>63</v>
      </c>
      <c r="D448" s="27" t="s">
        <v>64</v>
      </c>
      <c r="E448" s="95" t="str">
        <f t="shared" si="56"/>
        <v/>
      </c>
      <c r="F448" s="30" t="s">
        <v>70</v>
      </c>
      <c r="G448" s="30" t="s">
        <v>36</v>
      </c>
      <c r="H448" s="121" t="s">
        <v>295</v>
      </c>
      <c r="I448" s="121" t="s">
        <v>286</v>
      </c>
      <c r="J448" s="121" t="s">
        <v>1653</v>
      </c>
      <c r="K448" s="121"/>
      <c r="L448" s="121" t="str">
        <f t="shared" si="57"/>
        <v>Carrera 14 13-90, Guayaquil, Cali</v>
      </c>
      <c r="M448" s="121" t="s">
        <v>231</v>
      </c>
      <c r="N448" s="121" t="s">
        <v>233</v>
      </c>
      <c r="O448" s="263"/>
      <c r="P448" s="263"/>
      <c r="Q448" s="27" t="s">
        <v>81</v>
      </c>
      <c r="R448" s="30"/>
      <c r="S448" s="30"/>
      <c r="T448" s="30">
        <v>1.0</v>
      </c>
      <c r="U448" s="263"/>
      <c r="V448" s="263"/>
      <c r="W448" s="263"/>
      <c r="X448" s="263"/>
      <c r="Y448" s="263"/>
      <c r="Z448" s="263"/>
      <c r="AA448" s="263"/>
      <c r="AB448" s="263"/>
      <c r="AD448" s="272"/>
      <c r="AE448" s="272"/>
      <c r="AF448" s="272"/>
      <c r="AG448" s="272"/>
      <c r="AH448" s="272"/>
      <c r="AI448" s="272"/>
      <c r="AJ448" s="272"/>
      <c r="AK448" s="272"/>
      <c r="AL448" s="272"/>
      <c r="AM448" s="272"/>
      <c r="AN448" s="272"/>
      <c r="AO448" s="272"/>
      <c r="AP448" s="272"/>
    </row>
    <row r="449" ht="25.5" customHeight="1">
      <c r="A449" s="198">
        <f t="shared" si="3"/>
        <v>448</v>
      </c>
      <c r="B449" s="198" t="s">
        <v>61</v>
      </c>
      <c r="C449" s="27" t="s">
        <v>63</v>
      </c>
      <c r="D449" s="27" t="s">
        <v>64</v>
      </c>
      <c r="E449" s="95" t="str">
        <f t="shared" si="56"/>
        <v/>
      </c>
      <c r="F449" s="30" t="s">
        <v>76</v>
      </c>
      <c r="G449" s="30" t="s">
        <v>350</v>
      </c>
      <c r="H449" s="121" t="s">
        <v>430</v>
      </c>
      <c r="I449" s="121" t="s">
        <v>38</v>
      </c>
      <c r="J449" s="27" t="s">
        <v>1654</v>
      </c>
      <c r="K449" s="27" t="s">
        <v>1655</v>
      </c>
      <c r="L449" s="27" t="str">
        <f t="shared" si="57"/>
        <v>Calle 35 AN # 2BN-109, Prados del N., Cali</v>
      </c>
      <c r="M449" s="27" t="s">
        <v>231</v>
      </c>
      <c r="N449" s="27" t="s">
        <v>233</v>
      </c>
      <c r="O449" s="263"/>
      <c r="P449" s="263"/>
      <c r="Q449" s="27" t="s">
        <v>81</v>
      </c>
      <c r="R449" s="30"/>
      <c r="S449" s="30"/>
      <c r="T449" s="30">
        <v>1.0</v>
      </c>
      <c r="U449" s="263"/>
      <c r="V449" s="263"/>
      <c r="W449" s="263"/>
      <c r="X449" s="263"/>
      <c r="Y449" s="27" t="s">
        <v>1266</v>
      </c>
      <c r="Z449" s="121" t="s">
        <v>1656</v>
      </c>
      <c r="AA449" s="121"/>
      <c r="AB449" s="121"/>
      <c r="AD449" s="272"/>
      <c r="AE449" s="272"/>
      <c r="AF449" s="272"/>
      <c r="AG449" s="272"/>
      <c r="AH449" s="272"/>
      <c r="AI449" s="272"/>
      <c r="AJ449" s="272"/>
      <c r="AK449" s="272"/>
      <c r="AL449" s="272"/>
      <c r="AM449" s="272"/>
      <c r="AN449" s="272"/>
      <c r="AO449" s="272"/>
      <c r="AP449" s="272"/>
    </row>
    <row r="450" ht="25.5" customHeight="1">
      <c r="A450" s="198">
        <f t="shared" si="3"/>
        <v>449</v>
      </c>
      <c r="B450" s="198" t="s">
        <v>61</v>
      </c>
      <c r="C450" s="27" t="s">
        <v>63</v>
      </c>
      <c r="D450" s="27" t="s">
        <v>64</v>
      </c>
      <c r="E450" s="95" t="str">
        <f t="shared" si="56"/>
        <v/>
      </c>
      <c r="F450" s="30" t="s">
        <v>35</v>
      </c>
      <c r="G450" s="11" t="s">
        <v>36</v>
      </c>
      <c r="H450" s="121" t="s">
        <v>1657</v>
      </c>
      <c r="I450" s="121" t="s">
        <v>38</v>
      </c>
      <c r="J450" s="27" t="s">
        <v>1658</v>
      </c>
      <c r="K450" s="27"/>
      <c r="L450" s="27" t="str">
        <f t="shared" si="57"/>
        <v>Carrera 3 # 57b -72, Cuarto de legua, Cali</v>
      </c>
      <c r="M450" s="27" t="s">
        <v>164</v>
      </c>
      <c r="N450" s="27" t="s">
        <v>41</v>
      </c>
      <c r="O450" s="263"/>
      <c r="P450" s="263"/>
      <c r="Q450" s="27" t="s">
        <v>81</v>
      </c>
      <c r="R450" s="30">
        <v>1.0</v>
      </c>
      <c r="S450" s="30"/>
      <c r="T450" s="30"/>
      <c r="U450" s="263"/>
      <c r="V450" s="263"/>
      <c r="W450" s="263"/>
      <c r="X450" s="263"/>
      <c r="Y450" s="27" t="s">
        <v>1266</v>
      </c>
      <c r="Z450" s="263"/>
      <c r="AA450" s="263"/>
      <c r="AB450" s="263"/>
      <c r="AD450" s="272"/>
      <c r="AE450" s="272"/>
      <c r="AF450" s="272"/>
      <c r="AG450" s="272"/>
      <c r="AH450" s="272"/>
      <c r="AI450" s="272"/>
      <c r="AJ450" s="272"/>
      <c r="AK450" s="272"/>
      <c r="AL450" s="272"/>
      <c r="AM450" s="272"/>
      <c r="AN450" s="272"/>
      <c r="AO450" s="272"/>
      <c r="AP450" s="272"/>
    </row>
    <row r="451" ht="25.5" customHeight="1">
      <c r="A451" s="198">
        <f t="shared" si="3"/>
        <v>450</v>
      </c>
      <c r="B451" s="198" t="s">
        <v>61</v>
      </c>
      <c r="C451" s="27" t="s">
        <v>63</v>
      </c>
      <c r="D451" s="27" t="s">
        <v>64</v>
      </c>
      <c r="E451" s="273"/>
      <c r="F451" s="11" t="s">
        <v>128</v>
      </c>
      <c r="G451" s="11" t="s">
        <v>176</v>
      </c>
      <c r="H451" s="121" t="s">
        <v>295</v>
      </c>
      <c r="I451" s="121" t="s">
        <v>286</v>
      </c>
      <c r="J451" s="121" t="s">
        <v>1659</v>
      </c>
      <c r="K451" s="121"/>
      <c r="L451" s="121" t="str">
        <f t="shared" si="57"/>
        <v>Calle 13 13-84, Guayaquil, Cali</v>
      </c>
      <c r="M451" s="121" t="s">
        <v>231</v>
      </c>
      <c r="N451" s="121" t="s">
        <v>233</v>
      </c>
      <c r="O451" s="263"/>
      <c r="P451" s="263"/>
      <c r="Q451" s="27" t="s">
        <v>81</v>
      </c>
      <c r="R451" s="30"/>
      <c r="S451" s="30"/>
      <c r="T451" s="30">
        <v>1.0</v>
      </c>
      <c r="U451" s="263"/>
      <c r="V451" s="263"/>
      <c r="W451" s="263"/>
      <c r="X451" s="263"/>
      <c r="Y451" s="263"/>
      <c r="Z451" s="263"/>
      <c r="AA451" s="263"/>
      <c r="AB451" s="263"/>
      <c r="AD451" s="272"/>
      <c r="AE451" s="272"/>
      <c r="AF451" s="272"/>
      <c r="AG451" s="272"/>
      <c r="AH451" s="272"/>
      <c r="AI451" s="272"/>
      <c r="AJ451" s="272"/>
      <c r="AK451" s="272"/>
      <c r="AL451" s="272"/>
      <c r="AM451" s="272"/>
      <c r="AN451" s="272"/>
      <c r="AO451" s="272"/>
      <c r="AP451" s="272"/>
    </row>
    <row r="452" ht="25.5" customHeight="1">
      <c r="A452" s="198">
        <f t="shared" si="3"/>
        <v>451</v>
      </c>
      <c r="B452" s="198" t="s">
        <v>61</v>
      </c>
      <c r="C452" s="27" t="s">
        <v>63</v>
      </c>
      <c r="D452" s="27" t="s">
        <v>64</v>
      </c>
      <c r="E452" s="273"/>
      <c r="F452" s="30" t="s">
        <v>110</v>
      </c>
      <c r="G452" s="30" t="s">
        <v>176</v>
      </c>
      <c r="H452" s="121" t="s">
        <v>1660</v>
      </c>
      <c r="I452" s="121" t="s">
        <v>286</v>
      </c>
      <c r="J452" s="121" t="s">
        <v>1661</v>
      </c>
      <c r="K452" s="121"/>
      <c r="L452" s="121" t="str">
        <f t="shared" si="57"/>
        <v>carrera 13 # 10 - 128, san juan bosco, Cali</v>
      </c>
      <c r="M452" s="154" t="s">
        <v>1662</v>
      </c>
      <c r="N452" s="154" t="s">
        <v>233</v>
      </c>
      <c r="O452" s="263"/>
      <c r="P452" s="263"/>
      <c r="Q452" s="27" t="s">
        <v>81</v>
      </c>
      <c r="R452" s="30"/>
      <c r="S452" s="30"/>
      <c r="T452" s="30">
        <v>1.0</v>
      </c>
      <c r="U452" s="263"/>
      <c r="V452" s="263"/>
      <c r="W452" s="263"/>
      <c r="X452" s="263"/>
      <c r="Y452" s="263"/>
      <c r="Z452" s="263"/>
      <c r="AA452" s="263"/>
      <c r="AB452" s="263"/>
      <c r="AD452" s="272"/>
      <c r="AE452" s="272"/>
      <c r="AF452" s="272"/>
      <c r="AG452" s="272"/>
      <c r="AH452" s="272"/>
      <c r="AI452" s="272"/>
      <c r="AJ452" s="272"/>
      <c r="AK452" s="272"/>
      <c r="AL452" s="272"/>
      <c r="AM452" s="272"/>
      <c r="AN452" s="272"/>
      <c r="AO452" s="272"/>
      <c r="AP452" s="272"/>
    </row>
    <row r="453" ht="25.5" customHeight="1">
      <c r="A453" s="63">
        <f t="shared" si="3"/>
        <v>452</v>
      </c>
      <c r="B453" s="63" t="s">
        <v>62</v>
      </c>
      <c r="C453" s="65" t="s">
        <v>133</v>
      </c>
      <c r="D453" s="108" t="s">
        <v>64</v>
      </c>
      <c r="E453" s="68" t="s">
        <v>62</v>
      </c>
      <c r="F453" s="70" t="s">
        <v>62</v>
      </c>
      <c r="G453" s="70" t="s">
        <v>62</v>
      </c>
      <c r="H453" s="71" t="s">
        <v>62</v>
      </c>
      <c r="I453" s="71" t="s">
        <v>62</v>
      </c>
      <c r="J453" s="68" t="s">
        <v>62</v>
      </c>
      <c r="K453" s="68" t="s">
        <v>62</v>
      </c>
      <c r="L453" s="68" t="s">
        <v>62</v>
      </c>
      <c r="M453" s="68" t="s">
        <v>62</v>
      </c>
      <c r="N453" s="68" t="s">
        <v>62</v>
      </c>
      <c r="O453" s="68" t="s">
        <v>62</v>
      </c>
      <c r="P453" s="68" t="s">
        <v>62</v>
      </c>
      <c r="Q453" s="68" t="s">
        <v>62</v>
      </c>
      <c r="R453" s="68" t="s">
        <v>62</v>
      </c>
      <c r="S453" s="68"/>
      <c r="T453" s="68" t="s">
        <v>62</v>
      </c>
      <c r="U453" s="68" t="s">
        <v>62</v>
      </c>
      <c r="V453" s="68" t="s">
        <v>62</v>
      </c>
      <c r="W453" s="68" t="s">
        <v>62</v>
      </c>
      <c r="X453" s="68" t="s">
        <v>62</v>
      </c>
      <c r="Y453" s="68" t="s">
        <v>62</v>
      </c>
      <c r="Z453" s="68" t="s">
        <v>62</v>
      </c>
      <c r="AA453" s="68" t="s">
        <v>62</v>
      </c>
      <c r="AB453" s="68" t="s">
        <v>62</v>
      </c>
      <c r="AD453" s="274"/>
      <c r="AE453" s="274"/>
      <c r="AF453" s="274"/>
      <c r="AG453" s="274"/>
      <c r="AH453" s="274"/>
      <c r="AI453" s="274"/>
      <c r="AJ453" s="274"/>
      <c r="AK453" s="274"/>
      <c r="AL453" s="274"/>
      <c r="AM453" s="274"/>
      <c r="AN453" s="274"/>
      <c r="AO453" s="274"/>
      <c r="AP453" s="274"/>
    </row>
    <row r="454" ht="25.5" customHeight="1">
      <c r="A454" s="198">
        <f t="shared" si="3"/>
        <v>453</v>
      </c>
      <c r="B454" s="198" t="s">
        <v>61</v>
      </c>
      <c r="C454" s="27" t="s">
        <v>63</v>
      </c>
      <c r="D454" s="27" t="s">
        <v>64</v>
      </c>
      <c r="E454" s="273"/>
      <c r="F454" s="30" t="s">
        <v>35</v>
      </c>
      <c r="G454" s="260" t="s">
        <v>36</v>
      </c>
      <c r="H454" s="121" t="s">
        <v>202</v>
      </c>
      <c r="I454" s="121" t="s">
        <v>38</v>
      </c>
      <c r="J454" s="27" t="s">
        <v>1663</v>
      </c>
      <c r="K454" s="27"/>
      <c r="L454" s="27" t="str">
        <f t="shared" ref="L454:L477" si="58">CONCATENATE(J454,", ",H454,", Cali")</f>
        <v>Carrera 56 con calle 3ra, Pampalinda, Cali</v>
      </c>
      <c r="M454" s="27" t="s">
        <v>231</v>
      </c>
      <c r="N454" s="27" t="s">
        <v>233</v>
      </c>
      <c r="O454" s="263"/>
      <c r="P454" s="263"/>
      <c r="Q454" s="27" t="s">
        <v>81</v>
      </c>
      <c r="R454" s="30"/>
      <c r="S454" s="30"/>
      <c r="T454" s="30">
        <v>1.0</v>
      </c>
      <c r="U454" s="263"/>
      <c r="V454" s="263"/>
      <c r="W454" s="263"/>
      <c r="X454" s="263"/>
      <c r="Y454" s="27" t="s">
        <v>1266</v>
      </c>
      <c r="Z454" s="275" t="s">
        <v>1664</v>
      </c>
      <c r="AA454" s="275"/>
      <c r="AB454" s="275"/>
      <c r="AD454" s="272"/>
      <c r="AE454" s="272"/>
      <c r="AF454" s="272"/>
      <c r="AG454" s="272"/>
      <c r="AH454" s="272"/>
      <c r="AI454" s="272"/>
      <c r="AJ454" s="272"/>
      <c r="AK454" s="272"/>
      <c r="AL454" s="272"/>
      <c r="AM454" s="272"/>
      <c r="AN454" s="272"/>
      <c r="AO454" s="272"/>
      <c r="AP454" s="272"/>
    </row>
    <row r="455" ht="25.5" customHeight="1">
      <c r="A455" s="198">
        <f t="shared" si="3"/>
        <v>454</v>
      </c>
      <c r="B455" s="198" t="s">
        <v>61</v>
      </c>
      <c r="C455" s="27" t="s">
        <v>63</v>
      </c>
      <c r="D455" s="27" t="s">
        <v>64</v>
      </c>
      <c r="E455" s="273"/>
      <c r="F455" s="30" t="s">
        <v>87</v>
      </c>
      <c r="G455" s="11" t="s">
        <v>36</v>
      </c>
      <c r="H455" s="121" t="s">
        <v>1665</v>
      </c>
      <c r="I455" s="121" t="s">
        <v>286</v>
      </c>
      <c r="J455" s="121" t="s">
        <v>1666</v>
      </c>
      <c r="K455" s="121" t="s">
        <v>1667</v>
      </c>
      <c r="L455" s="121" t="str">
        <f t="shared" si="58"/>
        <v>carrera 94 # 1a oeste - 03, alto jordan, Cali</v>
      </c>
      <c r="M455" s="142" t="s">
        <v>1668</v>
      </c>
      <c r="N455" s="142" t="s">
        <v>233</v>
      </c>
      <c r="O455" s="263"/>
      <c r="P455" s="263"/>
      <c r="Q455" s="27" t="s">
        <v>81</v>
      </c>
      <c r="R455" s="30"/>
      <c r="S455" s="30"/>
      <c r="T455" s="30">
        <v>1.0</v>
      </c>
      <c r="U455" s="263"/>
      <c r="V455" s="263"/>
      <c r="W455" s="263"/>
      <c r="X455" s="263"/>
      <c r="Y455" s="263"/>
      <c r="Z455" s="263"/>
      <c r="AA455" s="263"/>
      <c r="AB455" s="263"/>
      <c r="AD455" s="272"/>
      <c r="AE455" s="272"/>
      <c r="AF455" s="272"/>
      <c r="AG455" s="272"/>
      <c r="AH455" s="272"/>
      <c r="AI455" s="272"/>
      <c r="AJ455" s="272"/>
      <c r="AK455" s="272"/>
      <c r="AL455" s="272"/>
      <c r="AM455" s="272"/>
      <c r="AN455" s="272"/>
      <c r="AO455" s="272"/>
      <c r="AP455" s="272"/>
    </row>
    <row r="456" ht="25.5" customHeight="1">
      <c r="A456" s="198">
        <f t="shared" si="3"/>
        <v>455</v>
      </c>
      <c r="B456" s="198" t="s">
        <v>61</v>
      </c>
      <c r="C456" s="27" t="s">
        <v>63</v>
      </c>
      <c r="D456" s="27" t="s">
        <v>64</v>
      </c>
      <c r="E456" s="273"/>
      <c r="F456" s="30" t="s">
        <v>87</v>
      </c>
      <c r="G456" s="11" t="s">
        <v>36</v>
      </c>
      <c r="H456" s="121" t="s">
        <v>315</v>
      </c>
      <c r="I456" s="121" t="s">
        <v>38</v>
      </c>
      <c r="J456" s="27" t="s">
        <v>1669</v>
      </c>
      <c r="K456" s="27"/>
      <c r="L456" s="27" t="str">
        <f t="shared" si="58"/>
        <v>Cra 93 A Oeste #3a-23, La Arboleda Altos de Melendez, Cali</v>
      </c>
      <c r="M456" s="27" t="s">
        <v>231</v>
      </c>
      <c r="N456" s="27" t="s">
        <v>233</v>
      </c>
      <c r="O456" s="263"/>
      <c r="P456" s="263"/>
      <c r="Q456" s="27" t="s">
        <v>81</v>
      </c>
      <c r="R456" s="30"/>
      <c r="S456" s="30"/>
      <c r="T456" s="30">
        <v>1.0</v>
      </c>
      <c r="U456" s="263"/>
      <c r="V456" s="263"/>
      <c r="W456" s="263"/>
      <c r="X456" s="263"/>
      <c r="Y456" s="27" t="s">
        <v>1266</v>
      </c>
      <c r="Z456" s="121" t="s">
        <v>1670</v>
      </c>
      <c r="AA456" s="121"/>
      <c r="AB456" s="121"/>
      <c r="AD456" s="272"/>
      <c r="AE456" s="272"/>
      <c r="AF456" s="272"/>
      <c r="AG456" s="272"/>
      <c r="AH456" s="272"/>
      <c r="AI456" s="272"/>
      <c r="AJ456" s="272"/>
      <c r="AK456" s="272"/>
      <c r="AL456" s="272"/>
      <c r="AM456" s="272"/>
      <c r="AN456" s="272"/>
      <c r="AO456" s="272"/>
      <c r="AP456" s="272"/>
    </row>
    <row r="457" ht="25.5" customHeight="1">
      <c r="A457" s="198">
        <f t="shared" si="3"/>
        <v>456</v>
      </c>
      <c r="B457" s="198" t="s">
        <v>61</v>
      </c>
      <c r="C457" s="27" t="s">
        <v>63</v>
      </c>
      <c r="D457" s="27" t="s">
        <v>64</v>
      </c>
      <c r="E457" s="273"/>
      <c r="F457" s="11" t="s">
        <v>119</v>
      </c>
      <c r="G457" s="11" t="s">
        <v>350</v>
      </c>
      <c r="H457" s="121" t="s">
        <v>445</v>
      </c>
      <c r="I457" s="121" t="s">
        <v>38</v>
      </c>
      <c r="J457" s="27" t="s">
        <v>1671</v>
      </c>
      <c r="K457" s="27" t="s">
        <v>1493</v>
      </c>
      <c r="L457" s="27" t="str">
        <f t="shared" si="58"/>
        <v>Carrera 1g # 51-40, Salomia, Cali</v>
      </c>
      <c r="M457" s="27" t="s">
        <v>231</v>
      </c>
      <c r="N457" s="27" t="s">
        <v>233</v>
      </c>
      <c r="O457" s="263"/>
      <c r="P457" s="263"/>
      <c r="Q457" s="27" t="s">
        <v>81</v>
      </c>
      <c r="R457" s="30"/>
      <c r="S457" s="30"/>
      <c r="T457" s="30">
        <v>1.0</v>
      </c>
      <c r="U457" s="263"/>
      <c r="V457" s="263"/>
      <c r="W457" s="263"/>
      <c r="X457" s="263"/>
      <c r="Y457" s="263"/>
      <c r="Z457" s="263"/>
      <c r="AA457" s="263"/>
      <c r="AB457" s="263"/>
      <c r="AD457" s="272"/>
      <c r="AE457" s="272"/>
      <c r="AF457" s="272"/>
      <c r="AG457" s="272"/>
      <c r="AH457" s="272"/>
      <c r="AI457" s="272"/>
      <c r="AJ457" s="272"/>
      <c r="AK457" s="272"/>
      <c r="AL457" s="272"/>
      <c r="AM457" s="272"/>
      <c r="AN457" s="272"/>
      <c r="AO457" s="272"/>
      <c r="AP457" s="272"/>
    </row>
    <row r="458" ht="25.5" customHeight="1">
      <c r="A458" s="198">
        <f t="shared" si="3"/>
        <v>457</v>
      </c>
      <c r="B458" s="198" t="s">
        <v>61</v>
      </c>
      <c r="C458" s="27" t="s">
        <v>63</v>
      </c>
      <c r="D458" s="27" t="s">
        <v>64</v>
      </c>
      <c r="E458" s="33"/>
      <c r="F458" s="35" t="s">
        <v>60</v>
      </c>
      <c r="G458" s="30" t="s">
        <v>36</v>
      </c>
      <c r="H458" s="27" t="s">
        <v>504</v>
      </c>
      <c r="I458" s="27" t="s">
        <v>38</v>
      </c>
      <c r="J458" s="27" t="s">
        <v>1672</v>
      </c>
      <c r="K458" s="27" t="s">
        <v>1673</v>
      </c>
      <c r="L458" s="27" t="str">
        <f t="shared" si="58"/>
        <v>carrera 85E 28-06, Valle del Lili, Cali</v>
      </c>
      <c r="M458" s="27" t="s">
        <v>231</v>
      </c>
      <c r="N458" s="27" t="s">
        <v>233</v>
      </c>
      <c r="O458" s="33"/>
      <c r="P458" s="33"/>
      <c r="Q458" s="27" t="s">
        <v>81</v>
      </c>
      <c r="R458" s="30"/>
      <c r="S458" s="30"/>
      <c r="T458" s="30">
        <v>1.0</v>
      </c>
      <c r="U458" s="33"/>
      <c r="V458" s="33"/>
      <c r="W458" s="33"/>
      <c r="X458" s="33"/>
      <c r="Y458" s="33"/>
      <c r="Z458" s="33"/>
      <c r="AA458" s="33"/>
      <c r="AB458" s="33"/>
      <c r="AD458" s="22"/>
      <c r="AE458" s="22"/>
      <c r="AF458" s="22"/>
      <c r="AG458" s="22"/>
      <c r="AH458" s="22"/>
      <c r="AI458" s="22"/>
      <c r="AJ458" s="22"/>
      <c r="AK458" s="22"/>
      <c r="AL458" s="22"/>
      <c r="AM458" s="22"/>
      <c r="AN458" s="22"/>
      <c r="AO458" s="22"/>
      <c r="AP458" s="22"/>
    </row>
    <row r="459" ht="25.5" customHeight="1">
      <c r="A459" s="198">
        <f t="shared" si="3"/>
        <v>458</v>
      </c>
      <c r="B459" s="198" t="s">
        <v>61</v>
      </c>
      <c r="C459" s="27" t="s">
        <v>63</v>
      </c>
      <c r="D459" s="27" t="s">
        <v>64</v>
      </c>
      <c r="E459" s="33"/>
      <c r="F459" s="35" t="s">
        <v>60</v>
      </c>
      <c r="G459" s="30" t="s">
        <v>36</v>
      </c>
      <c r="H459" s="27" t="s">
        <v>504</v>
      </c>
      <c r="I459" s="27" t="s">
        <v>38</v>
      </c>
      <c r="J459" s="27" t="s">
        <v>1674</v>
      </c>
      <c r="K459" s="27" t="s">
        <v>1675</v>
      </c>
      <c r="L459" s="27" t="str">
        <f t="shared" si="58"/>
        <v>Calle 33 No. 94-210, Valle del Lili, Cali</v>
      </c>
      <c r="M459" s="27" t="s">
        <v>231</v>
      </c>
      <c r="N459" s="27" t="s">
        <v>233</v>
      </c>
      <c r="O459" s="33"/>
      <c r="P459" s="33"/>
      <c r="Q459" s="27" t="s">
        <v>81</v>
      </c>
      <c r="R459" s="30"/>
      <c r="S459" s="30"/>
      <c r="T459" s="30">
        <v>1.0</v>
      </c>
      <c r="U459" s="33"/>
      <c r="V459" s="33"/>
      <c r="W459" s="33"/>
      <c r="X459" s="33"/>
      <c r="Y459" s="27" t="s">
        <v>1266</v>
      </c>
      <c r="Z459" s="33"/>
      <c r="AA459" s="33"/>
      <c r="AB459" s="33"/>
      <c r="AD459" s="22"/>
      <c r="AE459" s="22"/>
      <c r="AF459" s="22"/>
      <c r="AG459" s="22"/>
      <c r="AH459" s="22"/>
      <c r="AI459" s="22"/>
      <c r="AJ459" s="22"/>
      <c r="AK459" s="22"/>
      <c r="AL459" s="22"/>
      <c r="AM459" s="22"/>
      <c r="AN459" s="22"/>
      <c r="AO459" s="22"/>
      <c r="AP459" s="22"/>
    </row>
    <row r="460" ht="25.5" customHeight="1">
      <c r="A460" s="198">
        <f t="shared" si="3"/>
        <v>459</v>
      </c>
      <c r="B460" s="198" t="s">
        <v>61</v>
      </c>
      <c r="C460" s="27" t="s">
        <v>63</v>
      </c>
      <c r="D460" s="27" t="s">
        <v>64</v>
      </c>
      <c r="E460" s="33"/>
      <c r="F460" s="30" t="s">
        <v>35</v>
      </c>
      <c r="G460" s="30" t="s">
        <v>36</v>
      </c>
      <c r="H460" s="27" t="s">
        <v>255</v>
      </c>
      <c r="I460" s="27" t="s">
        <v>38</v>
      </c>
      <c r="J460" s="27" t="s">
        <v>1676</v>
      </c>
      <c r="K460" s="27" t="s">
        <v>1677</v>
      </c>
      <c r="L460" s="27" t="str">
        <f t="shared" si="58"/>
        <v>Calle 4 66-49, El Refugio, Cali</v>
      </c>
      <c r="M460" s="27" t="s">
        <v>231</v>
      </c>
      <c r="N460" s="27" t="s">
        <v>233</v>
      </c>
      <c r="O460" s="33"/>
      <c r="P460" s="33"/>
      <c r="Q460" s="27" t="s">
        <v>81</v>
      </c>
      <c r="R460" s="30"/>
      <c r="S460" s="30"/>
      <c r="T460" s="30">
        <v>1.0</v>
      </c>
      <c r="U460" s="33"/>
      <c r="V460" s="33"/>
      <c r="W460" s="33"/>
      <c r="X460" s="33"/>
      <c r="Y460" s="27" t="s">
        <v>1266</v>
      </c>
      <c r="Z460" s="33"/>
      <c r="AA460" s="33"/>
      <c r="AB460" s="33"/>
      <c r="AD460" s="22"/>
      <c r="AE460" s="22"/>
      <c r="AF460" s="22"/>
      <c r="AG460" s="22"/>
      <c r="AH460" s="22"/>
      <c r="AI460" s="22"/>
      <c r="AJ460" s="22"/>
      <c r="AK460" s="22"/>
      <c r="AL460" s="22"/>
      <c r="AM460" s="22"/>
      <c r="AN460" s="22"/>
      <c r="AO460" s="22"/>
      <c r="AP460" s="22"/>
    </row>
    <row r="461" ht="25.5" customHeight="1">
      <c r="A461" s="198">
        <f t="shared" si="3"/>
        <v>460</v>
      </c>
      <c r="B461" s="198" t="s">
        <v>61</v>
      </c>
      <c r="C461" s="27" t="s">
        <v>279</v>
      </c>
      <c r="D461" s="27" t="s">
        <v>515</v>
      </c>
      <c r="E461" s="33"/>
      <c r="F461" s="30" t="s">
        <v>76</v>
      </c>
      <c r="G461" s="30" t="s">
        <v>350</v>
      </c>
      <c r="H461" s="27" t="s">
        <v>285</v>
      </c>
      <c r="I461" s="27" t="s">
        <v>38</v>
      </c>
      <c r="J461" s="27" t="s">
        <v>1678</v>
      </c>
      <c r="K461" s="27" t="s">
        <v>1679</v>
      </c>
      <c r="L461" s="276" t="str">
        <f t="shared" si="58"/>
        <v>avenida 6an # 6 -104, Granada, Cali</v>
      </c>
      <c r="M461" s="276" t="s">
        <v>231</v>
      </c>
      <c r="N461" s="276" t="s">
        <v>233</v>
      </c>
      <c r="O461" s="277"/>
      <c r="P461" s="277"/>
      <c r="Q461" s="276" t="s">
        <v>81</v>
      </c>
      <c r="R461" s="278"/>
      <c r="S461" s="278"/>
      <c r="T461" s="278">
        <v>1.0</v>
      </c>
      <c r="U461" s="277"/>
      <c r="V461" s="277"/>
      <c r="W461" s="277"/>
      <c r="X461" s="277"/>
      <c r="Y461" s="277"/>
      <c r="Z461" s="276" t="s">
        <v>1680</v>
      </c>
      <c r="AA461" s="276"/>
      <c r="AB461" s="276"/>
      <c r="AD461" s="22"/>
      <c r="AE461" s="22"/>
      <c r="AF461" s="22"/>
      <c r="AG461" s="22"/>
      <c r="AH461" s="22"/>
      <c r="AI461" s="22"/>
      <c r="AJ461" s="22"/>
      <c r="AK461" s="22"/>
      <c r="AL461" s="22"/>
      <c r="AM461" s="22"/>
      <c r="AN461" s="22"/>
      <c r="AO461" s="22"/>
      <c r="AP461" s="22"/>
    </row>
    <row r="462" ht="25.5" customHeight="1">
      <c r="A462" s="198">
        <f t="shared" si="3"/>
        <v>461</v>
      </c>
      <c r="B462" s="198" t="s">
        <v>61</v>
      </c>
      <c r="C462" s="27" t="s">
        <v>63</v>
      </c>
      <c r="D462" s="27" t="s">
        <v>64</v>
      </c>
      <c r="E462" s="33"/>
      <c r="F462" s="30" t="s">
        <v>128</v>
      </c>
      <c r="G462" s="30" t="s">
        <v>176</v>
      </c>
      <c r="H462" s="27" t="s">
        <v>127</v>
      </c>
      <c r="I462" s="27" t="s">
        <v>38</v>
      </c>
      <c r="J462" s="27" t="s">
        <v>1681</v>
      </c>
      <c r="K462" s="27" t="s">
        <v>1682</v>
      </c>
      <c r="L462" s="27" t="str">
        <f t="shared" si="58"/>
        <v>Calle 14 # 18a - 24, Barrio Giauaquil, Cali</v>
      </c>
      <c r="M462" s="27" t="s">
        <v>231</v>
      </c>
      <c r="N462" s="27" t="s">
        <v>233</v>
      </c>
      <c r="O462" s="33"/>
      <c r="P462" s="33"/>
      <c r="Q462" s="27" t="s">
        <v>81</v>
      </c>
      <c r="R462" s="30"/>
      <c r="S462" s="30"/>
      <c r="T462" s="30">
        <v>1.0</v>
      </c>
      <c r="U462" s="33"/>
      <c r="V462" s="33"/>
      <c r="W462" s="33"/>
      <c r="X462" s="33"/>
      <c r="Y462" s="33"/>
      <c r="Z462" s="33"/>
      <c r="AA462" s="33"/>
      <c r="AB462" s="33"/>
      <c r="AD462" s="22"/>
      <c r="AE462" s="22"/>
      <c r="AF462" s="22"/>
      <c r="AG462" s="22"/>
      <c r="AH462" s="22"/>
      <c r="AI462" s="22"/>
      <c r="AJ462" s="22"/>
      <c r="AK462" s="22"/>
      <c r="AL462" s="22"/>
      <c r="AM462" s="22"/>
      <c r="AN462" s="22"/>
      <c r="AO462" s="22"/>
      <c r="AP462" s="22"/>
    </row>
    <row r="463" ht="25.5" customHeight="1">
      <c r="A463" s="198">
        <f t="shared" si="3"/>
        <v>462</v>
      </c>
      <c r="B463" s="198" t="s">
        <v>61</v>
      </c>
      <c r="C463" s="27" t="s">
        <v>63</v>
      </c>
      <c r="D463" s="27" t="s">
        <v>64</v>
      </c>
      <c r="E463" s="33"/>
      <c r="F463" s="30" t="s">
        <v>35</v>
      </c>
      <c r="G463" s="30" t="s">
        <v>36</v>
      </c>
      <c r="H463" s="27" t="s">
        <v>37</v>
      </c>
      <c r="I463" s="27" t="s">
        <v>38</v>
      </c>
      <c r="J463" s="27" t="s">
        <v>1683</v>
      </c>
      <c r="K463" s="27" t="s">
        <v>1684</v>
      </c>
      <c r="L463" s="27" t="str">
        <f t="shared" si="58"/>
        <v>Cra 48 3a 53, El Lido, Cali</v>
      </c>
      <c r="M463" s="27" t="s">
        <v>231</v>
      </c>
      <c r="N463" s="27" t="s">
        <v>233</v>
      </c>
      <c r="O463" s="33"/>
      <c r="P463" s="33"/>
      <c r="Q463" s="27" t="s">
        <v>81</v>
      </c>
      <c r="R463" s="30"/>
      <c r="S463" s="30"/>
      <c r="T463" s="30">
        <v>1.0</v>
      </c>
      <c r="U463" s="33"/>
      <c r="V463" s="33"/>
      <c r="W463" s="33"/>
      <c r="X463" s="33"/>
      <c r="Y463" s="27" t="s">
        <v>1266</v>
      </c>
      <c r="Z463" s="27"/>
      <c r="AA463" s="27"/>
      <c r="AB463" s="27"/>
      <c r="AD463" s="22"/>
      <c r="AE463" s="22"/>
      <c r="AF463" s="22"/>
      <c r="AG463" s="22"/>
      <c r="AH463" s="22"/>
      <c r="AI463" s="22"/>
      <c r="AJ463" s="22"/>
      <c r="AK463" s="22"/>
      <c r="AL463" s="22"/>
      <c r="AM463" s="22"/>
      <c r="AN463" s="22"/>
      <c r="AO463" s="22"/>
      <c r="AP463" s="22"/>
    </row>
    <row r="464" ht="25.5" customHeight="1">
      <c r="A464" s="198">
        <f t="shared" si="3"/>
        <v>463</v>
      </c>
      <c r="B464" s="198" t="s">
        <v>61</v>
      </c>
      <c r="C464" s="27" t="s">
        <v>63</v>
      </c>
      <c r="D464" s="27" t="s">
        <v>64</v>
      </c>
      <c r="E464" s="33"/>
      <c r="F464" s="30" t="s">
        <v>76</v>
      </c>
      <c r="G464" s="30" t="s">
        <v>350</v>
      </c>
      <c r="H464" s="27" t="s">
        <v>129</v>
      </c>
      <c r="I464" s="27" t="s">
        <v>38</v>
      </c>
      <c r="J464" s="27" t="s">
        <v>1685</v>
      </c>
      <c r="K464" s="27" t="s">
        <v>1686</v>
      </c>
      <c r="L464" s="27" t="str">
        <f t="shared" si="58"/>
        <v>Avenida 4b norte # 58 N 62, Barrio la flora, Cali</v>
      </c>
      <c r="M464" s="27" t="s">
        <v>231</v>
      </c>
      <c r="N464" s="27" t="s">
        <v>233</v>
      </c>
      <c r="O464" s="33"/>
      <c r="P464" s="33"/>
      <c r="Q464" s="27" t="s">
        <v>81</v>
      </c>
      <c r="R464" s="30"/>
      <c r="S464" s="30"/>
      <c r="T464" s="30">
        <v>1.0</v>
      </c>
      <c r="U464" s="33"/>
      <c r="V464" s="33"/>
      <c r="W464" s="33"/>
      <c r="X464" s="33"/>
      <c r="Y464" s="27" t="s">
        <v>1266</v>
      </c>
      <c r="Z464" s="27" t="s">
        <v>1687</v>
      </c>
      <c r="AA464" s="27"/>
      <c r="AB464" s="27"/>
      <c r="AD464" s="22"/>
      <c r="AE464" s="22"/>
      <c r="AF464" s="22"/>
      <c r="AG464" s="22"/>
      <c r="AH464" s="22"/>
      <c r="AI464" s="22"/>
      <c r="AJ464" s="22"/>
      <c r="AK464" s="22"/>
      <c r="AL464" s="22"/>
      <c r="AM464" s="22"/>
      <c r="AN464" s="22"/>
      <c r="AO464" s="22"/>
      <c r="AP464" s="22"/>
    </row>
    <row r="465" ht="25.5" customHeight="1">
      <c r="A465" s="198">
        <f t="shared" si="3"/>
        <v>464</v>
      </c>
      <c r="B465" s="198" t="s">
        <v>61</v>
      </c>
      <c r="C465" s="27" t="s">
        <v>63</v>
      </c>
      <c r="D465" s="27" t="s">
        <v>64</v>
      </c>
      <c r="E465" s="33"/>
      <c r="F465" s="30" t="s">
        <v>87</v>
      </c>
      <c r="G465" s="30" t="s">
        <v>36</v>
      </c>
      <c r="H465" s="27" t="s">
        <v>93</v>
      </c>
      <c r="I465" s="27" t="s">
        <v>38</v>
      </c>
      <c r="J465" s="27" t="s">
        <v>1688</v>
      </c>
      <c r="K465" s="27" t="s">
        <v>1689</v>
      </c>
      <c r="L465" s="27" t="str">
        <f t="shared" si="58"/>
        <v>Carrera 94c #2-82, Altos de Melendez, Cali</v>
      </c>
      <c r="M465" s="27" t="s">
        <v>231</v>
      </c>
      <c r="N465" s="27" t="s">
        <v>233</v>
      </c>
      <c r="O465" s="33"/>
      <c r="P465" s="33"/>
      <c r="Q465" s="27" t="s">
        <v>81</v>
      </c>
      <c r="R465" s="30"/>
      <c r="S465" s="30"/>
      <c r="T465" s="30">
        <v>1.0</v>
      </c>
      <c r="U465" s="33"/>
      <c r="V465" s="33"/>
      <c r="W465" s="33"/>
      <c r="X465" s="33"/>
      <c r="Y465" s="33"/>
      <c r="Z465" s="27" t="s">
        <v>1690</v>
      </c>
      <c r="AA465" s="27"/>
      <c r="AB465" s="27"/>
      <c r="AD465" s="22"/>
      <c r="AE465" s="22"/>
      <c r="AF465" s="22"/>
      <c r="AG465" s="22"/>
      <c r="AH465" s="22"/>
      <c r="AI465" s="22"/>
      <c r="AJ465" s="22"/>
      <c r="AK465" s="22"/>
      <c r="AL465" s="22"/>
      <c r="AM465" s="22"/>
      <c r="AN465" s="22"/>
      <c r="AO465" s="22"/>
      <c r="AP465" s="22"/>
    </row>
    <row r="466" ht="25.5" customHeight="1">
      <c r="A466" s="198">
        <f t="shared" si="3"/>
        <v>465</v>
      </c>
      <c r="B466" s="198" t="s">
        <v>61</v>
      </c>
      <c r="C466" s="27" t="s">
        <v>63</v>
      </c>
      <c r="D466" s="27" t="s">
        <v>64</v>
      </c>
      <c r="E466" s="33"/>
      <c r="F466" s="30" t="s">
        <v>70</v>
      </c>
      <c r="G466" s="30" t="s">
        <v>36</v>
      </c>
      <c r="H466" s="27" t="s">
        <v>211</v>
      </c>
      <c r="I466" s="27" t="s">
        <v>286</v>
      </c>
      <c r="J466" s="27" t="s">
        <v>1691</v>
      </c>
      <c r="K466" s="27"/>
      <c r="L466" s="27" t="str">
        <f t="shared" si="58"/>
        <v>Carrera 27#10a-57, Colseguros, Cali</v>
      </c>
      <c r="M466" s="27" t="s">
        <v>231</v>
      </c>
      <c r="N466" s="27" t="s">
        <v>233</v>
      </c>
      <c r="O466" s="33"/>
      <c r="P466" s="33"/>
      <c r="Q466" s="27" t="s">
        <v>81</v>
      </c>
      <c r="R466" s="30"/>
      <c r="S466" s="30"/>
      <c r="T466" s="30">
        <v>1.0</v>
      </c>
      <c r="U466" s="33"/>
      <c r="V466" s="33"/>
      <c r="W466" s="33"/>
      <c r="X466" s="33"/>
      <c r="Y466" s="27" t="s">
        <v>1266</v>
      </c>
      <c r="Z466" s="27" t="s">
        <v>1692</v>
      </c>
      <c r="AA466" s="27"/>
      <c r="AB466" s="27"/>
      <c r="AD466" s="22"/>
      <c r="AE466" s="22"/>
      <c r="AF466" s="22"/>
      <c r="AG466" s="22"/>
      <c r="AH466" s="22"/>
      <c r="AI466" s="22"/>
      <c r="AJ466" s="22"/>
      <c r="AK466" s="22"/>
      <c r="AL466" s="22"/>
      <c r="AM466" s="22"/>
      <c r="AN466" s="22"/>
      <c r="AO466" s="22"/>
      <c r="AP466" s="22"/>
    </row>
    <row r="467" ht="25.5" customHeight="1">
      <c r="A467" s="198">
        <f t="shared" si="3"/>
        <v>466</v>
      </c>
      <c r="B467" s="198" t="s">
        <v>61</v>
      </c>
      <c r="C467" s="27" t="s">
        <v>63</v>
      </c>
      <c r="D467" s="27" t="s">
        <v>64</v>
      </c>
      <c r="E467" s="33"/>
      <c r="F467" s="30" t="s">
        <v>76</v>
      </c>
      <c r="G467" s="30" t="s">
        <v>350</v>
      </c>
      <c r="H467" s="27" t="s">
        <v>145</v>
      </c>
      <c r="I467" s="27" t="s">
        <v>286</v>
      </c>
      <c r="J467" s="27" t="s">
        <v>1693</v>
      </c>
      <c r="K467" s="27" t="s">
        <v>1694</v>
      </c>
      <c r="L467" s="27" t="str">
        <f t="shared" si="58"/>
        <v>Avenda 2a # 75en -47, Brisas de los Alamos, Cali</v>
      </c>
      <c r="M467" s="27" t="s">
        <v>231</v>
      </c>
      <c r="N467" s="27" t="s">
        <v>233</v>
      </c>
      <c r="O467" s="33"/>
      <c r="P467" s="33"/>
      <c r="Q467" s="27" t="s">
        <v>81</v>
      </c>
      <c r="R467" s="30"/>
      <c r="S467" s="30"/>
      <c r="T467" s="30">
        <v>1.0</v>
      </c>
      <c r="U467" s="33"/>
      <c r="V467" s="33"/>
      <c r="W467" s="33"/>
      <c r="X467" s="33"/>
      <c r="Y467" s="27" t="s">
        <v>1266</v>
      </c>
      <c r="Z467" s="27" t="s">
        <v>1695</v>
      </c>
      <c r="AA467" s="27"/>
      <c r="AB467" s="27"/>
      <c r="AD467" s="22"/>
      <c r="AE467" s="22"/>
      <c r="AF467" s="22"/>
      <c r="AG467" s="22"/>
      <c r="AH467" s="22"/>
      <c r="AI467" s="22"/>
      <c r="AJ467" s="22"/>
      <c r="AK467" s="22"/>
      <c r="AL467" s="22"/>
      <c r="AM467" s="22"/>
      <c r="AN467" s="22"/>
      <c r="AO467" s="22"/>
      <c r="AP467" s="22"/>
    </row>
    <row r="468" ht="25.5" customHeight="1">
      <c r="A468" s="198">
        <f t="shared" si="3"/>
        <v>467</v>
      </c>
      <c r="B468" s="198" t="s">
        <v>61</v>
      </c>
      <c r="C468" s="27" t="s">
        <v>63</v>
      </c>
      <c r="D468" s="27" t="s">
        <v>64</v>
      </c>
      <c r="E468" s="33"/>
      <c r="F468" s="30" t="s">
        <v>76</v>
      </c>
      <c r="G468" s="30" t="s">
        <v>350</v>
      </c>
      <c r="H468" s="27" t="s">
        <v>1696</v>
      </c>
      <c r="I468" s="27" t="s">
        <v>286</v>
      </c>
      <c r="J468" s="27" t="s">
        <v>1697</v>
      </c>
      <c r="K468" s="27" t="s">
        <v>1698</v>
      </c>
      <c r="L468" s="27" t="str">
        <f t="shared" si="58"/>
        <v>carrera 39 4b 63, san fernando viejo, Cali</v>
      </c>
      <c r="M468" s="27" t="s">
        <v>231</v>
      </c>
      <c r="N468" s="27" t="s">
        <v>233</v>
      </c>
      <c r="O468" s="33"/>
      <c r="P468" s="33"/>
      <c r="Q468" s="27" t="s">
        <v>81</v>
      </c>
      <c r="R468" s="30"/>
      <c r="S468" s="30"/>
      <c r="T468" s="30">
        <v>1.0</v>
      </c>
      <c r="U468" s="33"/>
      <c r="V468" s="33"/>
      <c r="W468" s="33"/>
      <c r="X468" s="33"/>
      <c r="Y468" s="33"/>
      <c r="Z468" s="33"/>
      <c r="AA468" s="33"/>
      <c r="AB468" s="33"/>
      <c r="AD468" s="22"/>
      <c r="AE468" s="22"/>
      <c r="AF468" s="22"/>
      <c r="AG468" s="22"/>
      <c r="AH468" s="22"/>
      <c r="AI468" s="22"/>
      <c r="AJ468" s="22"/>
      <c r="AK468" s="22"/>
      <c r="AL468" s="22"/>
      <c r="AM468" s="22"/>
      <c r="AN468" s="22"/>
      <c r="AO468" s="22"/>
      <c r="AP468" s="22"/>
    </row>
    <row r="469" ht="25.5" customHeight="1">
      <c r="A469" s="198">
        <f t="shared" si="3"/>
        <v>468</v>
      </c>
      <c r="B469" s="198" t="s">
        <v>61</v>
      </c>
      <c r="C469" s="27" t="s">
        <v>63</v>
      </c>
      <c r="D469" s="27" t="s">
        <v>64</v>
      </c>
      <c r="E469" s="33"/>
      <c r="F469" s="30" t="s">
        <v>78</v>
      </c>
      <c r="G469" s="30" t="s">
        <v>36</v>
      </c>
      <c r="H469" s="27" t="s">
        <v>1699</v>
      </c>
      <c r="I469" s="27" t="s">
        <v>286</v>
      </c>
      <c r="J469" s="27" t="s">
        <v>1700</v>
      </c>
      <c r="K469" s="27"/>
      <c r="L469" s="27" t="str">
        <f t="shared" si="58"/>
        <v>Carrera 76 # 2A-31, Alférez Real, Cali</v>
      </c>
      <c r="M469" s="27" t="s">
        <v>231</v>
      </c>
      <c r="N469" s="27" t="s">
        <v>233</v>
      </c>
      <c r="O469" s="33"/>
      <c r="P469" s="33"/>
      <c r="Q469" s="27" t="s">
        <v>81</v>
      </c>
      <c r="R469" s="30"/>
      <c r="S469" s="30"/>
      <c r="T469" s="30">
        <v>1.0</v>
      </c>
      <c r="U469" s="33"/>
      <c r="V469" s="33"/>
      <c r="W469" s="33"/>
      <c r="X469" s="33"/>
      <c r="Y469" s="33"/>
      <c r="Z469" s="27" t="s">
        <v>1701</v>
      </c>
      <c r="AA469" s="27"/>
      <c r="AB469" s="27"/>
      <c r="AD469" s="22"/>
      <c r="AE469" s="22"/>
      <c r="AF469" s="22"/>
      <c r="AG469" s="22"/>
      <c r="AH469" s="22"/>
      <c r="AI469" s="22"/>
      <c r="AJ469" s="22"/>
      <c r="AK469" s="22"/>
      <c r="AL469" s="22"/>
      <c r="AM469" s="22"/>
      <c r="AN469" s="22"/>
      <c r="AO469" s="22"/>
      <c r="AP469" s="22"/>
    </row>
    <row r="470" ht="25.5" customHeight="1">
      <c r="A470" s="198">
        <f t="shared" si="3"/>
        <v>469</v>
      </c>
      <c r="B470" s="198" t="s">
        <v>61</v>
      </c>
      <c r="C470" s="27" t="s">
        <v>63</v>
      </c>
      <c r="D470" s="27" t="s">
        <v>64</v>
      </c>
      <c r="E470" s="33"/>
      <c r="F470" s="30" t="s">
        <v>110</v>
      </c>
      <c r="G470" s="30" t="s">
        <v>176</v>
      </c>
      <c r="H470" s="27" t="s">
        <v>347</v>
      </c>
      <c r="I470" s="27" t="s">
        <v>286</v>
      </c>
      <c r="J470" s="27" t="s">
        <v>1702</v>
      </c>
      <c r="K470" s="27"/>
      <c r="L470" s="27" t="str">
        <f t="shared" si="58"/>
        <v>Calle 3A # 22-58, Libertadores, Cali</v>
      </c>
      <c r="M470" s="27" t="s">
        <v>231</v>
      </c>
      <c r="N470" s="27" t="s">
        <v>233</v>
      </c>
      <c r="O470" s="33"/>
      <c r="P470" s="33"/>
      <c r="Q470" s="27" t="s">
        <v>81</v>
      </c>
      <c r="R470" s="30"/>
      <c r="S470" s="30"/>
      <c r="T470" s="30">
        <v>1.0</v>
      </c>
      <c r="U470" s="33"/>
      <c r="V470" s="33"/>
      <c r="W470" s="33"/>
      <c r="X470" s="33"/>
      <c r="Y470" s="27" t="s">
        <v>1266</v>
      </c>
      <c r="Z470" s="27" t="s">
        <v>1703</v>
      </c>
      <c r="AA470" s="27"/>
      <c r="AB470" s="27"/>
      <c r="AD470" s="22"/>
      <c r="AE470" s="22"/>
      <c r="AF470" s="22"/>
      <c r="AG470" s="22"/>
      <c r="AH470" s="22"/>
      <c r="AI470" s="22"/>
      <c r="AJ470" s="22"/>
      <c r="AK470" s="22"/>
      <c r="AL470" s="22"/>
      <c r="AM470" s="22"/>
      <c r="AN470" s="22"/>
      <c r="AO470" s="22"/>
      <c r="AP470" s="22"/>
    </row>
    <row r="471" ht="25.5" customHeight="1">
      <c r="A471" s="198">
        <f t="shared" si="3"/>
        <v>470</v>
      </c>
      <c r="B471" s="198" t="s">
        <v>61</v>
      </c>
      <c r="C471" s="27" t="s">
        <v>63</v>
      </c>
      <c r="D471" s="27" t="s">
        <v>64</v>
      </c>
      <c r="E471" s="33"/>
      <c r="F471" s="35" t="s">
        <v>60</v>
      </c>
      <c r="G471" s="30" t="s">
        <v>36</v>
      </c>
      <c r="H471" s="27" t="s">
        <v>343</v>
      </c>
      <c r="I471" s="27" t="s">
        <v>38</v>
      </c>
      <c r="J471" s="27" t="s">
        <v>1704</v>
      </c>
      <c r="K471" s="27"/>
      <c r="L471" s="27" t="str">
        <f t="shared" si="58"/>
        <v>Carrera 83 # 6a - 32 alqueria c -403 c, Las Vegas, Cali</v>
      </c>
      <c r="M471" s="154" t="s">
        <v>1705</v>
      </c>
      <c r="N471" s="154" t="s">
        <v>233</v>
      </c>
      <c r="O471" s="33"/>
      <c r="P471" s="33"/>
      <c r="Q471" s="27" t="s">
        <v>81</v>
      </c>
      <c r="R471" s="30"/>
      <c r="S471" s="30"/>
      <c r="T471" s="30">
        <v>1.0</v>
      </c>
      <c r="U471" s="33"/>
      <c r="V471" s="33"/>
      <c r="W471" s="33"/>
      <c r="X471" s="33"/>
      <c r="Y471" s="27" t="s">
        <v>1266</v>
      </c>
      <c r="Z471" s="27" t="s">
        <v>1706</v>
      </c>
      <c r="AA471" s="27"/>
      <c r="AB471" s="27"/>
      <c r="AD471" s="22"/>
      <c r="AE471" s="22"/>
      <c r="AF471" s="22"/>
      <c r="AG471" s="22"/>
      <c r="AH471" s="22"/>
      <c r="AI471" s="22"/>
      <c r="AJ471" s="22"/>
      <c r="AK471" s="22"/>
      <c r="AL471" s="22"/>
      <c r="AM471" s="22"/>
      <c r="AN471" s="22"/>
      <c r="AO471" s="22"/>
      <c r="AP471" s="22"/>
    </row>
    <row r="472" ht="25.5" customHeight="1">
      <c r="A472" s="198">
        <f t="shared" si="3"/>
        <v>471</v>
      </c>
      <c r="B472" s="198" t="s">
        <v>61</v>
      </c>
      <c r="C472" s="27" t="s">
        <v>63</v>
      </c>
      <c r="D472" s="27" t="s">
        <v>64</v>
      </c>
      <c r="E472" s="33"/>
      <c r="F472" s="30" t="s">
        <v>110</v>
      </c>
      <c r="G472" s="30" t="s">
        <v>176</v>
      </c>
      <c r="H472" s="27" t="s">
        <v>1060</v>
      </c>
      <c r="I472" s="27" t="s">
        <v>286</v>
      </c>
      <c r="J472" s="27" t="s">
        <v>1707</v>
      </c>
      <c r="K472" s="27"/>
      <c r="L472" s="27" t="str">
        <f t="shared" si="58"/>
        <v>Calle 5# 14-37, san bosco, Cali</v>
      </c>
      <c r="M472" s="154" t="s">
        <v>1708</v>
      </c>
      <c r="N472" s="154" t="s">
        <v>233</v>
      </c>
      <c r="O472" s="33"/>
      <c r="P472" s="33"/>
      <c r="Q472" s="27" t="s">
        <v>81</v>
      </c>
      <c r="R472" s="30"/>
      <c r="S472" s="30"/>
      <c r="T472" s="30">
        <v>1.0</v>
      </c>
      <c r="U472" s="33"/>
      <c r="V472" s="33"/>
      <c r="W472" s="33"/>
      <c r="X472" s="33"/>
      <c r="Y472" s="27" t="s">
        <v>1266</v>
      </c>
      <c r="Z472" s="33"/>
      <c r="AA472" s="33"/>
      <c r="AB472" s="33"/>
      <c r="AD472" s="22"/>
      <c r="AE472" s="22"/>
      <c r="AF472" s="22"/>
      <c r="AG472" s="22"/>
      <c r="AH472" s="22"/>
      <c r="AI472" s="22"/>
      <c r="AJ472" s="22"/>
      <c r="AK472" s="22"/>
      <c r="AL472" s="22"/>
      <c r="AM472" s="22"/>
      <c r="AN472" s="22"/>
      <c r="AO472" s="22"/>
      <c r="AP472" s="22"/>
    </row>
    <row r="473" ht="25.5" customHeight="1">
      <c r="A473" s="198">
        <f t="shared" si="3"/>
        <v>472</v>
      </c>
      <c r="B473" s="198" t="s">
        <v>61</v>
      </c>
      <c r="C473" s="27" t="s">
        <v>63</v>
      </c>
      <c r="D473" s="27" t="s">
        <v>64</v>
      </c>
      <c r="E473" s="33"/>
      <c r="F473" s="30" t="s">
        <v>192</v>
      </c>
      <c r="G473" s="30" t="s">
        <v>426</v>
      </c>
      <c r="H473" s="27" t="s">
        <v>1709</v>
      </c>
      <c r="I473" s="27" t="s">
        <v>286</v>
      </c>
      <c r="J473" s="27" t="s">
        <v>1710</v>
      </c>
      <c r="K473" s="27"/>
      <c r="L473" s="27" t="str">
        <f t="shared" si="58"/>
        <v>Calle 53 # 36 25, Laureano Gomez, Cali</v>
      </c>
      <c r="M473" s="27" t="s">
        <v>231</v>
      </c>
      <c r="N473" s="27" t="s">
        <v>233</v>
      </c>
      <c r="O473" s="33"/>
      <c r="P473" s="33"/>
      <c r="Q473" s="27" t="s">
        <v>81</v>
      </c>
      <c r="R473" s="30"/>
      <c r="S473" s="30"/>
      <c r="T473" s="30">
        <v>1.0</v>
      </c>
      <c r="U473" s="33"/>
      <c r="V473" s="33"/>
      <c r="W473" s="33"/>
      <c r="X473" s="33"/>
      <c r="Y473" s="27" t="s">
        <v>1266</v>
      </c>
      <c r="Z473" s="27" t="s">
        <v>1711</v>
      </c>
      <c r="AA473" s="27"/>
      <c r="AB473" s="27"/>
      <c r="AD473" s="22"/>
      <c r="AE473" s="22"/>
      <c r="AF473" s="22"/>
      <c r="AG473" s="22"/>
      <c r="AH473" s="22"/>
      <c r="AI473" s="22"/>
      <c r="AJ473" s="22"/>
      <c r="AK473" s="22"/>
      <c r="AL473" s="22"/>
      <c r="AM473" s="22"/>
      <c r="AN473" s="22"/>
      <c r="AO473" s="22"/>
      <c r="AP473" s="22"/>
    </row>
    <row r="474" ht="25.5" customHeight="1">
      <c r="A474" s="198">
        <f t="shared" si="3"/>
        <v>473</v>
      </c>
      <c r="B474" s="198" t="s">
        <v>61</v>
      </c>
      <c r="C474" s="27" t="s">
        <v>63</v>
      </c>
      <c r="D474" s="27" t="s">
        <v>64</v>
      </c>
      <c r="E474" s="33"/>
      <c r="F474" s="30" t="s">
        <v>87</v>
      </c>
      <c r="G474" s="30" t="s">
        <v>36</v>
      </c>
      <c r="H474" s="27" t="s">
        <v>1712</v>
      </c>
      <c r="I474" s="27" t="s">
        <v>286</v>
      </c>
      <c r="J474" s="27" t="s">
        <v>1713</v>
      </c>
      <c r="K474" s="27"/>
      <c r="L474" s="27" t="str">
        <f t="shared" si="58"/>
        <v>calle 2 # 93, El Jordan, Cali</v>
      </c>
      <c r="M474" s="27" t="s">
        <v>231</v>
      </c>
      <c r="N474" s="27" t="s">
        <v>233</v>
      </c>
      <c r="O474" s="33"/>
      <c r="P474" s="33"/>
      <c r="Q474" s="27" t="s">
        <v>81</v>
      </c>
      <c r="R474" s="30"/>
      <c r="S474" s="30"/>
      <c r="T474" s="30">
        <v>1.0</v>
      </c>
      <c r="U474" s="33"/>
      <c r="V474" s="33"/>
      <c r="W474" s="33"/>
      <c r="X474" s="33"/>
      <c r="Y474" s="27" t="s">
        <v>1266</v>
      </c>
      <c r="Z474" s="27" t="s">
        <v>1714</v>
      </c>
      <c r="AA474" s="27"/>
      <c r="AB474" s="27"/>
      <c r="AD474" s="22"/>
      <c r="AE474" s="22"/>
      <c r="AF474" s="22"/>
      <c r="AG474" s="22"/>
      <c r="AH474" s="22"/>
      <c r="AI474" s="22"/>
      <c r="AJ474" s="22"/>
      <c r="AK474" s="22"/>
      <c r="AL474" s="22"/>
      <c r="AM474" s="22"/>
      <c r="AN474" s="22"/>
      <c r="AO474" s="22"/>
      <c r="AP474" s="22"/>
    </row>
    <row r="475" ht="25.5" customHeight="1">
      <c r="A475" s="198">
        <f t="shared" si="3"/>
        <v>474</v>
      </c>
      <c r="B475" s="198" t="s">
        <v>61</v>
      </c>
      <c r="C475" s="27" t="s">
        <v>63</v>
      </c>
      <c r="D475" s="27" t="s">
        <v>64</v>
      </c>
      <c r="E475" s="33"/>
      <c r="F475" s="30" t="s">
        <v>35</v>
      </c>
      <c r="G475" s="30" t="s">
        <v>36</v>
      </c>
      <c r="H475" s="27" t="s">
        <v>1452</v>
      </c>
      <c r="I475" s="27" t="s">
        <v>1715</v>
      </c>
      <c r="J475" s="27" t="s">
        <v>1716</v>
      </c>
      <c r="K475" s="27"/>
      <c r="L475" s="27" t="str">
        <f t="shared" si="58"/>
        <v>carrera 65 # 3 a- 34, el refugio, Cali</v>
      </c>
      <c r="M475" s="27" t="s">
        <v>231</v>
      </c>
      <c r="N475" s="27" t="s">
        <v>233</v>
      </c>
      <c r="O475" s="33"/>
      <c r="P475" s="33"/>
      <c r="Q475" s="27" t="s">
        <v>81</v>
      </c>
      <c r="R475" s="30"/>
      <c r="S475" s="30"/>
      <c r="T475" s="30">
        <v>1.0</v>
      </c>
      <c r="U475" s="33"/>
      <c r="V475" s="33"/>
      <c r="W475" s="33"/>
      <c r="X475" s="33"/>
      <c r="Y475" s="33"/>
      <c r="Z475" s="33"/>
      <c r="AA475" s="33"/>
      <c r="AB475" s="33"/>
      <c r="AD475" s="22"/>
      <c r="AE475" s="22"/>
      <c r="AF475" s="22"/>
      <c r="AG475" s="22"/>
      <c r="AH475" s="22"/>
      <c r="AI475" s="22"/>
      <c r="AJ475" s="22"/>
      <c r="AK475" s="22"/>
      <c r="AL475" s="22"/>
      <c r="AM475" s="22"/>
      <c r="AN475" s="22"/>
      <c r="AO475" s="22"/>
      <c r="AP475" s="22"/>
    </row>
    <row r="476" ht="25.5" customHeight="1">
      <c r="A476" s="198">
        <f t="shared" si="3"/>
        <v>475</v>
      </c>
      <c r="B476" s="198" t="s">
        <v>61</v>
      </c>
      <c r="C476" s="27" t="s">
        <v>63</v>
      </c>
      <c r="D476" s="27" t="s">
        <v>64</v>
      </c>
      <c r="E476" s="33"/>
      <c r="F476" s="35" t="s">
        <v>60</v>
      </c>
      <c r="G476" s="30" t="s">
        <v>36</v>
      </c>
      <c r="H476" s="27" t="s">
        <v>504</v>
      </c>
      <c r="I476" s="27" t="s">
        <v>38</v>
      </c>
      <c r="J476" s="27" t="s">
        <v>1717</v>
      </c>
      <c r="K476" s="27" t="s">
        <v>1718</v>
      </c>
      <c r="L476" s="27" t="str">
        <f t="shared" si="58"/>
        <v>Calle 45 98a 28, Valle del Lili, Cali</v>
      </c>
      <c r="M476" s="27" t="s">
        <v>231</v>
      </c>
      <c r="N476" s="27" t="s">
        <v>233</v>
      </c>
      <c r="O476" s="33"/>
      <c r="P476" s="33"/>
      <c r="Q476" s="27" t="s">
        <v>81</v>
      </c>
      <c r="R476" s="30"/>
      <c r="S476" s="30"/>
      <c r="T476" s="30">
        <v>1.0</v>
      </c>
      <c r="U476" s="33"/>
      <c r="V476" s="33"/>
      <c r="W476" s="33"/>
      <c r="X476" s="33"/>
      <c r="Y476" s="27" t="s">
        <v>1266</v>
      </c>
      <c r="Z476" s="27" t="s">
        <v>1719</v>
      </c>
      <c r="AA476" s="27"/>
      <c r="AB476" s="27"/>
      <c r="AD476" s="22"/>
      <c r="AE476" s="22"/>
      <c r="AF476" s="22"/>
      <c r="AG476" s="22"/>
      <c r="AH476" s="22"/>
      <c r="AI476" s="22"/>
      <c r="AJ476" s="22"/>
      <c r="AK476" s="22"/>
      <c r="AL476" s="22"/>
      <c r="AM476" s="22"/>
      <c r="AN476" s="22"/>
      <c r="AO476" s="22"/>
      <c r="AP476" s="22"/>
    </row>
    <row r="477" ht="25.5" customHeight="1">
      <c r="A477" s="198">
        <f t="shared" si="3"/>
        <v>476</v>
      </c>
      <c r="B477" s="198" t="s">
        <v>61</v>
      </c>
      <c r="C477" s="27" t="s">
        <v>63</v>
      </c>
      <c r="D477" s="27" t="s">
        <v>64</v>
      </c>
      <c r="E477" s="33"/>
      <c r="F477" s="35" t="s">
        <v>60</v>
      </c>
      <c r="G477" s="30" t="s">
        <v>36</v>
      </c>
      <c r="H477" s="27" t="s">
        <v>504</v>
      </c>
      <c r="I477" s="27" t="s">
        <v>38</v>
      </c>
      <c r="J477" s="27" t="s">
        <v>1720</v>
      </c>
      <c r="K477" s="27" t="s">
        <v>1718</v>
      </c>
      <c r="L477" s="27" t="str">
        <f t="shared" si="58"/>
        <v>Calle 45 98a 32, Valle del Lili, Cali</v>
      </c>
      <c r="M477" s="27" t="s">
        <v>231</v>
      </c>
      <c r="N477" s="27" t="s">
        <v>233</v>
      </c>
      <c r="O477" s="33"/>
      <c r="P477" s="33"/>
      <c r="Q477" s="27" t="s">
        <v>81</v>
      </c>
      <c r="R477" s="30"/>
      <c r="S477" s="30"/>
      <c r="T477" s="30">
        <v>1.0</v>
      </c>
      <c r="U477" s="33"/>
      <c r="V477" s="33"/>
      <c r="W477" s="33"/>
      <c r="X477" s="33"/>
      <c r="Y477" s="27" t="s">
        <v>1266</v>
      </c>
      <c r="Z477" s="27" t="s">
        <v>1719</v>
      </c>
      <c r="AA477" s="27"/>
      <c r="AB477" s="27"/>
      <c r="AD477" s="22"/>
      <c r="AE477" s="22"/>
      <c r="AF477" s="22"/>
      <c r="AG477" s="22"/>
      <c r="AH477" s="22"/>
      <c r="AI477" s="22"/>
      <c r="AJ477" s="22"/>
      <c r="AK477" s="22"/>
      <c r="AL477" s="22"/>
      <c r="AM477" s="22"/>
      <c r="AN477" s="22"/>
      <c r="AO477" s="22"/>
      <c r="AP477" s="22"/>
    </row>
    <row r="478" ht="25.5" customHeight="1">
      <c r="A478" s="63">
        <f t="shared" si="3"/>
        <v>477</v>
      </c>
      <c r="B478" s="63" t="s">
        <v>62</v>
      </c>
      <c r="C478" s="65" t="s">
        <v>133</v>
      </c>
      <c r="D478" s="279" t="s">
        <v>64</v>
      </c>
      <c r="E478" s="68" t="s">
        <v>62</v>
      </c>
      <c r="F478" s="70" t="s">
        <v>62</v>
      </c>
      <c r="G478" s="70" t="s">
        <v>62</v>
      </c>
      <c r="H478" s="71" t="s">
        <v>62</v>
      </c>
      <c r="I478" s="71" t="s">
        <v>62</v>
      </c>
      <c r="J478" s="68" t="s">
        <v>62</v>
      </c>
      <c r="K478" s="68" t="s">
        <v>62</v>
      </c>
      <c r="L478" s="68" t="s">
        <v>62</v>
      </c>
      <c r="M478" s="68" t="s">
        <v>62</v>
      </c>
      <c r="N478" s="68" t="s">
        <v>62</v>
      </c>
      <c r="O478" s="68" t="s">
        <v>62</v>
      </c>
      <c r="P478" s="68" t="s">
        <v>62</v>
      </c>
      <c r="Q478" s="68" t="s">
        <v>62</v>
      </c>
      <c r="R478" s="68" t="s">
        <v>62</v>
      </c>
      <c r="S478" s="68"/>
      <c r="T478" s="68" t="s">
        <v>62</v>
      </c>
      <c r="U478" s="68" t="s">
        <v>62</v>
      </c>
      <c r="V478" s="68" t="s">
        <v>62</v>
      </c>
      <c r="W478" s="68" t="s">
        <v>62</v>
      </c>
      <c r="X478" s="68" t="s">
        <v>62</v>
      </c>
      <c r="Y478" s="68" t="s">
        <v>62</v>
      </c>
      <c r="Z478" s="68" t="s">
        <v>62</v>
      </c>
      <c r="AA478" s="68" t="s">
        <v>62</v>
      </c>
      <c r="AB478" s="68" t="s">
        <v>62</v>
      </c>
      <c r="AD478" s="196"/>
      <c r="AE478" s="196"/>
      <c r="AF478" s="196"/>
      <c r="AG478" s="196"/>
      <c r="AH478" s="196"/>
      <c r="AI478" s="196"/>
      <c r="AJ478" s="196"/>
      <c r="AK478" s="196"/>
      <c r="AL478" s="196"/>
      <c r="AM478" s="196"/>
      <c r="AN478" s="196"/>
      <c r="AO478" s="196"/>
      <c r="AP478" s="196"/>
    </row>
    <row r="479" ht="25.5" customHeight="1">
      <c r="A479" s="198">
        <f t="shared" si="3"/>
        <v>478</v>
      </c>
      <c r="B479" s="198" t="s">
        <v>61</v>
      </c>
      <c r="C479" s="27" t="s">
        <v>63</v>
      </c>
      <c r="D479" s="27" t="s">
        <v>64</v>
      </c>
      <c r="E479" s="33"/>
      <c r="F479" s="30" t="s">
        <v>87</v>
      </c>
      <c r="G479" s="30" t="s">
        <v>36</v>
      </c>
      <c r="H479" s="27" t="s">
        <v>302</v>
      </c>
      <c r="I479" s="27" t="s">
        <v>286</v>
      </c>
      <c r="J479" s="27" t="s">
        <v>1721</v>
      </c>
      <c r="K479" s="27"/>
      <c r="L479" s="27" t="str">
        <f t="shared" ref="L479:L490" si="59">CONCATENATE(J479,", ",H479,", Cali")</f>
        <v>calle 2c # 94bis 1b - 23, Jordan, Cali</v>
      </c>
      <c r="M479" s="154" t="s">
        <v>1722</v>
      </c>
      <c r="N479" s="154" t="s">
        <v>233</v>
      </c>
      <c r="O479" s="33"/>
      <c r="P479" s="33"/>
      <c r="Q479" s="27" t="s">
        <v>81</v>
      </c>
      <c r="R479" s="30"/>
      <c r="S479" s="30"/>
      <c r="T479" s="30">
        <v>1.0</v>
      </c>
      <c r="U479" s="33"/>
      <c r="V479" s="33"/>
      <c r="W479" s="33"/>
      <c r="X479" s="33"/>
      <c r="Y479" s="27" t="s">
        <v>1266</v>
      </c>
      <c r="Z479" s="33"/>
      <c r="AA479" s="33"/>
      <c r="AB479" s="33"/>
      <c r="AD479" s="22"/>
      <c r="AE479" s="22"/>
      <c r="AF479" s="22"/>
      <c r="AG479" s="22"/>
      <c r="AH479" s="22"/>
      <c r="AI479" s="22"/>
      <c r="AJ479" s="22"/>
      <c r="AK479" s="22"/>
      <c r="AL479" s="22"/>
      <c r="AM479" s="22"/>
      <c r="AN479" s="22"/>
      <c r="AO479" s="22"/>
      <c r="AP479" s="22"/>
    </row>
    <row r="480" ht="25.5" customHeight="1">
      <c r="A480" s="198">
        <f t="shared" si="3"/>
        <v>479</v>
      </c>
      <c r="B480" s="198" t="s">
        <v>61</v>
      </c>
      <c r="C480" s="27" t="s">
        <v>63</v>
      </c>
      <c r="D480" s="27" t="s">
        <v>64</v>
      </c>
      <c r="E480" s="33"/>
      <c r="F480" s="30" t="s">
        <v>35</v>
      </c>
      <c r="G480" s="30" t="s">
        <v>36</v>
      </c>
      <c r="H480" s="27" t="s">
        <v>442</v>
      </c>
      <c r="I480" s="27" t="s">
        <v>38</v>
      </c>
      <c r="J480" s="27" t="s">
        <v>1723</v>
      </c>
      <c r="K480" s="27"/>
      <c r="L480" s="27" t="str">
        <f t="shared" si="59"/>
        <v>Calle 10 # 65A-51, Refugio, Cali</v>
      </c>
      <c r="M480" s="154" t="s">
        <v>1724</v>
      </c>
      <c r="N480" s="154" t="s">
        <v>233</v>
      </c>
      <c r="O480" s="33"/>
      <c r="P480" s="33"/>
      <c r="Q480" s="27" t="s">
        <v>81</v>
      </c>
      <c r="R480" s="30"/>
      <c r="S480" s="30"/>
      <c r="T480" s="30">
        <v>1.0</v>
      </c>
      <c r="U480" s="33"/>
      <c r="V480" s="33"/>
      <c r="W480" s="33"/>
      <c r="X480" s="33"/>
      <c r="Y480" s="27" t="s">
        <v>1266</v>
      </c>
      <c r="Z480" s="27" t="s">
        <v>1725</v>
      </c>
      <c r="AA480" s="27"/>
      <c r="AB480" s="27"/>
      <c r="AD480" s="22"/>
      <c r="AE480" s="22"/>
      <c r="AF480" s="22"/>
      <c r="AG480" s="22"/>
      <c r="AH480" s="22"/>
      <c r="AI480" s="22"/>
      <c r="AJ480" s="22"/>
      <c r="AK480" s="22"/>
      <c r="AL480" s="22"/>
      <c r="AM480" s="22"/>
      <c r="AN480" s="22"/>
      <c r="AO480" s="22"/>
      <c r="AP480" s="22"/>
    </row>
    <row r="481" ht="25.5" customHeight="1">
      <c r="A481" s="198">
        <f t="shared" si="3"/>
        <v>480</v>
      </c>
      <c r="B481" s="198" t="s">
        <v>61</v>
      </c>
      <c r="C481" s="27" t="s">
        <v>63</v>
      </c>
      <c r="D481" s="27" t="s">
        <v>64</v>
      </c>
      <c r="E481" s="33"/>
      <c r="F481" s="30" t="s">
        <v>121</v>
      </c>
      <c r="G481" s="30" t="s">
        <v>426</v>
      </c>
      <c r="H481" s="27" t="s">
        <v>120</v>
      </c>
      <c r="I481" s="27" t="s">
        <v>38</v>
      </c>
      <c r="J481" s="27" t="s">
        <v>1726</v>
      </c>
      <c r="K481" s="27"/>
      <c r="L481" s="27" t="str">
        <f t="shared" si="59"/>
        <v>Cra 24b #39-18, Barrio Asturias, Cali</v>
      </c>
      <c r="M481" s="154" t="s">
        <v>1727</v>
      </c>
      <c r="N481" s="154" t="s">
        <v>233</v>
      </c>
      <c r="O481" s="33"/>
      <c r="P481" s="33"/>
      <c r="Q481" s="27" t="s">
        <v>81</v>
      </c>
      <c r="R481" s="30"/>
      <c r="S481" s="30"/>
      <c r="T481" s="30">
        <v>1.0</v>
      </c>
      <c r="U481" s="27" t="s">
        <v>731</v>
      </c>
      <c r="V481" s="33"/>
      <c r="W481" s="27" t="s">
        <v>731</v>
      </c>
      <c r="X481" s="33"/>
      <c r="Y481" s="27" t="s">
        <v>1266</v>
      </c>
      <c r="Z481" s="27" t="s">
        <v>1728</v>
      </c>
      <c r="AA481" s="27"/>
      <c r="AB481" s="27"/>
      <c r="AD481" s="22"/>
      <c r="AE481" s="22"/>
      <c r="AF481" s="22"/>
      <c r="AG481" s="22"/>
      <c r="AH481" s="22"/>
      <c r="AI481" s="22"/>
      <c r="AJ481" s="22"/>
      <c r="AK481" s="22"/>
      <c r="AL481" s="22"/>
      <c r="AM481" s="22"/>
      <c r="AN481" s="22"/>
      <c r="AO481" s="22"/>
      <c r="AP481" s="22"/>
    </row>
    <row r="482" ht="25.5" customHeight="1">
      <c r="A482" s="198">
        <f t="shared" si="3"/>
        <v>481</v>
      </c>
      <c r="B482" s="198" t="s">
        <v>61</v>
      </c>
      <c r="C482" s="27" t="s">
        <v>63</v>
      </c>
      <c r="D482" s="27" t="s">
        <v>64</v>
      </c>
      <c r="E482" s="33"/>
      <c r="F482" s="30" t="s">
        <v>59</v>
      </c>
      <c r="G482" s="30" t="s">
        <v>939</v>
      </c>
      <c r="H482" s="27" t="s">
        <v>492</v>
      </c>
      <c r="I482" s="27" t="s">
        <v>38</v>
      </c>
      <c r="J482" s="27" t="s">
        <v>1729</v>
      </c>
      <c r="K482" s="27"/>
      <c r="L482" s="27" t="str">
        <f t="shared" si="59"/>
        <v>Carrera 18 oeste 4 -68, Terrón Colorado, Cali</v>
      </c>
      <c r="M482" s="27" t="s">
        <v>231</v>
      </c>
      <c r="N482" s="27" t="s">
        <v>233</v>
      </c>
      <c r="O482" s="33"/>
      <c r="P482" s="33"/>
      <c r="Q482" s="27" t="s">
        <v>81</v>
      </c>
      <c r="R482" s="30"/>
      <c r="S482" s="30"/>
      <c r="T482" s="30">
        <v>1.0</v>
      </c>
      <c r="U482" s="27"/>
      <c r="V482" s="33"/>
      <c r="W482" s="27"/>
      <c r="X482" s="33"/>
      <c r="Y482" s="27" t="s">
        <v>1266</v>
      </c>
      <c r="Z482" s="27"/>
      <c r="AA482" s="27"/>
      <c r="AB482" s="27"/>
      <c r="AD482" s="22"/>
      <c r="AE482" s="22"/>
      <c r="AF482" s="22"/>
      <c r="AG482" s="22"/>
      <c r="AH482" s="22"/>
      <c r="AI482" s="22"/>
      <c r="AJ482" s="22"/>
      <c r="AK482" s="22"/>
      <c r="AL482" s="22"/>
      <c r="AM482" s="22"/>
      <c r="AN482" s="22"/>
      <c r="AO482" s="22"/>
      <c r="AP482" s="22"/>
    </row>
    <row r="483" ht="25.5" customHeight="1">
      <c r="A483" s="198">
        <f t="shared" si="3"/>
        <v>482</v>
      </c>
      <c r="B483" s="198" t="s">
        <v>61</v>
      </c>
      <c r="C483" s="27" t="s">
        <v>63</v>
      </c>
      <c r="D483" s="27" t="s">
        <v>64</v>
      </c>
      <c r="E483" s="33"/>
      <c r="F483" s="30" t="s">
        <v>91</v>
      </c>
      <c r="G483" s="30" t="s">
        <v>426</v>
      </c>
      <c r="H483" s="27" t="s">
        <v>181</v>
      </c>
      <c r="I483" s="27" t="s">
        <v>286</v>
      </c>
      <c r="J483" s="27" t="s">
        <v>1730</v>
      </c>
      <c r="K483" s="27"/>
      <c r="L483" s="27" t="str">
        <f t="shared" si="59"/>
        <v>Carrera 25 U 72 U 26, Charco azul, Cali</v>
      </c>
      <c r="M483" s="27" t="s">
        <v>231</v>
      </c>
      <c r="N483" s="27" t="s">
        <v>233</v>
      </c>
      <c r="O483" s="33"/>
      <c r="P483" s="33"/>
      <c r="Q483" s="27" t="s">
        <v>81</v>
      </c>
      <c r="R483" s="30"/>
      <c r="S483" s="30"/>
      <c r="T483" s="30">
        <v>1.0</v>
      </c>
      <c r="U483" s="33"/>
      <c r="V483" s="33"/>
      <c r="W483" s="33"/>
      <c r="X483" s="33"/>
      <c r="Y483" s="27" t="s">
        <v>1266</v>
      </c>
      <c r="Z483" s="27" t="s">
        <v>1731</v>
      </c>
      <c r="AA483" s="27"/>
      <c r="AB483" s="27"/>
      <c r="AD483" s="22"/>
      <c r="AE483" s="22"/>
      <c r="AF483" s="22"/>
      <c r="AG483" s="22"/>
      <c r="AH483" s="22"/>
      <c r="AI483" s="22"/>
      <c r="AJ483" s="22"/>
      <c r="AK483" s="22"/>
      <c r="AL483" s="22"/>
      <c r="AM483" s="22"/>
      <c r="AN483" s="22"/>
      <c r="AO483" s="22"/>
      <c r="AP483" s="22"/>
    </row>
    <row r="484" ht="25.5" customHeight="1">
      <c r="A484" s="198">
        <f t="shared" si="3"/>
        <v>483</v>
      </c>
      <c r="B484" s="198" t="s">
        <v>61</v>
      </c>
      <c r="C484" s="27" t="s">
        <v>63</v>
      </c>
      <c r="D484" s="27" t="s">
        <v>64</v>
      </c>
      <c r="E484" s="33"/>
      <c r="F484" s="30" t="s">
        <v>116</v>
      </c>
      <c r="G484" s="30" t="s">
        <v>350</v>
      </c>
      <c r="H484" s="27" t="s">
        <v>355</v>
      </c>
      <c r="I484" s="27" t="s">
        <v>38</v>
      </c>
      <c r="J484" s="27" t="s">
        <v>1732</v>
      </c>
      <c r="K484" s="27" t="s">
        <v>1733</v>
      </c>
      <c r="L484" s="276" t="str">
        <f t="shared" si="59"/>
        <v>Carrera 1D #53 -140, Los Almendros, Cali</v>
      </c>
      <c r="M484" s="276" t="s">
        <v>231</v>
      </c>
      <c r="N484" s="276" t="s">
        <v>233</v>
      </c>
      <c r="O484" s="277"/>
      <c r="P484" s="277"/>
      <c r="Q484" s="276" t="s">
        <v>81</v>
      </c>
      <c r="R484" s="278"/>
      <c r="S484" s="278"/>
      <c r="T484" s="278">
        <v>1.0</v>
      </c>
      <c r="U484" s="277"/>
      <c r="V484" s="277"/>
      <c r="W484" s="277"/>
      <c r="X484" s="277"/>
      <c r="Y484" s="276" t="s">
        <v>1266</v>
      </c>
      <c r="Z484" s="277"/>
      <c r="AA484" s="277"/>
      <c r="AB484" s="277"/>
      <c r="AD484" s="22"/>
      <c r="AE484" s="22"/>
      <c r="AF484" s="22"/>
      <c r="AG484" s="22"/>
      <c r="AH484" s="22"/>
      <c r="AI484" s="22"/>
      <c r="AJ484" s="22"/>
      <c r="AK484" s="22"/>
      <c r="AL484" s="22"/>
      <c r="AM484" s="22"/>
      <c r="AN484" s="22"/>
      <c r="AO484" s="22"/>
      <c r="AP484" s="22"/>
    </row>
    <row r="485" ht="25.5" customHeight="1">
      <c r="A485" s="198">
        <f t="shared" si="3"/>
        <v>484</v>
      </c>
      <c r="B485" s="198" t="s">
        <v>61</v>
      </c>
      <c r="C485" s="27" t="s">
        <v>63</v>
      </c>
      <c r="D485" s="27" t="s">
        <v>64</v>
      </c>
      <c r="E485" s="33"/>
      <c r="F485" s="30" t="s">
        <v>35</v>
      </c>
      <c r="G485" s="30" t="s">
        <v>36</v>
      </c>
      <c r="H485" s="27" t="s">
        <v>1339</v>
      </c>
      <c r="I485" s="27" t="s">
        <v>38</v>
      </c>
      <c r="J485" s="27" t="s">
        <v>1734</v>
      </c>
      <c r="K485" s="27" t="s">
        <v>1735</v>
      </c>
      <c r="L485" s="27" t="str">
        <f t="shared" si="59"/>
        <v>Carrera 36A 5-145, San fernando, Cali</v>
      </c>
      <c r="M485" s="27" t="s">
        <v>231</v>
      </c>
      <c r="N485" s="27" t="s">
        <v>233</v>
      </c>
      <c r="O485" s="33"/>
      <c r="P485" s="33"/>
      <c r="Q485" s="27" t="s">
        <v>81</v>
      </c>
      <c r="R485" s="30"/>
      <c r="S485" s="30"/>
      <c r="T485" s="30">
        <v>1.0</v>
      </c>
      <c r="U485" s="33"/>
      <c r="V485" s="33"/>
      <c r="W485" s="33"/>
      <c r="X485" s="33"/>
      <c r="Y485" s="27" t="s">
        <v>1266</v>
      </c>
      <c r="Z485" s="33"/>
      <c r="AA485" s="33"/>
      <c r="AB485" s="33"/>
      <c r="AD485" s="22"/>
      <c r="AE485" s="22"/>
      <c r="AF485" s="22"/>
      <c r="AG485" s="22"/>
      <c r="AH485" s="22"/>
      <c r="AI485" s="22"/>
      <c r="AJ485" s="22"/>
      <c r="AK485" s="22"/>
      <c r="AL485" s="22"/>
      <c r="AM485" s="22"/>
      <c r="AN485" s="22"/>
      <c r="AO485" s="22"/>
      <c r="AP485" s="22"/>
    </row>
    <row r="486" ht="25.5" customHeight="1">
      <c r="A486" s="198">
        <f t="shared" si="3"/>
        <v>485</v>
      </c>
      <c r="B486" s="198" t="s">
        <v>61</v>
      </c>
      <c r="C486" s="27" t="s">
        <v>63</v>
      </c>
      <c r="D486" s="27" t="s">
        <v>64</v>
      </c>
      <c r="E486" s="33"/>
      <c r="F486" s="35" t="s">
        <v>60</v>
      </c>
      <c r="G486" s="30" t="s">
        <v>36</v>
      </c>
      <c r="H486" s="27" t="s">
        <v>439</v>
      </c>
      <c r="I486" s="27" t="s">
        <v>38</v>
      </c>
      <c r="J486" s="27" t="s">
        <v>1736</v>
      </c>
      <c r="K486" s="27" t="s">
        <v>1737</v>
      </c>
      <c r="L486" s="27" t="str">
        <f t="shared" si="59"/>
        <v>carrera 72 13A1 -40, Quintas de Don Simon, Cali</v>
      </c>
      <c r="M486" s="27" t="s">
        <v>231</v>
      </c>
      <c r="N486" s="27" t="s">
        <v>233</v>
      </c>
      <c r="O486" s="33"/>
      <c r="P486" s="33"/>
      <c r="Q486" s="27" t="s">
        <v>81</v>
      </c>
      <c r="R486" s="30"/>
      <c r="S486" s="30"/>
      <c r="T486" s="30">
        <v>1.0</v>
      </c>
      <c r="U486" s="33"/>
      <c r="V486" s="33"/>
      <c r="W486" s="33"/>
      <c r="X486" s="33"/>
      <c r="Y486" s="27" t="s">
        <v>1266</v>
      </c>
      <c r="Z486" s="33"/>
      <c r="AA486" s="33"/>
      <c r="AB486" s="33"/>
      <c r="AD486" s="22"/>
      <c r="AE486" s="22"/>
      <c r="AF486" s="22"/>
      <c r="AG486" s="22"/>
      <c r="AH486" s="22"/>
      <c r="AI486" s="22"/>
      <c r="AJ486" s="22"/>
      <c r="AK486" s="22"/>
      <c r="AL486" s="22"/>
      <c r="AM486" s="22"/>
      <c r="AN486" s="22"/>
      <c r="AO486" s="22"/>
      <c r="AP486" s="22"/>
    </row>
    <row r="487" ht="25.5" customHeight="1">
      <c r="A487" s="198">
        <f t="shared" si="3"/>
        <v>486</v>
      </c>
      <c r="B487" s="198" t="s">
        <v>61</v>
      </c>
      <c r="C487" s="27" t="s">
        <v>63</v>
      </c>
      <c r="D487" s="27" t="s">
        <v>64</v>
      </c>
      <c r="E487" s="33"/>
      <c r="F487" s="35" t="s">
        <v>60</v>
      </c>
      <c r="G487" s="30" t="s">
        <v>36</v>
      </c>
      <c r="H487" s="27" t="s">
        <v>1738</v>
      </c>
      <c r="I487" s="27" t="s">
        <v>38</v>
      </c>
      <c r="J487" s="27" t="s">
        <v>1739</v>
      </c>
      <c r="K487" s="27" t="s">
        <v>1740</v>
      </c>
      <c r="L487" s="27" t="str">
        <f t="shared" si="59"/>
        <v>Cra 72 # 13A-56, quintas de don simon, Cali</v>
      </c>
      <c r="M487" s="142" t="s">
        <v>1741</v>
      </c>
      <c r="N487" s="142" t="s">
        <v>233</v>
      </c>
      <c r="O487" s="33"/>
      <c r="P487" s="33"/>
      <c r="Q487" s="27" t="s">
        <v>81</v>
      </c>
      <c r="R487" s="30"/>
      <c r="S487" s="30"/>
      <c r="T487" s="30">
        <v>1.0</v>
      </c>
      <c r="U487" s="33"/>
      <c r="V487" s="33"/>
      <c r="W487" s="33"/>
      <c r="X487" s="33"/>
      <c r="Y487" s="27" t="s">
        <v>1266</v>
      </c>
      <c r="Z487" s="33"/>
      <c r="AA487" s="33"/>
      <c r="AB487" s="33"/>
      <c r="AD487" s="22"/>
      <c r="AE487" s="22"/>
      <c r="AF487" s="22"/>
      <c r="AG487" s="22"/>
      <c r="AH487" s="22"/>
      <c r="AI487" s="22"/>
      <c r="AJ487" s="22"/>
      <c r="AK487" s="22"/>
      <c r="AL487" s="22"/>
      <c r="AM487" s="22"/>
      <c r="AN487" s="22"/>
      <c r="AO487" s="22"/>
      <c r="AP487" s="22"/>
    </row>
    <row r="488" ht="25.5" customHeight="1">
      <c r="A488" s="198">
        <f t="shared" si="3"/>
        <v>487</v>
      </c>
      <c r="B488" s="198" t="s">
        <v>61</v>
      </c>
      <c r="C488" s="27" t="s">
        <v>63</v>
      </c>
      <c r="D488" s="27" t="s">
        <v>64</v>
      </c>
      <c r="E488" s="33"/>
      <c r="F488" s="30" t="s">
        <v>116</v>
      </c>
      <c r="G488" s="30" t="s">
        <v>350</v>
      </c>
      <c r="H488" s="27" t="s">
        <v>186</v>
      </c>
      <c r="I488" s="27" t="s">
        <v>38</v>
      </c>
      <c r="J488" s="27" t="s">
        <v>1742</v>
      </c>
      <c r="K488" s="27" t="s">
        <v>1743</v>
      </c>
      <c r="L488" s="27" t="str">
        <f t="shared" si="59"/>
        <v>Calle 62 b1 # a9 -365, Chiminangos II, Cali</v>
      </c>
      <c r="M488" s="27" t="s">
        <v>231</v>
      </c>
      <c r="N488" s="27" t="s">
        <v>233</v>
      </c>
      <c r="O488" s="33"/>
      <c r="P488" s="33"/>
      <c r="Q488" s="27" t="s">
        <v>81</v>
      </c>
      <c r="R488" s="30"/>
      <c r="S488" s="30"/>
      <c r="T488" s="30">
        <v>1.0</v>
      </c>
      <c r="U488" s="33"/>
      <c r="V488" s="33"/>
      <c r="W488" s="33"/>
      <c r="X488" s="33"/>
      <c r="Y488" s="27" t="s">
        <v>1266</v>
      </c>
      <c r="Z488" s="27" t="s">
        <v>1744</v>
      </c>
      <c r="AA488" s="27"/>
      <c r="AB488" s="27"/>
      <c r="AD488" s="22"/>
      <c r="AE488" s="22"/>
      <c r="AF488" s="22"/>
      <c r="AG488" s="22"/>
      <c r="AH488" s="22"/>
      <c r="AI488" s="22"/>
      <c r="AJ488" s="22"/>
      <c r="AK488" s="22"/>
      <c r="AL488" s="22"/>
      <c r="AM488" s="22"/>
      <c r="AN488" s="22"/>
      <c r="AO488" s="22"/>
      <c r="AP488" s="22"/>
    </row>
    <row r="489" ht="25.5" customHeight="1">
      <c r="A489" s="198">
        <f t="shared" si="3"/>
        <v>488</v>
      </c>
      <c r="B489" s="198" t="s">
        <v>61</v>
      </c>
      <c r="C489" s="27" t="s">
        <v>63</v>
      </c>
      <c r="D489" s="27" t="s">
        <v>64</v>
      </c>
      <c r="E489" s="33"/>
      <c r="F489" s="30" t="s">
        <v>35</v>
      </c>
      <c r="G489" s="30" t="s">
        <v>36</v>
      </c>
      <c r="H489" s="27" t="s">
        <v>255</v>
      </c>
      <c r="I489" s="27" t="s">
        <v>286</v>
      </c>
      <c r="J489" s="27" t="s">
        <v>1745</v>
      </c>
      <c r="K489" s="27"/>
      <c r="L489" s="27" t="str">
        <f t="shared" si="59"/>
        <v>Calle 2 # 66 B 129, El Refugio, Cali</v>
      </c>
      <c r="M489" s="27" t="s">
        <v>231</v>
      </c>
      <c r="N489" s="27" t="s">
        <v>233</v>
      </c>
      <c r="O489" s="33"/>
      <c r="P489" s="33"/>
      <c r="Q489" s="27" t="s">
        <v>81</v>
      </c>
      <c r="R489" s="30"/>
      <c r="S489" s="30"/>
      <c r="T489" s="30">
        <v>1.0</v>
      </c>
      <c r="U489" s="33"/>
      <c r="V489" s="33"/>
      <c r="W489" s="33"/>
      <c r="X489" s="33"/>
      <c r="Y489" s="27" t="s">
        <v>1266</v>
      </c>
      <c r="Z489" s="27" t="s">
        <v>1746</v>
      </c>
      <c r="AA489" s="27"/>
      <c r="AB489" s="27"/>
      <c r="AD489" s="22"/>
      <c r="AE489" s="22"/>
      <c r="AF489" s="22"/>
      <c r="AG489" s="22"/>
      <c r="AH489" s="22"/>
      <c r="AI489" s="22"/>
      <c r="AJ489" s="22"/>
      <c r="AK489" s="22"/>
      <c r="AL489" s="22"/>
      <c r="AM489" s="22"/>
      <c r="AN489" s="22"/>
      <c r="AO489" s="22"/>
      <c r="AP489" s="22"/>
    </row>
    <row r="490" ht="25.5" customHeight="1">
      <c r="A490" s="198">
        <f t="shared" si="3"/>
        <v>489</v>
      </c>
      <c r="B490" s="198" t="s">
        <v>61</v>
      </c>
      <c r="C490" s="27" t="s">
        <v>63</v>
      </c>
      <c r="D490" s="27" t="s">
        <v>64</v>
      </c>
      <c r="E490" s="33"/>
      <c r="F490" s="30" t="s">
        <v>76</v>
      </c>
      <c r="G490" s="30" t="s">
        <v>350</v>
      </c>
      <c r="H490" s="27" t="s">
        <v>480</v>
      </c>
      <c r="I490" s="27" t="s">
        <v>38</v>
      </c>
      <c r="J490" s="27" t="s">
        <v>1747</v>
      </c>
      <c r="K490" s="27"/>
      <c r="L490" s="27" t="str">
        <f t="shared" si="59"/>
        <v>PH AV 9 norte # 25-32, Santa Monica Residencial, Cali</v>
      </c>
      <c r="M490" s="27" t="s">
        <v>231</v>
      </c>
      <c r="N490" s="27" t="s">
        <v>233</v>
      </c>
      <c r="O490" s="33"/>
      <c r="P490" s="33"/>
      <c r="Q490" s="27" t="s">
        <v>81</v>
      </c>
      <c r="R490" s="30"/>
      <c r="S490" s="30"/>
      <c r="T490" s="30">
        <v>1.0</v>
      </c>
      <c r="U490" s="33"/>
      <c r="V490" s="33"/>
      <c r="W490" s="33"/>
      <c r="X490" s="33"/>
      <c r="Y490" s="27" t="s">
        <v>1266</v>
      </c>
      <c r="Z490" s="33"/>
      <c r="AA490" s="33"/>
      <c r="AB490" s="33"/>
      <c r="AD490" s="22"/>
      <c r="AE490" s="22"/>
      <c r="AF490" s="22"/>
      <c r="AG490" s="22"/>
      <c r="AH490" s="22"/>
      <c r="AI490" s="22"/>
      <c r="AJ490" s="22"/>
      <c r="AK490" s="22"/>
      <c r="AL490" s="22"/>
      <c r="AM490" s="22"/>
      <c r="AN490" s="22"/>
      <c r="AO490" s="22"/>
      <c r="AP490" s="22"/>
    </row>
    <row r="491" ht="25.5" customHeight="1">
      <c r="A491" s="63">
        <f t="shared" si="3"/>
        <v>490</v>
      </c>
      <c r="B491" s="63" t="s">
        <v>62</v>
      </c>
      <c r="C491" s="65" t="s">
        <v>133</v>
      </c>
      <c r="D491" s="108" t="s">
        <v>64</v>
      </c>
      <c r="E491" s="68" t="s">
        <v>62</v>
      </c>
      <c r="F491" s="70" t="s">
        <v>62</v>
      </c>
      <c r="G491" s="70" t="s">
        <v>62</v>
      </c>
      <c r="H491" s="71" t="s">
        <v>62</v>
      </c>
      <c r="I491" s="71" t="s">
        <v>62</v>
      </c>
      <c r="J491" s="68" t="s">
        <v>62</v>
      </c>
      <c r="K491" s="68" t="s">
        <v>62</v>
      </c>
      <c r="L491" s="68" t="s">
        <v>62</v>
      </c>
      <c r="M491" s="68" t="s">
        <v>62</v>
      </c>
      <c r="N491" s="68" t="s">
        <v>62</v>
      </c>
      <c r="O491" s="68" t="s">
        <v>62</v>
      </c>
      <c r="P491" s="68" t="s">
        <v>62</v>
      </c>
      <c r="Q491" s="68" t="s">
        <v>62</v>
      </c>
      <c r="R491" s="68" t="s">
        <v>62</v>
      </c>
      <c r="S491" s="68"/>
      <c r="T491" s="68" t="s">
        <v>62</v>
      </c>
      <c r="U491" s="68" t="s">
        <v>62</v>
      </c>
      <c r="V491" s="68" t="s">
        <v>62</v>
      </c>
      <c r="W491" s="68" t="s">
        <v>62</v>
      </c>
      <c r="X491" s="68" t="s">
        <v>62</v>
      </c>
      <c r="Y491" s="68" t="s">
        <v>62</v>
      </c>
      <c r="Z491" s="68" t="s">
        <v>62</v>
      </c>
      <c r="AA491" s="68" t="s">
        <v>62</v>
      </c>
      <c r="AB491" s="68" t="s">
        <v>62</v>
      </c>
      <c r="AD491" s="196"/>
      <c r="AE491" s="196"/>
      <c r="AF491" s="196"/>
      <c r="AG491" s="196"/>
      <c r="AH491" s="196"/>
      <c r="AI491" s="196"/>
      <c r="AJ491" s="196"/>
      <c r="AK491" s="196"/>
      <c r="AL491" s="196"/>
      <c r="AM491" s="196"/>
      <c r="AN491" s="196"/>
      <c r="AO491" s="196"/>
      <c r="AP491" s="196"/>
    </row>
    <row r="492" ht="25.5" customHeight="1">
      <c r="A492" s="198">
        <f t="shared" si="3"/>
        <v>491</v>
      </c>
      <c r="B492" s="198" t="s">
        <v>61</v>
      </c>
      <c r="C492" s="27" t="s">
        <v>63</v>
      </c>
      <c r="D492" s="27" t="s">
        <v>64</v>
      </c>
      <c r="E492" s="33"/>
      <c r="F492" s="30" t="s">
        <v>110</v>
      </c>
      <c r="G492" s="30" t="s">
        <v>176</v>
      </c>
      <c r="H492" s="27" t="s">
        <v>447</v>
      </c>
      <c r="I492" s="27" t="s">
        <v>38</v>
      </c>
      <c r="J492" s="27" t="s">
        <v>1748</v>
      </c>
      <c r="K492" s="27"/>
      <c r="L492" s="27" t="str">
        <f t="shared" ref="L492:L510" si="60">CONCATENATE(J492,", ",H492,", Cali")</f>
        <v>Calle 7 # 14 a-67, San Bosco, Cali</v>
      </c>
      <c r="M492" s="27" t="s">
        <v>231</v>
      </c>
      <c r="N492" s="27" t="s">
        <v>233</v>
      </c>
      <c r="O492" s="33"/>
      <c r="P492" s="33"/>
      <c r="Q492" s="27" t="s">
        <v>81</v>
      </c>
      <c r="R492" s="30"/>
      <c r="S492" s="30"/>
      <c r="T492" s="30">
        <v>1.0</v>
      </c>
      <c r="U492" s="33"/>
      <c r="V492" s="33"/>
      <c r="W492" s="33"/>
      <c r="X492" s="33"/>
      <c r="Y492" s="27" t="s">
        <v>1266</v>
      </c>
      <c r="Z492" s="27" t="s">
        <v>1749</v>
      </c>
      <c r="AA492" s="27"/>
      <c r="AB492" s="27"/>
      <c r="AD492" s="22"/>
      <c r="AE492" s="22"/>
      <c r="AF492" s="22"/>
      <c r="AG492" s="22"/>
      <c r="AH492" s="22"/>
      <c r="AI492" s="22"/>
      <c r="AJ492" s="22"/>
      <c r="AK492" s="22"/>
      <c r="AL492" s="22"/>
      <c r="AM492" s="22"/>
      <c r="AN492" s="22"/>
      <c r="AO492" s="22"/>
      <c r="AP492" s="22"/>
    </row>
    <row r="493" ht="25.5" customHeight="1">
      <c r="A493" s="198">
        <f t="shared" si="3"/>
        <v>492</v>
      </c>
      <c r="B493" s="198" t="s">
        <v>61</v>
      </c>
      <c r="C493" s="27" t="s">
        <v>63</v>
      </c>
      <c r="D493" s="27" t="s">
        <v>64</v>
      </c>
      <c r="E493" s="33"/>
      <c r="F493" s="30" t="s">
        <v>116</v>
      </c>
      <c r="G493" s="30" t="s">
        <v>350</v>
      </c>
      <c r="H493" s="27" t="s">
        <v>1750</v>
      </c>
      <c r="I493" s="27" t="s">
        <v>286</v>
      </c>
      <c r="J493" s="27" t="s">
        <v>1751</v>
      </c>
      <c r="K493" s="27"/>
      <c r="L493" s="27" t="str">
        <f t="shared" si="60"/>
        <v>calle 52 # 1E -53, los andes, Cali</v>
      </c>
      <c r="M493" s="154" t="s">
        <v>1752</v>
      </c>
      <c r="N493" s="154" t="s">
        <v>233</v>
      </c>
      <c r="O493" s="33"/>
      <c r="P493" s="33"/>
      <c r="Q493" s="27" t="s">
        <v>81</v>
      </c>
      <c r="R493" s="30"/>
      <c r="S493" s="30"/>
      <c r="T493" s="30">
        <v>1.0</v>
      </c>
      <c r="U493" s="33"/>
      <c r="V493" s="33"/>
      <c r="W493" s="33"/>
      <c r="X493" s="33"/>
      <c r="Y493" s="27" t="s">
        <v>1266</v>
      </c>
      <c r="Z493" s="33"/>
      <c r="AA493" s="33"/>
      <c r="AB493" s="33"/>
      <c r="AD493" s="22"/>
      <c r="AE493" s="22"/>
      <c r="AF493" s="22"/>
      <c r="AG493" s="22"/>
      <c r="AH493" s="22"/>
      <c r="AI493" s="22"/>
      <c r="AJ493" s="22"/>
      <c r="AK493" s="22"/>
      <c r="AL493" s="22"/>
      <c r="AM493" s="22"/>
      <c r="AN493" s="22"/>
      <c r="AO493" s="22"/>
      <c r="AP493" s="22"/>
    </row>
    <row r="494" ht="25.5" customHeight="1">
      <c r="A494" s="198">
        <f t="shared" si="3"/>
        <v>493</v>
      </c>
      <c r="B494" s="198" t="s">
        <v>61</v>
      </c>
      <c r="C494" s="27" t="s">
        <v>63</v>
      </c>
      <c r="D494" s="27" t="s">
        <v>64</v>
      </c>
      <c r="E494" s="33"/>
      <c r="F494" s="30" t="s">
        <v>76</v>
      </c>
      <c r="G494" s="30" t="s">
        <v>350</v>
      </c>
      <c r="H494" s="27" t="s">
        <v>470</v>
      </c>
      <c r="I494" s="27" t="s">
        <v>38</v>
      </c>
      <c r="J494" s="27" t="s">
        <v>1753</v>
      </c>
      <c r="K494" s="27" t="s">
        <v>1754</v>
      </c>
      <c r="L494" s="27" t="str">
        <f t="shared" si="60"/>
        <v>Av. de las Americas #22 Norte-45, San Vicente, Cali</v>
      </c>
      <c r="M494" s="142" t="s">
        <v>1755</v>
      </c>
      <c r="N494" s="142" t="s">
        <v>233</v>
      </c>
      <c r="O494" s="33"/>
      <c r="P494" s="33"/>
      <c r="Q494" s="27" t="s">
        <v>81</v>
      </c>
      <c r="R494" s="30"/>
      <c r="S494" s="30"/>
      <c r="T494" s="30">
        <v>1.0</v>
      </c>
      <c r="U494" s="33"/>
      <c r="V494" s="33"/>
      <c r="W494" s="33"/>
      <c r="X494" s="33"/>
      <c r="Y494" s="27" t="s">
        <v>1266</v>
      </c>
      <c r="Z494" s="280" t="s">
        <v>1756</v>
      </c>
      <c r="AA494" s="280"/>
      <c r="AB494" s="280"/>
      <c r="AD494" s="22"/>
      <c r="AE494" s="22"/>
      <c r="AF494" s="22"/>
      <c r="AG494" s="22"/>
      <c r="AH494" s="22"/>
      <c r="AI494" s="22"/>
      <c r="AJ494" s="22"/>
      <c r="AK494" s="22"/>
      <c r="AL494" s="22"/>
      <c r="AM494" s="22"/>
      <c r="AN494" s="22"/>
      <c r="AO494" s="22"/>
      <c r="AP494" s="22"/>
    </row>
    <row r="495" ht="25.5" customHeight="1">
      <c r="A495" s="198">
        <f t="shared" si="3"/>
        <v>494</v>
      </c>
      <c r="B495" s="198" t="s">
        <v>61</v>
      </c>
      <c r="C495" s="27" t="s">
        <v>63</v>
      </c>
      <c r="D495" s="27" t="s">
        <v>64</v>
      </c>
      <c r="E495" s="33"/>
      <c r="F495" s="30" t="s">
        <v>70</v>
      </c>
      <c r="G495" s="30" t="s">
        <v>36</v>
      </c>
      <c r="H495" s="27" t="s">
        <v>237</v>
      </c>
      <c r="I495" s="27" t="s">
        <v>38</v>
      </c>
      <c r="J495" s="27" t="s">
        <v>1757</v>
      </c>
      <c r="K495" s="27"/>
      <c r="L495" s="27" t="str">
        <f t="shared" si="60"/>
        <v>Calle 30 Norte # 5N - 35, El Dorado, Cali</v>
      </c>
      <c r="M495" s="27" t="s">
        <v>231</v>
      </c>
      <c r="N495" s="27" t="s">
        <v>233</v>
      </c>
      <c r="O495" s="33"/>
      <c r="P495" s="33"/>
      <c r="Q495" s="27" t="s">
        <v>81</v>
      </c>
      <c r="R495" s="30"/>
      <c r="S495" s="30"/>
      <c r="T495" s="30">
        <v>1.0</v>
      </c>
      <c r="U495" s="33"/>
      <c r="V495" s="33"/>
      <c r="W495" s="33"/>
      <c r="X495" s="33"/>
      <c r="Y495" s="27" t="s">
        <v>1266</v>
      </c>
      <c r="Z495" s="33"/>
      <c r="AA495" s="33"/>
      <c r="AB495" s="33"/>
      <c r="AD495" s="22"/>
      <c r="AE495" s="22"/>
      <c r="AF495" s="22"/>
      <c r="AG495" s="22"/>
      <c r="AH495" s="22"/>
      <c r="AI495" s="22"/>
      <c r="AJ495" s="22"/>
      <c r="AK495" s="22"/>
      <c r="AL495" s="22"/>
      <c r="AM495" s="22"/>
      <c r="AN495" s="22"/>
      <c r="AO495" s="22"/>
      <c r="AP495" s="22"/>
    </row>
    <row r="496" ht="25.5" customHeight="1">
      <c r="A496" s="198">
        <f t="shared" si="3"/>
        <v>495</v>
      </c>
      <c r="B496" s="198" t="s">
        <v>61</v>
      </c>
      <c r="C496" s="27" t="s">
        <v>63</v>
      </c>
      <c r="D496" s="27" t="s">
        <v>64</v>
      </c>
      <c r="E496" s="33"/>
      <c r="F496" s="30" t="s">
        <v>35</v>
      </c>
      <c r="G496" s="30" t="s">
        <v>36</v>
      </c>
      <c r="H496" s="27" t="s">
        <v>744</v>
      </c>
      <c r="I496" s="27" t="s">
        <v>38</v>
      </c>
      <c r="J496" s="27" t="s">
        <v>1758</v>
      </c>
      <c r="K496" s="27"/>
      <c r="L496" s="27" t="str">
        <f t="shared" si="60"/>
        <v>Calle 2b # 66 - 52 Arboleda 1, El refugio, Cali</v>
      </c>
      <c r="M496" s="27" t="s">
        <v>231</v>
      </c>
      <c r="N496" s="27" t="s">
        <v>233</v>
      </c>
      <c r="O496" s="33"/>
      <c r="P496" s="33"/>
      <c r="Q496" s="27" t="s">
        <v>81</v>
      </c>
      <c r="R496" s="30"/>
      <c r="S496" s="30"/>
      <c r="T496" s="30">
        <v>1.0</v>
      </c>
      <c r="U496" s="33"/>
      <c r="V496" s="33"/>
      <c r="W496" s="33"/>
      <c r="X496" s="33"/>
      <c r="Y496" s="27" t="s">
        <v>1266</v>
      </c>
      <c r="Z496" s="33"/>
      <c r="AA496" s="33"/>
      <c r="AB496" s="33"/>
      <c r="AD496" s="22"/>
      <c r="AE496" s="22"/>
      <c r="AF496" s="22"/>
      <c r="AG496" s="22"/>
      <c r="AH496" s="22"/>
      <c r="AI496" s="22"/>
      <c r="AJ496" s="22"/>
      <c r="AK496" s="22"/>
      <c r="AL496" s="22"/>
      <c r="AM496" s="22"/>
      <c r="AN496" s="22"/>
      <c r="AO496" s="22"/>
      <c r="AP496" s="22"/>
    </row>
    <row r="497" ht="25.5" customHeight="1">
      <c r="A497" s="198">
        <f t="shared" si="3"/>
        <v>496</v>
      </c>
      <c r="B497" s="198" t="s">
        <v>61</v>
      </c>
      <c r="C497" s="27" t="s">
        <v>63</v>
      </c>
      <c r="D497" s="27" t="s">
        <v>64</v>
      </c>
      <c r="E497" s="33"/>
      <c r="F497" s="30" t="s">
        <v>87</v>
      </c>
      <c r="G497" s="30" t="s">
        <v>36</v>
      </c>
      <c r="H497" s="27" t="s">
        <v>230</v>
      </c>
      <c r="I497" s="27" t="s">
        <v>286</v>
      </c>
      <c r="J497" s="27" t="s">
        <v>1759</v>
      </c>
      <c r="K497" s="27"/>
      <c r="L497" s="27" t="str">
        <f t="shared" si="60"/>
        <v>carrera 77 #1c - 140, danubio, Cali</v>
      </c>
      <c r="M497" s="154" t="s">
        <v>1760</v>
      </c>
      <c r="N497" s="154" t="s">
        <v>233</v>
      </c>
      <c r="O497" s="33"/>
      <c r="P497" s="33"/>
      <c r="Q497" s="27" t="s">
        <v>81</v>
      </c>
      <c r="R497" s="30"/>
      <c r="S497" s="30"/>
      <c r="T497" s="30">
        <v>1.0</v>
      </c>
      <c r="U497" s="33"/>
      <c r="V497" s="33"/>
      <c r="W497" s="33"/>
      <c r="X497" s="33"/>
      <c r="Y497" s="27" t="s">
        <v>1266</v>
      </c>
      <c r="Z497" s="33"/>
      <c r="AA497" s="33"/>
      <c r="AB497" s="33"/>
      <c r="AD497" s="22"/>
      <c r="AE497" s="22"/>
      <c r="AF497" s="22"/>
      <c r="AG497" s="22"/>
      <c r="AH497" s="22"/>
      <c r="AI497" s="22"/>
      <c r="AJ497" s="22"/>
      <c r="AK497" s="22"/>
      <c r="AL497" s="22"/>
      <c r="AM497" s="22"/>
      <c r="AN497" s="22"/>
      <c r="AO497" s="22"/>
      <c r="AP497" s="22"/>
    </row>
    <row r="498" ht="25.5" customHeight="1">
      <c r="A498" s="198">
        <f t="shared" si="3"/>
        <v>497</v>
      </c>
      <c r="B498" s="198" t="s">
        <v>61</v>
      </c>
      <c r="C498" s="27" t="s">
        <v>63</v>
      </c>
      <c r="D498" s="27" t="s">
        <v>64</v>
      </c>
      <c r="E498" s="33"/>
      <c r="F498" s="30" t="s">
        <v>35</v>
      </c>
      <c r="G498" s="30" t="s">
        <v>36</v>
      </c>
      <c r="H498" s="27" t="s">
        <v>413</v>
      </c>
      <c r="I498" s="27" t="s">
        <v>38</v>
      </c>
      <c r="J498" s="27" t="s">
        <v>1761</v>
      </c>
      <c r="K498" s="27" t="s">
        <v>1762</v>
      </c>
      <c r="L498" s="27" t="str">
        <f t="shared" si="60"/>
        <v>Cra. 56 #5-80, Pampa Linda, Cali</v>
      </c>
      <c r="M498" s="142" t="s">
        <v>1755</v>
      </c>
      <c r="N498" s="142" t="s">
        <v>233</v>
      </c>
      <c r="O498" s="33"/>
      <c r="P498" s="33"/>
      <c r="Q498" s="27" t="s">
        <v>81</v>
      </c>
      <c r="R498" s="30"/>
      <c r="S498" s="30"/>
      <c r="T498" s="30">
        <v>1.0</v>
      </c>
      <c r="U498" s="33"/>
      <c r="V498" s="33"/>
      <c r="W498" s="33"/>
      <c r="X498" s="33"/>
      <c r="Y498" s="27" t="s">
        <v>1266</v>
      </c>
      <c r="Z498" s="280" t="s">
        <v>1756</v>
      </c>
      <c r="AA498" s="280"/>
      <c r="AB498" s="280"/>
      <c r="AD498" s="22"/>
      <c r="AE498" s="22"/>
      <c r="AF498" s="22"/>
      <c r="AG498" s="22"/>
      <c r="AH498" s="22"/>
      <c r="AI498" s="22"/>
      <c r="AJ498" s="22"/>
      <c r="AK498" s="22"/>
      <c r="AL498" s="22"/>
      <c r="AM498" s="22"/>
      <c r="AN498" s="22"/>
      <c r="AO498" s="22"/>
      <c r="AP498" s="22"/>
    </row>
    <row r="499" ht="25.5" customHeight="1">
      <c r="A499" s="198">
        <f t="shared" si="3"/>
        <v>498</v>
      </c>
      <c r="B499" s="198" t="s">
        <v>61</v>
      </c>
      <c r="C499" s="27" t="s">
        <v>63</v>
      </c>
      <c r="D499" s="27" t="s">
        <v>64</v>
      </c>
      <c r="E499" s="33"/>
      <c r="F499" s="30" t="s">
        <v>70</v>
      </c>
      <c r="G499" s="30" t="s">
        <v>36</v>
      </c>
      <c r="H499" s="27" t="s">
        <v>221</v>
      </c>
      <c r="I499" s="27" t="s">
        <v>38</v>
      </c>
      <c r="J499" s="27" t="s">
        <v>1763</v>
      </c>
      <c r="K499" s="27" t="s">
        <v>1764</v>
      </c>
      <c r="L499" s="27" t="str">
        <f t="shared" si="60"/>
        <v>Carrera 31A # 14C - 47, Cristóbal Colón, Cali</v>
      </c>
      <c r="M499" s="27" t="s">
        <v>231</v>
      </c>
      <c r="N499" s="27" t="s">
        <v>233</v>
      </c>
      <c r="O499" s="33"/>
      <c r="P499" s="33"/>
      <c r="Q499" s="27" t="s">
        <v>81</v>
      </c>
      <c r="R499" s="30"/>
      <c r="S499" s="30"/>
      <c r="T499" s="30">
        <v>1.0</v>
      </c>
      <c r="U499" s="33"/>
      <c r="V499" s="33"/>
      <c r="W499" s="33"/>
      <c r="X499" s="33"/>
      <c r="Y499" s="27" t="s">
        <v>1266</v>
      </c>
      <c r="Z499" s="27" t="s">
        <v>1765</v>
      </c>
      <c r="AA499" s="27"/>
      <c r="AB499" s="27"/>
      <c r="AD499" s="22"/>
      <c r="AE499" s="22"/>
      <c r="AF499" s="22"/>
      <c r="AG499" s="22"/>
      <c r="AH499" s="22"/>
      <c r="AI499" s="22"/>
      <c r="AJ499" s="22"/>
      <c r="AK499" s="22"/>
      <c r="AL499" s="22"/>
      <c r="AM499" s="22"/>
      <c r="AN499" s="22"/>
      <c r="AO499" s="22"/>
      <c r="AP499" s="22"/>
    </row>
    <row r="500" ht="25.5" customHeight="1">
      <c r="A500" s="198">
        <f t="shared" si="3"/>
        <v>499</v>
      </c>
      <c r="B500" s="198" t="s">
        <v>61</v>
      </c>
      <c r="C500" s="27" t="s">
        <v>63</v>
      </c>
      <c r="D500" s="27" t="s">
        <v>64</v>
      </c>
      <c r="E500" s="33"/>
      <c r="F500" s="30" t="s">
        <v>76</v>
      </c>
      <c r="G500" s="30" t="s">
        <v>350</v>
      </c>
      <c r="H500" s="27" t="s">
        <v>1766</v>
      </c>
      <c r="I500" s="27" t="s">
        <v>286</v>
      </c>
      <c r="J500" s="27" t="s">
        <v>1767</v>
      </c>
      <c r="K500" s="27"/>
      <c r="L500" s="27" t="str">
        <f t="shared" si="60"/>
        <v>calle 44 norte # 7 -60, la campiña, Cali</v>
      </c>
      <c r="M500" s="27" t="s">
        <v>231</v>
      </c>
      <c r="N500" s="27" t="s">
        <v>233</v>
      </c>
      <c r="O500" s="33"/>
      <c r="P500" s="33"/>
      <c r="Q500" s="27" t="s">
        <v>81</v>
      </c>
      <c r="R500" s="30"/>
      <c r="S500" s="30"/>
      <c r="T500" s="30">
        <v>1.0</v>
      </c>
      <c r="U500" s="33"/>
      <c r="V500" s="33"/>
      <c r="W500" s="33"/>
      <c r="X500" s="33"/>
      <c r="Y500" s="27" t="s">
        <v>1266</v>
      </c>
      <c r="Z500" s="33"/>
      <c r="AA500" s="33"/>
      <c r="AB500" s="33"/>
      <c r="AD500" s="22"/>
      <c r="AE500" s="22"/>
      <c r="AF500" s="22"/>
      <c r="AG500" s="22"/>
      <c r="AH500" s="22"/>
      <c r="AI500" s="22"/>
      <c r="AJ500" s="22"/>
      <c r="AK500" s="22"/>
      <c r="AL500" s="22"/>
      <c r="AM500" s="22"/>
      <c r="AN500" s="22"/>
      <c r="AO500" s="22"/>
      <c r="AP500" s="22"/>
    </row>
    <row r="501" ht="25.5" customHeight="1">
      <c r="A501" s="198">
        <f t="shared" si="3"/>
        <v>500</v>
      </c>
      <c r="B501" s="198" t="s">
        <v>61</v>
      </c>
      <c r="C501" s="27" t="s">
        <v>63</v>
      </c>
      <c r="D501" s="27" t="s">
        <v>64</v>
      </c>
      <c r="E501" s="33"/>
      <c r="F501" s="30" t="s">
        <v>76</v>
      </c>
      <c r="G501" s="30" t="s">
        <v>350</v>
      </c>
      <c r="H501" s="27" t="s">
        <v>1768</v>
      </c>
      <c r="I501" s="27" t="s">
        <v>38</v>
      </c>
      <c r="J501" s="27" t="s">
        <v>1769</v>
      </c>
      <c r="K501" s="27"/>
      <c r="L501" s="27" t="str">
        <f t="shared" si="60"/>
        <v>Calle 47n #2i -24, La merced, Cali</v>
      </c>
      <c r="M501" s="27" t="s">
        <v>231</v>
      </c>
      <c r="N501" s="27" t="s">
        <v>233</v>
      </c>
      <c r="O501" s="33"/>
      <c r="P501" s="33"/>
      <c r="Q501" s="27" t="s">
        <v>81</v>
      </c>
      <c r="R501" s="30"/>
      <c r="S501" s="30"/>
      <c r="T501" s="30">
        <v>1.0</v>
      </c>
      <c r="U501" s="33"/>
      <c r="V501" s="33"/>
      <c r="W501" s="33"/>
      <c r="X501" s="33"/>
      <c r="Y501" s="27" t="s">
        <v>1266</v>
      </c>
      <c r="Z501" s="27" t="s">
        <v>1770</v>
      </c>
      <c r="AA501" s="27"/>
      <c r="AB501" s="27"/>
      <c r="AD501" s="22"/>
      <c r="AE501" s="22"/>
      <c r="AF501" s="22"/>
      <c r="AG501" s="22"/>
      <c r="AH501" s="22"/>
      <c r="AI501" s="22"/>
      <c r="AJ501" s="22"/>
      <c r="AK501" s="22"/>
      <c r="AL501" s="22"/>
      <c r="AM501" s="22"/>
      <c r="AN501" s="22"/>
      <c r="AO501" s="22"/>
      <c r="AP501" s="22"/>
    </row>
    <row r="502" ht="25.5" customHeight="1">
      <c r="A502" s="198">
        <f t="shared" si="3"/>
        <v>501</v>
      </c>
      <c r="B502" s="198" t="s">
        <v>61</v>
      </c>
      <c r="C502" s="27" t="s">
        <v>63</v>
      </c>
      <c r="D502" s="27" t="s">
        <v>64</v>
      </c>
      <c r="E502" s="33"/>
      <c r="F502" s="30" t="s">
        <v>35</v>
      </c>
      <c r="G502" s="30" t="s">
        <v>36</v>
      </c>
      <c r="H502" s="27" t="s">
        <v>278</v>
      </c>
      <c r="I502" s="27" t="s">
        <v>286</v>
      </c>
      <c r="J502" s="27" t="s">
        <v>1771</v>
      </c>
      <c r="K502" s="27" t="s">
        <v>1772</v>
      </c>
      <c r="L502" s="27" t="str">
        <f t="shared" si="60"/>
        <v>Carrera 36 b# 5b2-21, San Fernando, Cali</v>
      </c>
      <c r="M502" s="27" t="s">
        <v>231</v>
      </c>
      <c r="N502" s="27" t="s">
        <v>233</v>
      </c>
      <c r="O502" s="33"/>
      <c r="P502" s="33"/>
      <c r="Q502" s="27" t="s">
        <v>81</v>
      </c>
      <c r="R502" s="30"/>
      <c r="S502" s="30"/>
      <c r="T502" s="30">
        <v>1.0</v>
      </c>
      <c r="U502" s="33"/>
      <c r="V502" s="33"/>
      <c r="W502" s="33"/>
      <c r="X502" s="33"/>
      <c r="Y502" s="27" t="s">
        <v>1266</v>
      </c>
      <c r="Z502" s="27" t="s">
        <v>1773</v>
      </c>
      <c r="AA502" s="27"/>
      <c r="AB502" s="27"/>
      <c r="AD502" s="22"/>
      <c r="AE502" s="22"/>
      <c r="AF502" s="22"/>
      <c r="AG502" s="22"/>
      <c r="AH502" s="22"/>
      <c r="AI502" s="22"/>
      <c r="AJ502" s="22"/>
      <c r="AK502" s="22"/>
      <c r="AL502" s="22"/>
      <c r="AM502" s="22"/>
      <c r="AN502" s="22"/>
      <c r="AO502" s="22"/>
      <c r="AP502" s="22"/>
    </row>
    <row r="503" ht="25.5" customHeight="1">
      <c r="A503" s="198">
        <f t="shared" si="3"/>
        <v>502</v>
      </c>
      <c r="B503" s="198" t="s">
        <v>61</v>
      </c>
      <c r="C503" s="27" t="s">
        <v>63</v>
      </c>
      <c r="D503" s="27" t="s">
        <v>64</v>
      </c>
      <c r="E503" s="33"/>
      <c r="F503" s="30" t="s">
        <v>35</v>
      </c>
      <c r="G503" s="30" t="s">
        <v>36</v>
      </c>
      <c r="H503" s="27" t="s">
        <v>1339</v>
      </c>
      <c r="I503" s="27" t="s">
        <v>38</v>
      </c>
      <c r="J503" s="27" t="s">
        <v>1774</v>
      </c>
      <c r="K503" s="27" t="s">
        <v>1775</v>
      </c>
      <c r="L503" s="27" t="str">
        <f t="shared" si="60"/>
        <v>Calle 5 No. 37A 65, San fernando, Cali</v>
      </c>
      <c r="M503" s="27" t="s">
        <v>231</v>
      </c>
      <c r="N503" s="27" t="s">
        <v>233</v>
      </c>
      <c r="O503" s="33"/>
      <c r="P503" s="33"/>
      <c r="Q503" s="27" t="s">
        <v>81</v>
      </c>
      <c r="R503" s="30"/>
      <c r="S503" s="30"/>
      <c r="T503" s="30">
        <v>1.0</v>
      </c>
      <c r="U503" s="33"/>
      <c r="V503" s="33"/>
      <c r="W503" s="33"/>
      <c r="X503" s="33"/>
      <c r="Y503" s="27" t="s">
        <v>1266</v>
      </c>
      <c r="Z503" s="33"/>
      <c r="AA503" s="33"/>
      <c r="AB503" s="33"/>
      <c r="AD503" s="22"/>
      <c r="AE503" s="22"/>
      <c r="AF503" s="22"/>
      <c r="AG503" s="22"/>
      <c r="AH503" s="22"/>
      <c r="AI503" s="22"/>
      <c r="AJ503" s="22"/>
      <c r="AK503" s="22"/>
      <c r="AL503" s="22"/>
      <c r="AM503" s="22"/>
      <c r="AN503" s="22"/>
      <c r="AO503" s="22"/>
      <c r="AP503" s="22"/>
    </row>
    <row r="504" ht="25.5" customHeight="1">
      <c r="A504" s="198">
        <f t="shared" si="3"/>
        <v>503</v>
      </c>
      <c r="B504" s="198" t="s">
        <v>61</v>
      </c>
      <c r="C504" s="27" t="s">
        <v>63</v>
      </c>
      <c r="D504" s="27" t="s">
        <v>64</v>
      </c>
      <c r="E504" s="33"/>
      <c r="F504" s="30" t="s">
        <v>110</v>
      </c>
      <c r="G504" s="30" t="s">
        <v>176</v>
      </c>
      <c r="H504" s="27" t="s">
        <v>447</v>
      </c>
      <c r="I504" s="27" t="s">
        <v>286</v>
      </c>
      <c r="J504" s="27" t="s">
        <v>1776</v>
      </c>
      <c r="K504" s="27"/>
      <c r="L504" s="27" t="str">
        <f t="shared" si="60"/>
        <v>Carrera 13 # 6-32., San Bosco, Cali</v>
      </c>
      <c r="M504" s="27" t="s">
        <v>231</v>
      </c>
      <c r="N504" s="27" t="s">
        <v>233</v>
      </c>
      <c r="O504" s="33"/>
      <c r="P504" s="33"/>
      <c r="Q504" s="27" t="s">
        <v>81</v>
      </c>
      <c r="R504" s="30"/>
      <c r="S504" s="30"/>
      <c r="T504" s="30">
        <v>1.0</v>
      </c>
      <c r="U504" s="33"/>
      <c r="V504" s="33"/>
      <c r="W504" s="33"/>
      <c r="X504" s="33"/>
      <c r="Y504" s="27" t="s">
        <v>1266</v>
      </c>
      <c r="Z504" s="27" t="s">
        <v>1777</v>
      </c>
      <c r="AA504" s="27"/>
      <c r="AB504" s="27"/>
      <c r="AD504" s="22"/>
      <c r="AE504" s="22"/>
      <c r="AF504" s="22"/>
      <c r="AG504" s="22"/>
      <c r="AH504" s="22"/>
      <c r="AI504" s="22"/>
      <c r="AJ504" s="22"/>
      <c r="AK504" s="22"/>
      <c r="AL504" s="22"/>
      <c r="AM504" s="22"/>
      <c r="AN504" s="22"/>
      <c r="AO504" s="22"/>
      <c r="AP504" s="22"/>
    </row>
    <row r="505" ht="25.5" customHeight="1">
      <c r="A505" s="198">
        <f t="shared" si="3"/>
        <v>504</v>
      </c>
      <c r="B505" s="198" t="s">
        <v>61</v>
      </c>
      <c r="C505" s="27" t="s">
        <v>63</v>
      </c>
      <c r="D505" s="27" t="s">
        <v>64</v>
      </c>
      <c r="E505" s="33"/>
      <c r="F505" s="30" t="s">
        <v>76</v>
      </c>
      <c r="G505" s="30" t="s">
        <v>350</v>
      </c>
      <c r="H505" s="27" t="s">
        <v>519</v>
      </c>
      <c r="I505" s="27" t="s">
        <v>38</v>
      </c>
      <c r="J505" s="27" t="s">
        <v>1778</v>
      </c>
      <c r="K505" s="27" t="s">
        <v>1779</v>
      </c>
      <c r="L505" s="27" t="str">
        <f t="shared" si="60"/>
        <v>Calle 56norte # 2hn-33, Vipasa / Flora, Cali</v>
      </c>
      <c r="M505" s="27" t="s">
        <v>231</v>
      </c>
      <c r="N505" s="27" t="s">
        <v>233</v>
      </c>
      <c r="O505" s="33"/>
      <c r="P505" s="33"/>
      <c r="Q505" s="27" t="s">
        <v>81</v>
      </c>
      <c r="R505" s="30"/>
      <c r="S505" s="30"/>
      <c r="T505" s="30">
        <v>1.0</v>
      </c>
      <c r="U505" s="33"/>
      <c r="V505" s="33"/>
      <c r="W505" s="33"/>
      <c r="X505" s="33"/>
      <c r="Y505" s="27" t="s">
        <v>1266</v>
      </c>
      <c r="Z505" s="27" t="s">
        <v>1780</v>
      </c>
      <c r="AA505" s="27"/>
      <c r="AB505" s="27"/>
      <c r="AD505" s="22"/>
      <c r="AE505" s="22"/>
      <c r="AF505" s="22"/>
      <c r="AG505" s="22"/>
      <c r="AH505" s="22"/>
      <c r="AI505" s="22"/>
      <c r="AJ505" s="22"/>
      <c r="AK505" s="22"/>
      <c r="AL505" s="22"/>
      <c r="AM505" s="22"/>
      <c r="AN505" s="22"/>
      <c r="AO505" s="22"/>
      <c r="AP505" s="22"/>
    </row>
    <row r="506" ht="25.5" customHeight="1">
      <c r="A506" s="198">
        <f t="shared" si="3"/>
        <v>505</v>
      </c>
      <c r="B506" s="198" t="s">
        <v>61</v>
      </c>
      <c r="C506" s="27" t="s">
        <v>63</v>
      </c>
      <c r="D506" s="27" t="s">
        <v>64</v>
      </c>
      <c r="E506" s="33"/>
      <c r="F506" s="35" t="s">
        <v>60</v>
      </c>
      <c r="G506" s="30" t="s">
        <v>36</v>
      </c>
      <c r="H506" s="27" t="s">
        <v>243</v>
      </c>
      <c r="I506" s="27" t="s">
        <v>38</v>
      </c>
      <c r="J506" s="27" t="s">
        <v>1781</v>
      </c>
      <c r="K506" s="27" t="s">
        <v>1782</v>
      </c>
      <c r="L506" s="27" t="str">
        <f t="shared" si="60"/>
        <v>Carrera 84 No. 13B 11, El ingenio, Cali</v>
      </c>
      <c r="M506" s="27" t="s">
        <v>231</v>
      </c>
      <c r="N506" s="27" t="s">
        <v>233</v>
      </c>
      <c r="O506" s="33"/>
      <c r="P506" s="33"/>
      <c r="Q506" s="27" t="s">
        <v>81</v>
      </c>
      <c r="R506" s="30"/>
      <c r="S506" s="30"/>
      <c r="T506" s="30">
        <v>1.0</v>
      </c>
      <c r="U506" s="33"/>
      <c r="V506" s="33"/>
      <c r="W506" s="33"/>
      <c r="X506" s="33"/>
      <c r="Y506" s="33"/>
      <c r="Z506" s="33"/>
      <c r="AA506" s="33"/>
      <c r="AB506" s="33"/>
      <c r="AD506" s="22"/>
      <c r="AE506" s="22"/>
      <c r="AF506" s="22"/>
      <c r="AG506" s="22"/>
      <c r="AH506" s="22"/>
      <c r="AI506" s="22"/>
      <c r="AJ506" s="22"/>
      <c r="AK506" s="22"/>
      <c r="AL506" s="22"/>
      <c r="AM506" s="22"/>
      <c r="AN506" s="22"/>
      <c r="AO506" s="22"/>
      <c r="AP506" s="22"/>
    </row>
    <row r="507" ht="25.5" customHeight="1">
      <c r="A507" s="198">
        <f t="shared" si="3"/>
        <v>506</v>
      </c>
      <c r="B507" s="198" t="s">
        <v>61</v>
      </c>
      <c r="C507" s="27" t="s">
        <v>63</v>
      </c>
      <c r="D507" s="27" t="s">
        <v>64</v>
      </c>
      <c r="E507" s="33"/>
      <c r="F507" s="30" t="s">
        <v>35</v>
      </c>
      <c r="G507" s="30" t="s">
        <v>36</v>
      </c>
      <c r="H507" s="27" t="s">
        <v>1316</v>
      </c>
      <c r="I507" s="27" t="s">
        <v>286</v>
      </c>
      <c r="J507" s="27" t="s">
        <v>1783</v>
      </c>
      <c r="K507" s="27"/>
      <c r="L507" s="27" t="str">
        <f t="shared" si="60"/>
        <v>carrera 36a 5B 1-37, san fernando, Cali</v>
      </c>
      <c r="M507" s="27" t="s">
        <v>231</v>
      </c>
      <c r="N507" s="27" t="s">
        <v>233</v>
      </c>
      <c r="O507" s="33"/>
      <c r="P507" s="33"/>
      <c r="Q507" s="27" t="s">
        <v>81</v>
      </c>
      <c r="R507" s="30"/>
      <c r="S507" s="30"/>
      <c r="T507" s="30">
        <v>1.0</v>
      </c>
      <c r="U507" s="33"/>
      <c r="V507" s="33"/>
      <c r="W507" s="33"/>
      <c r="X507" s="33"/>
      <c r="Y507" s="27" t="s">
        <v>1266</v>
      </c>
      <c r="Z507" s="33"/>
      <c r="AA507" s="33"/>
      <c r="AB507" s="33"/>
      <c r="AD507" s="22"/>
      <c r="AE507" s="22"/>
      <c r="AF507" s="22"/>
      <c r="AG507" s="22"/>
      <c r="AH507" s="22"/>
      <c r="AI507" s="22"/>
      <c r="AJ507" s="22"/>
      <c r="AK507" s="22"/>
      <c r="AL507" s="22"/>
      <c r="AM507" s="22"/>
      <c r="AN507" s="22"/>
      <c r="AO507" s="22"/>
      <c r="AP507" s="22"/>
    </row>
    <row r="508" ht="25.5" customHeight="1">
      <c r="A508" s="198">
        <f t="shared" si="3"/>
        <v>507</v>
      </c>
      <c r="B508" s="198" t="s">
        <v>61</v>
      </c>
      <c r="C508" s="27" t="s">
        <v>63</v>
      </c>
      <c r="D508" s="27" t="s">
        <v>64</v>
      </c>
      <c r="E508" s="33"/>
      <c r="F508" s="30" t="s">
        <v>87</v>
      </c>
      <c r="G508" s="30" t="s">
        <v>36</v>
      </c>
      <c r="H508" s="27" t="s">
        <v>93</v>
      </c>
      <c r="I508" s="27" t="s">
        <v>286</v>
      </c>
      <c r="J508" s="27" t="s">
        <v>1784</v>
      </c>
      <c r="K508" s="27" t="s">
        <v>1785</v>
      </c>
      <c r="L508" s="27" t="str">
        <f t="shared" si="60"/>
        <v>calle 2 A bis 94B1 -43, Altos de Melendez, Cali</v>
      </c>
      <c r="M508" s="27" t="s">
        <v>231</v>
      </c>
      <c r="N508" s="27" t="s">
        <v>233</v>
      </c>
      <c r="O508" s="33"/>
      <c r="P508" s="33"/>
      <c r="Q508" s="27" t="s">
        <v>81</v>
      </c>
      <c r="R508" s="30"/>
      <c r="S508" s="30"/>
      <c r="T508" s="30">
        <v>1.0</v>
      </c>
      <c r="U508" s="33"/>
      <c r="V508" s="33"/>
      <c r="W508" s="33"/>
      <c r="X508" s="33"/>
      <c r="Y508" s="27" t="s">
        <v>1266</v>
      </c>
      <c r="Z508" s="33"/>
      <c r="AA508" s="33"/>
      <c r="AB508" s="33"/>
      <c r="AD508" s="22"/>
      <c r="AE508" s="22"/>
      <c r="AF508" s="22"/>
      <c r="AG508" s="22"/>
      <c r="AH508" s="22"/>
      <c r="AI508" s="22"/>
      <c r="AJ508" s="22"/>
      <c r="AK508" s="22"/>
      <c r="AL508" s="22"/>
      <c r="AM508" s="22"/>
      <c r="AN508" s="22"/>
      <c r="AO508" s="22"/>
      <c r="AP508" s="22"/>
    </row>
    <row r="509" ht="25.5" customHeight="1">
      <c r="A509" s="198">
        <f t="shared" si="3"/>
        <v>508</v>
      </c>
      <c r="B509" s="198" t="s">
        <v>61</v>
      </c>
      <c r="C509" s="27" t="s">
        <v>63</v>
      </c>
      <c r="D509" s="27" t="s">
        <v>64</v>
      </c>
      <c r="E509" s="33"/>
      <c r="F509" s="35" t="s">
        <v>60</v>
      </c>
      <c r="G509" s="30" t="s">
        <v>36</v>
      </c>
      <c r="H509" s="27" t="s">
        <v>345</v>
      </c>
      <c r="I509" s="27" t="s">
        <v>38</v>
      </c>
      <c r="J509" s="27" t="s">
        <v>1786</v>
      </c>
      <c r="K509" s="27" t="s">
        <v>1787</v>
      </c>
      <c r="L509" s="27" t="str">
        <f t="shared" si="60"/>
        <v>calle 56#84~33, las vegas de comfandi, Cali</v>
      </c>
      <c r="M509" s="27" t="s">
        <v>231</v>
      </c>
      <c r="N509" s="27" t="s">
        <v>233</v>
      </c>
      <c r="O509" s="33"/>
      <c r="P509" s="33"/>
      <c r="Q509" s="27" t="s">
        <v>81</v>
      </c>
      <c r="R509" s="30"/>
      <c r="S509" s="30"/>
      <c r="T509" s="30">
        <v>1.0</v>
      </c>
      <c r="U509" s="33"/>
      <c r="V509" s="33"/>
      <c r="W509" s="33"/>
      <c r="X509" s="33"/>
      <c r="Y509" s="27" t="s">
        <v>1266</v>
      </c>
      <c r="Z509" s="27" t="s">
        <v>1788</v>
      </c>
      <c r="AA509" s="27"/>
      <c r="AB509" s="27"/>
      <c r="AD509" s="22"/>
      <c r="AE509" s="22"/>
      <c r="AF509" s="22"/>
      <c r="AG509" s="22"/>
      <c r="AH509" s="22"/>
      <c r="AI509" s="22"/>
      <c r="AJ509" s="22"/>
      <c r="AK509" s="22"/>
      <c r="AL509" s="22"/>
      <c r="AM509" s="22"/>
      <c r="AN509" s="22"/>
      <c r="AO509" s="22"/>
      <c r="AP509" s="22"/>
    </row>
    <row r="510" ht="25.5" customHeight="1">
      <c r="A510" s="198">
        <f t="shared" si="3"/>
        <v>509</v>
      </c>
      <c r="B510" s="198" t="s">
        <v>61</v>
      </c>
      <c r="C510" s="27" t="s">
        <v>63</v>
      </c>
      <c r="D510" s="27" t="s">
        <v>64</v>
      </c>
      <c r="E510" s="33"/>
      <c r="F510" s="30" t="s">
        <v>87</v>
      </c>
      <c r="G510" s="30" t="s">
        <v>36</v>
      </c>
      <c r="H510" s="27" t="s">
        <v>397</v>
      </c>
      <c r="I510" s="27" t="s">
        <v>286</v>
      </c>
      <c r="J510" s="27" t="s">
        <v>1789</v>
      </c>
      <c r="K510" s="27" t="s">
        <v>1790</v>
      </c>
      <c r="L510" s="27" t="str">
        <f t="shared" si="60"/>
        <v>Cra77a #3D-56, napoles, Cali</v>
      </c>
      <c r="M510" s="27" t="s">
        <v>231</v>
      </c>
      <c r="N510" s="27" t="s">
        <v>233</v>
      </c>
      <c r="O510" s="33"/>
      <c r="P510" s="33"/>
      <c r="Q510" s="27" t="s">
        <v>81</v>
      </c>
      <c r="R510" s="30"/>
      <c r="S510" s="30"/>
      <c r="T510" s="30">
        <v>1.0</v>
      </c>
      <c r="U510" s="33"/>
      <c r="V510" s="33"/>
      <c r="W510" s="33"/>
      <c r="X510" s="33"/>
      <c r="Y510" s="27" t="s">
        <v>1266</v>
      </c>
      <c r="Z510" s="33"/>
      <c r="AA510" s="33"/>
      <c r="AB510" s="33"/>
      <c r="AD510" s="22"/>
      <c r="AE510" s="22"/>
      <c r="AF510" s="22"/>
      <c r="AG510" s="22"/>
      <c r="AH510" s="22"/>
      <c r="AI510" s="22"/>
      <c r="AJ510" s="22"/>
      <c r="AK510" s="22"/>
      <c r="AL510" s="22"/>
      <c r="AM510" s="22"/>
      <c r="AN510" s="22"/>
      <c r="AO510" s="22"/>
      <c r="AP510" s="22"/>
    </row>
    <row r="511" ht="25.5" customHeight="1">
      <c r="A511" s="63">
        <f t="shared" si="3"/>
        <v>510</v>
      </c>
      <c r="B511" s="63" t="s">
        <v>62</v>
      </c>
      <c r="C511" s="65" t="s">
        <v>133</v>
      </c>
      <c r="D511" s="108" t="s">
        <v>515</v>
      </c>
      <c r="E511" s="68" t="s">
        <v>62</v>
      </c>
      <c r="F511" s="70" t="s">
        <v>62</v>
      </c>
      <c r="G511" s="70" t="s">
        <v>62</v>
      </c>
      <c r="H511" s="71" t="s">
        <v>62</v>
      </c>
      <c r="I511" s="71" t="s">
        <v>62</v>
      </c>
      <c r="J511" s="68" t="s">
        <v>62</v>
      </c>
      <c r="K511" s="68" t="s">
        <v>62</v>
      </c>
      <c r="L511" s="68" t="s">
        <v>62</v>
      </c>
      <c r="M511" s="68" t="s">
        <v>62</v>
      </c>
      <c r="N511" s="68" t="s">
        <v>62</v>
      </c>
      <c r="O511" s="68" t="s">
        <v>62</v>
      </c>
      <c r="P511" s="68" t="s">
        <v>62</v>
      </c>
      <c r="Q511" s="68" t="s">
        <v>62</v>
      </c>
      <c r="R511" s="68" t="s">
        <v>62</v>
      </c>
      <c r="S511" s="68"/>
      <c r="T511" s="68" t="s">
        <v>62</v>
      </c>
      <c r="U511" s="68" t="s">
        <v>62</v>
      </c>
      <c r="V511" s="68" t="s">
        <v>62</v>
      </c>
      <c r="W511" s="68" t="s">
        <v>62</v>
      </c>
      <c r="X511" s="68" t="s">
        <v>62</v>
      </c>
      <c r="Y511" s="68" t="s">
        <v>62</v>
      </c>
      <c r="Z511" s="68" t="s">
        <v>62</v>
      </c>
      <c r="AA511" s="68" t="s">
        <v>62</v>
      </c>
      <c r="AB511" s="68" t="s">
        <v>62</v>
      </c>
      <c r="AD511" s="196"/>
      <c r="AE511" s="196"/>
      <c r="AF511" s="196"/>
      <c r="AG511" s="196"/>
      <c r="AH511" s="196"/>
      <c r="AI511" s="196"/>
      <c r="AJ511" s="196"/>
      <c r="AK511" s="196"/>
      <c r="AL511" s="196"/>
      <c r="AM511" s="196"/>
      <c r="AN511" s="196"/>
      <c r="AO511" s="196"/>
      <c r="AP511" s="196"/>
    </row>
    <row r="512" ht="25.5" customHeight="1">
      <c r="A512" s="198">
        <f t="shared" si="3"/>
        <v>511</v>
      </c>
      <c r="B512" s="198" t="s">
        <v>61</v>
      </c>
      <c r="C512" s="27" t="s">
        <v>63</v>
      </c>
      <c r="D512" s="27" t="s">
        <v>64</v>
      </c>
      <c r="E512" s="33"/>
      <c r="F512" s="30" t="s">
        <v>70</v>
      </c>
      <c r="G512" s="30" t="s">
        <v>36</v>
      </c>
      <c r="H512" s="27" t="s">
        <v>473</v>
      </c>
      <c r="I512" s="27" t="s">
        <v>286</v>
      </c>
      <c r="J512" s="27" t="s">
        <v>1791</v>
      </c>
      <c r="K512" s="27"/>
      <c r="L512" s="27" t="str">
        <f t="shared" ref="L512:L520" si="61">CONCATENATE(J512,", ",H512,", Cali")</f>
        <v>Calle 16 # 29A-105, Santa Elena, Cali</v>
      </c>
      <c r="M512" s="154" t="s">
        <v>1792</v>
      </c>
      <c r="N512" s="154" t="s">
        <v>233</v>
      </c>
      <c r="O512" s="33"/>
      <c r="P512" s="33"/>
      <c r="Q512" s="27" t="s">
        <v>81</v>
      </c>
      <c r="R512" s="30"/>
      <c r="S512" s="30"/>
      <c r="T512" s="30">
        <v>1.0</v>
      </c>
      <c r="U512" s="33"/>
      <c r="V512" s="33"/>
      <c r="W512" s="33"/>
      <c r="X512" s="33"/>
      <c r="Y512" s="33"/>
      <c r="Z512" s="33"/>
      <c r="AA512" s="33"/>
      <c r="AB512" s="33"/>
      <c r="AD512" s="22"/>
      <c r="AE512" s="22"/>
      <c r="AF512" s="22"/>
      <c r="AG512" s="22"/>
      <c r="AH512" s="22"/>
      <c r="AI512" s="22"/>
      <c r="AJ512" s="22"/>
      <c r="AK512" s="22"/>
      <c r="AL512" s="22"/>
      <c r="AM512" s="22"/>
      <c r="AN512" s="22"/>
      <c r="AO512" s="22"/>
      <c r="AP512" s="22"/>
    </row>
    <row r="513" ht="25.5" customHeight="1">
      <c r="A513" s="198">
        <f t="shared" si="3"/>
        <v>512</v>
      </c>
      <c r="B513" s="198" t="s">
        <v>61</v>
      </c>
      <c r="C513" s="27" t="s">
        <v>63</v>
      </c>
      <c r="D513" s="27" t="s">
        <v>64</v>
      </c>
      <c r="E513" s="33"/>
      <c r="F513" s="30" t="s">
        <v>60</v>
      </c>
      <c r="G513" s="30" t="s">
        <v>36</v>
      </c>
      <c r="H513" s="27" t="s">
        <v>504</v>
      </c>
      <c r="I513" s="27" t="s">
        <v>38</v>
      </c>
      <c r="J513" s="27" t="s">
        <v>1793</v>
      </c>
      <c r="K513" s="27" t="s">
        <v>1794</v>
      </c>
      <c r="L513" s="27" t="str">
        <f t="shared" si="61"/>
        <v>Calle 6 No. 43-66, Valle del Lili, Cali</v>
      </c>
      <c r="M513" s="27" t="s">
        <v>231</v>
      </c>
      <c r="N513" s="27" t="s">
        <v>233</v>
      </c>
      <c r="O513" s="33"/>
      <c r="P513" s="33"/>
      <c r="Q513" s="27" t="s">
        <v>81</v>
      </c>
      <c r="R513" s="30"/>
      <c r="S513" s="30"/>
      <c r="T513" s="30">
        <v>1.0</v>
      </c>
      <c r="U513" s="33"/>
      <c r="V513" s="33"/>
      <c r="W513" s="33"/>
      <c r="X513" s="33"/>
      <c r="Y513" s="33" t="s">
        <v>1266</v>
      </c>
      <c r="Z513" s="33" t="s">
        <v>1795</v>
      </c>
      <c r="AA513" s="33"/>
      <c r="AB513" s="33"/>
      <c r="AD513" s="22"/>
      <c r="AE513" s="22"/>
      <c r="AF513" s="22"/>
      <c r="AG513" s="22"/>
      <c r="AH513" s="22"/>
      <c r="AI513" s="22"/>
      <c r="AJ513" s="22"/>
      <c r="AK513" s="22"/>
      <c r="AL513" s="22"/>
      <c r="AM513" s="22"/>
      <c r="AN513" s="22"/>
      <c r="AO513" s="22"/>
      <c r="AP513" s="22"/>
    </row>
    <row r="514" ht="25.5" customHeight="1">
      <c r="A514" s="198">
        <f t="shared" si="3"/>
        <v>513</v>
      </c>
      <c r="B514" s="198" t="s">
        <v>61</v>
      </c>
      <c r="C514" s="27" t="s">
        <v>63</v>
      </c>
      <c r="D514" s="27" t="s">
        <v>64</v>
      </c>
      <c r="E514" s="33"/>
      <c r="F514" s="35" t="s">
        <v>60</v>
      </c>
      <c r="G514" s="30" t="s">
        <v>36</v>
      </c>
      <c r="H514" s="27" t="s">
        <v>503</v>
      </c>
      <c r="I514" s="27" t="s">
        <v>38</v>
      </c>
      <c r="J514" s="27" t="s">
        <v>1796</v>
      </c>
      <c r="K514" s="27" t="s">
        <v>1797</v>
      </c>
      <c r="L514" s="27" t="str">
        <f t="shared" si="61"/>
        <v>Calle 28 # 98-75, Valle de lili, Cali</v>
      </c>
      <c r="M514" s="27" t="s">
        <v>231</v>
      </c>
      <c r="N514" s="27" t="s">
        <v>233</v>
      </c>
      <c r="O514" s="33"/>
      <c r="P514" s="33"/>
      <c r="Q514" s="27" t="s">
        <v>81</v>
      </c>
      <c r="R514" s="30"/>
      <c r="S514" s="30"/>
      <c r="T514" s="30">
        <v>1.0</v>
      </c>
      <c r="U514" s="33"/>
      <c r="V514" s="33"/>
      <c r="W514" s="33"/>
      <c r="X514" s="33"/>
      <c r="Y514" s="33"/>
      <c r="Z514" s="27" t="s">
        <v>1798</v>
      </c>
      <c r="AA514" s="27"/>
      <c r="AB514" s="27"/>
      <c r="AD514" s="22"/>
      <c r="AE514" s="22"/>
      <c r="AF514" s="22"/>
      <c r="AG514" s="22"/>
      <c r="AH514" s="22"/>
      <c r="AI514" s="22"/>
      <c r="AJ514" s="22"/>
      <c r="AK514" s="22"/>
      <c r="AL514" s="22"/>
      <c r="AM514" s="22"/>
      <c r="AN514" s="22"/>
      <c r="AO514" s="22"/>
      <c r="AP514" s="22"/>
    </row>
    <row r="515" ht="25.5" customHeight="1">
      <c r="A515" s="198">
        <f t="shared" si="3"/>
        <v>514</v>
      </c>
      <c r="B515" s="198" t="s">
        <v>61</v>
      </c>
      <c r="C515" s="27" t="s">
        <v>63</v>
      </c>
      <c r="D515" s="27" t="s">
        <v>64</v>
      </c>
      <c r="E515" s="33"/>
      <c r="F515" s="30" t="s">
        <v>35</v>
      </c>
      <c r="G515" s="30" t="s">
        <v>36</v>
      </c>
      <c r="H515" s="27" t="s">
        <v>456</v>
      </c>
      <c r="I515" s="27" t="s">
        <v>286</v>
      </c>
      <c r="J515" s="27" t="s">
        <v>1799</v>
      </c>
      <c r="K515" s="27"/>
      <c r="L515" s="27" t="str">
        <f t="shared" si="61"/>
        <v>Calle 4 c # 35 A 07, San Fernando Viejo, Cali</v>
      </c>
      <c r="M515" s="27" t="s">
        <v>231</v>
      </c>
      <c r="N515" s="27" t="s">
        <v>233</v>
      </c>
      <c r="O515" s="33"/>
      <c r="P515" s="33"/>
      <c r="Q515" s="27" t="s">
        <v>81</v>
      </c>
      <c r="R515" s="30"/>
      <c r="S515" s="30"/>
      <c r="T515" s="30">
        <v>1.0</v>
      </c>
      <c r="U515" s="33"/>
      <c r="V515" s="33"/>
      <c r="W515" s="33"/>
      <c r="X515" s="33"/>
      <c r="Y515" s="33"/>
      <c r="Z515" s="27" t="s">
        <v>1800</v>
      </c>
      <c r="AA515" s="27"/>
      <c r="AB515" s="27"/>
      <c r="AD515" s="22"/>
      <c r="AE515" s="22"/>
      <c r="AF515" s="22"/>
      <c r="AG515" s="22"/>
      <c r="AH515" s="22"/>
      <c r="AI515" s="22"/>
      <c r="AJ515" s="22"/>
      <c r="AK515" s="22"/>
      <c r="AL515" s="22"/>
      <c r="AM515" s="22"/>
      <c r="AN515" s="22"/>
      <c r="AO515" s="22"/>
      <c r="AP515" s="22"/>
    </row>
    <row r="516" ht="25.5" customHeight="1">
      <c r="A516" s="198">
        <f t="shared" si="3"/>
        <v>515</v>
      </c>
      <c r="B516" s="198" t="s">
        <v>61</v>
      </c>
      <c r="C516" s="27" t="s">
        <v>63</v>
      </c>
      <c r="D516" s="27" t="s">
        <v>64</v>
      </c>
      <c r="E516" s="33"/>
      <c r="F516" s="35" t="s">
        <v>60</v>
      </c>
      <c r="G516" s="30" t="s">
        <v>36</v>
      </c>
      <c r="H516" s="27" t="s">
        <v>296</v>
      </c>
      <c r="I516" s="27" t="s">
        <v>286</v>
      </c>
      <c r="J516" s="27" t="s">
        <v>1801</v>
      </c>
      <c r="K516" s="27"/>
      <c r="L516" s="27" t="str">
        <f t="shared" si="61"/>
        <v>Carrera 86 17-35, Ingenio, Cali</v>
      </c>
      <c r="M516" s="27" t="s">
        <v>231</v>
      </c>
      <c r="N516" s="27" t="s">
        <v>233</v>
      </c>
      <c r="O516" s="33"/>
      <c r="P516" s="33"/>
      <c r="Q516" s="27" t="s">
        <v>81</v>
      </c>
      <c r="R516" s="30"/>
      <c r="S516" s="30"/>
      <c r="T516" s="30">
        <v>1.0</v>
      </c>
      <c r="U516" s="33"/>
      <c r="V516" s="33"/>
      <c r="W516" s="33"/>
      <c r="X516" s="33"/>
      <c r="Y516" s="33"/>
      <c r="Z516" s="33"/>
      <c r="AA516" s="33"/>
      <c r="AB516" s="33"/>
      <c r="AD516" s="22"/>
      <c r="AE516" s="22"/>
      <c r="AF516" s="22"/>
      <c r="AG516" s="22"/>
      <c r="AH516" s="22"/>
      <c r="AI516" s="22"/>
      <c r="AJ516" s="22"/>
      <c r="AK516" s="22"/>
      <c r="AL516" s="22"/>
      <c r="AM516" s="22"/>
      <c r="AN516" s="22"/>
      <c r="AO516" s="22"/>
      <c r="AP516" s="22"/>
    </row>
    <row r="517" ht="25.5" customHeight="1">
      <c r="A517" s="198">
        <f t="shared" si="3"/>
        <v>516</v>
      </c>
      <c r="B517" s="198" t="s">
        <v>61</v>
      </c>
      <c r="C517" s="27" t="s">
        <v>63</v>
      </c>
      <c r="D517" s="27" t="s">
        <v>64</v>
      </c>
      <c r="E517" s="33"/>
      <c r="F517" s="35" t="s">
        <v>60</v>
      </c>
      <c r="G517" s="30" t="s">
        <v>36</v>
      </c>
      <c r="H517" s="27" t="s">
        <v>200</v>
      </c>
      <c r="I517" s="27" t="s">
        <v>1802</v>
      </c>
      <c r="J517" s="27" t="s">
        <v>1803</v>
      </c>
      <c r="K517" s="27"/>
      <c r="L517" s="27" t="str">
        <f t="shared" si="61"/>
        <v>Cl. 13 #80 - 187, Ciudadela Comfandi, Cali</v>
      </c>
      <c r="M517" s="27" t="s">
        <v>231</v>
      </c>
      <c r="N517" s="27" t="s">
        <v>233</v>
      </c>
      <c r="O517" s="33"/>
      <c r="P517" s="33"/>
      <c r="Q517" s="27" t="s">
        <v>81</v>
      </c>
      <c r="R517" s="30"/>
      <c r="S517" s="30"/>
      <c r="T517" s="30">
        <v>1.0</v>
      </c>
      <c r="U517" s="33"/>
      <c r="V517" s="33"/>
      <c r="W517" s="33"/>
      <c r="X517" s="33"/>
      <c r="Y517" s="33"/>
      <c r="Z517" s="33"/>
      <c r="AA517" s="33"/>
      <c r="AB517" s="33"/>
      <c r="AD517" s="22"/>
      <c r="AE517" s="22"/>
      <c r="AF517" s="22"/>
      <c r="AG517" s="22"/>
      <c r="AH517" s="22"/>
      <c r="AI517" s="22"/>
      <c r="AJ517" s="22"/>
      <c r="AK517" s="22"/>
      <c r="AL517" s="22"/>
      <c r="AM517" s="22"/>
      <c r="AN517" s="22"/>
      <c r="AO517" s="22"/>
      <c r="AP517" s="22"/>
    </row>
    <row r="518" ht="25.5" customHeight="1">
      <c r="A518" s="198">
        <f t="shared" si="3"/>
        <v>517</v>
      </c>
      <c r="B518" s="198" t="s">
        <v>61</v>
      </c>
      <c r="C518" s="27" t="s">
        <v>63</v>
      </c>
      <c r="D518" s="27" t="s">
        <v>64</v>
      </c>
      <c r="E518" s="33"/>
      <c r="F518" s="35" t="s">
        <v>60</v>
      </c>
      <c r="G518" s="30" t="s">
        <v>36</v>
      </c>
      <c r="H518" s="27" t="s">
        <v>418</v>
      </c>
      <c r="I518" s="27" t="s">
        <v>1802</v>
      </c>
      <c r="J518" s="27" t="s">
        <v>1804</v>
      </c>
      <c r="K518" s="27"/>
      <c r="L518" s="27" t="str">
        <f t="shared" si="61"/>
        <v>Calle 13 #75 - 85, Pasoancho, Cali</v>
      </c>
      <c r="M518" s="27" t="s">
        <v>231</v>
      </c>
      <c r="N518" s="27" t="s">
        <v>233</v>
      </c>
      <c r="O518" s="33"/>
      <c r="P518" s="33"/>
      <c r="Q518" s="27" t="s">
        <v>81</v>
      </c>
      <c r="R518" s="30"/>
      <c r="S518" s="30"/>
      <c r="T518" s="30">
        <v>1.0</v>
      </c>
      <c r="U518" s="33"/>
      <c r="V518" s="33"/>
      <c r="W518" s="33"/>
      <c r="X518" s="33"/>
      <c r="Y518" s="33"/>
      <c r="Z518" s="33"/>
      <c r="AA518" s="33"/>
      <c r="AB518" s="33"/>
      <c r="AD518" s="22"/>
      <c r="AE518" s="22"/>
      <c r="AF518" s="22"/>
      <c r="AG518" s="22"/>
      <c r="AH518" s="22"/>
      <c r="AI518" s="22"/>
      <c r="AJ518" s="22"/>
      <c r="AK518" s="22"/>
      <c r="AL518" s="22"/>
      <c r="AM518" s="22"/>
      <c r="AN518" s="22"/>
      <c r="AO518" s="22"/>
      <c r="AP518" s="22"/>
    </row>
    <row r="519" ht="25.5" customHeight="1">
      <c r="A519" s="198">
        <f t="shared" si="3"/>
        <v>518</v>
      </c>
      <c r="B519" s="198" t="s">
        <v>61</v>
      </c>
      <c r="C519" s="27" t="s">
        <v>63</v>
      </c>
      <c r="D519" s="27" t="s">
        <v>64</v>
      </c>
      <c r="E519" s="33"/>
      <c r="F519" s="35" t="s">
        <v>60</v>
      </c>
      <c r="G519" s="30" t="s">
        <v>36</v>
      </c>
      <c r="H519" s="33"/>
      <c r="I519" s="33" t="s">
        <v>1802</v>
      </c>
      <c r="J519" s="27" t="s">
        <v>1805</v>
      </c>
      <c r="K519" s="27"/>
      <c r="L519" s="27" t="str">
        <f t="shared" si="61"/>
        <v>Ara carrera 70, , Cali</v>
      </c>
      <c r="M519" s="27" t="s">
        <v>231</v>
      </c>
      <c r="N519" s="27" t="s">
        <v>233</v>
      </c>
      <c r="O519" s="33"/>
      <c r="P519" s="33"/>
      <c r="Q519" s="27" t="s">
        <v>81</v>
      </c>
      <c r="R519" s="30"/>
      <c r="S519" s="30"/>
      <c r="T519" s="30">
        <v>1.0</v>
      </c>
      <c r="U519" s="33"/>
      <c r="V519" s="33"/>
      <c r="W519" s="33"/>
      <c r="X519" s="33"/>
      <c r="Y519" s="33"/>
      <c r="Z519" s="33"/>
      <c r="AA519" s="33"/>
      <c r="AB519" s="33"/>
      <c r="AD519" s="22"/>
      <c r="AE519" s="22"/>
      <c r="AF519" s="22"/>
      <c r="AG519" s="22"/>
      <c r="AH519" s="22"/>
      <c r="AI519" s="22"/>
      <c r="AJ519" s="22"/>
      <c r="AK519" s="22"/>
      <c r="AL519" s="22"/>
      <c r="AM519" s="22"/>
      <c r="AN519" s="22"/>
      <c r="AO519" s="22"/>
      <c r="AP519" s="22"/>
    </row>
    <row r="520" ht="25.5" customHeight="1">
      <c r="A520" s="33">
        <f t="shared" si="3"/>
        <v>519</v>
      </c>
      <c r="B520" s="198" t="s">
        <v>61</v>
      </c>
      <c r="C520" s="27" t="s">
        <v>63</v>
      </c>
      <c r="D520" s="27" t="s">
        <v>64</v>
      </c>
      <c r="E520" s="33"/>
      <c r="F520" s="30" t="s">
        <v>35</v>
      </c>
      <c r="G520" s="30" t="s">
        <v>36</v>
      </c>
      <c r="H520" s="27" t="s">
        <v>454</v>
      </c>
      <c r="I520" s="33" t="s">
        <v>546</v>
      </c>
      <c r="J520" s="27" t="s">
        <v>1806</v>
      </c>
      <c r="K520" s="27" t="s">
        <v>1807</v>
      </c>
      <c r="L520" s="27" t="str">
        <f t="shared" si="61"/>
        <v>Carrera 38 # 5b1 - 39, San Fernando N., Cali</v>
      </c>
      <c r="M520" s="27" t="s">
        <v>231</v>
      </c>
      <c r="N520" s="27" t="s">
        <v>233</v>
      </c>
      <c r="O520" s="33"/>
      <c r="P520" s="33"/>
      <c r="Q520" s="27" t="s">
        <v>81</v>
      </c>
      <c r="R520" s="30"/>
      <c r="S520" s="30"/>
      <c r="T520" s="30">
        <v>1.0</v>
      </c>
      <c r="U520" s="33"/>
      <c r="V520" s="33"/>
      <c r="W520" s="33"/>
      <c r="X520" s="33"/>
      <c r="Y520" s="33"/>
      <c r="Z520" s="33"/>
      <c r="AA520" s="33"/>
      <c r="AB520" s="33"/>
      <c r="AD520" s="22"/>
      <c r="AE520" s="22"/>
      <c r="AF520" s="22"/>
      <c r="AG520" s="22"/>
      <c r="AH520" s="22"/>
      <c r="AI520" s="22"/>
      <c r="AJ520" s="22"/>
      <c r="AK520" s="22"/>
      <c r="AL520" s="22"/>
      <c r="AM520" s="22"/>
      <c r="AN520" s="22"/>
      <c r="AO520" s="22"/>
      <c r="AP520" s="22"/>
    </row>
    <row r="521" ht="25.5" customHeight="1">
      <c r="A521" s="63">
        <f t="shared" si="3"/>
        <v>520</v>
      </c>
      <c r="B521" s="63" t="s">
        <v>62</v>
      </c>
      <c r="C521" s="65" t="s">
        <v>133</v>
      </c>
      <c r="D521" s="63" t="s">
        <v>64</v>
      </c>
      <c r="E521" s="68" t="s">
        <v>62</v>
      </c>
      <c r="F521" s="70" t="s">
        <v>62</v>
      </c>
      <c r="G521" s="70" t="s">
        <v>62</v>
      </c>
      <c r="H521" s="71" t="s">
        <v>62</v>
      </c>
      <c r="I521" s="71" t="s">
        <v>62</v>
      </c>
      <c r="J521" s="68" t="s">
        <v>62</v>
      </c>
      <c r="K521" s="68" t="s">
        <v>62</v>
      </c>
      <c r="L521" s="68" t="s">
        <v>62</v>
      </c>
      <c r="M521" s="68" t="s">
        <v>62</v>
      </c>
      <c r="N521" s="68" t="s">
        <v>62</v>
      </c>
      <c r="O521" s="68" t="s">
        <v>62</v>
      </c>
      <c r="P521" s="68" t="s">
        <v>62</v>
      </c>
      <c r="Q521" s="68" t="s">
        <v>62</v>
      </c>
      <c r="R521" s="68" t="s">
        <v>62</v>
      </c>
      <c r="S521" s="68"/>
      <c r="T521" s="68" t="s">
        <v>62</v>
      </c>
      <c r="U521" s="68" t="s">
        <v>62</v>
      </c>
      <c r="V521" s="68" t="s">
        <v>62</v>
      </c>
      <c r="W521" s="68" t="s">
        <v>62</v>
      </c>
      <c r="X521" s="68" t="s">
        <v>62</v>
      </c>
      <c r="Y521" s="68" t="s">
        <v>62</v>
      </c>
      <c r="Z521" s="68" t="s">
        <v>62</v>
      </c>
      <c r="AA521" s="68" t="s">
        <v>62</v>
      </c>
      <c r="AB521" s="68" t="s">
        <v>62</v>
      </c>
      <c r="AD521" s="196"/>
      <c r="AE521" s="196"/>
      <c r="AF521" s="196"/>
      <c r="AG521" s="196"/>
      <c r="AH521" s="196"/>
      <c r="AI521" s="196"/>
      <c r="AJ521" s="196"/>
      <c r="AK521" s="196"/>
      <c r="AL521" s="196"/>
      <c r="AM521" s="196"/>
      <c r="AN521" s="196"/>
      <c r="AO521" s="196"/>
      <c r="AP521" s="196"/>
    </row>
    <row r="522" ht="25.5" customHeight="1">
      <c r="A522" s="198">
        <f t="shared" si="3"/>
        <v>521</v>
      </c>
      <c r="B522" s="198" t="s">
        <v>61</v>
      </c>
      <c r="C522" s="27" t="s">
        <v>63</v>
      </c>
      <c r="D522" s="27" t="s">
        <v>64</v>
      </c>
      <c r="E522" s="33"/>
      <c r="F522" s="30" t="s">
        <v>87</v>
      </c>
      <c r="G522" s="30" t="s">
        <v>36</v>
      </c>
      <c r="H522" s="27" t="s">
        <v>302</v>
      </c>
      <c r="I522" s="27" t="s">
        <v>286</v>
      </c>
      <c r="J522" s="27" t="s">
        <v>1808</v>
      </c>
      <c r="K522" s="27"/>
      <c r="L522" s="27" t="str">
        <f t="shared" ref="L522:L537" si="62">CONCATENATE(J522,", ",H522,", Cali")</f>
        <v>Carrera 94B 2 -190, Jordan, Cali</v>
      </c>
      <c r="M522" s="27" t="s">
        <v>231</v>
      </c>
      <c r="N522" s="27" t="s">
        <v>233</v>
      </c>
      <c r="O522" s="33"/>
      <c r="P522" s="33"/>
      <c r="Q522" s="27" t="s">
        <v>81</v>
      </c>
      <c r="R522" s="30"/>
      <c r="S522" s="30"/>
      <c r="T522" s="30">
        <v>1.0</v>
      </c>
      <c r="U522" s="33"/>
      <c r="V522" s="33"/>
      <c r="W522" s="33"/>
      <c r="X522" s="33"/>
      <c r="Y522" s="33"/>
      <c r="Z522" s="33"/>
      <c r="AA522" s="33"/>
      <c r="AB522" s="33"/>
      <c r="AD522" s="22"/>
      <c r="AE522" s="22"/>
      <c r="AF522" s="22"/>
      <c r="AG522" s="22"/>
      <c r="AH522" s="22"/>
      <c r="AI522" s="22"/>
      <c r="AJ522" s="22"/>
      <c r="AK522" s="22"/>
      <c r="AL522" s="22"/>
      <c r="AM522" s="22"/>
      <c r="AN522" s="22"/>
      <c r="AO522" s="22"/>
      <c r="AP522" s="22"/>
    </row>
    <row r="523" ht="25.5" customHeight="1">
      <c r="A523" s="33">
        <f t="shared" si="3"/>
        <v>522</v>
      </c>
      <c r="B523" s="198" t="s">
        <v>61</v>
      </c>
      <c r="C523" s="27" t="s">
        <v>63</v>
      </c>
      <c r="D523" s="27" t="s">
        <v>64</v>
      </c>
      <c r="E523" s="33"/>
      <c r="F523" s="30" t="s">
        <v>35</v>
      </c>
      <c r="G523" s="30" t="s">
        <v>36</v>
      </c>
      <c r="H523" s="27" t="s">
        <v>369</v>
      </c>
      <c r="I523" s="27" t="s">
        <v>639</v>
      </c>
      <c r="J523" s="27" t="s">
        <v>1809</v>
      </c>
      <c r="K523" s="27" t="s">
        <v>1810</v>
      </c>
      <c r="L523" s="27" t="str">
        <f t="shared" si="62"/>
        <v>Calle 5b2 #37a - 50, Tequendama, Cali</v>
      </c>
      <c r="M523" s="27" t="s">
        <v>231</v>
      </c>
      <c r="N523" s="27" t="s">
        <v>233</v>
      </c>
      <c r="O523" s="33"/>
      <c r="P523" s="33"/>
      <c r="Q523" s="27" t="s">
        <v>81</v>
      </c>
      <c r="R523" s="30"/>
      <c r="S523" s="30"/>
      <c r="T523" s="30">
        <v>1.0</v>
      </c>
      <c r="U523" s="33"/>
      <c r="V523" s="33"/>
      <c r="W523" s="33"/>
      <c r="X523" s="33">
        <v>1.0</v>
      </c>
      <c r="Y523" s="33"/>
      <c r="Z523" s="33"/>
      <c r="AA523" s="33"/>
      <c r="AB523" s="33"/>
      <c r="AD523" s="22"/>
      <c r="AE523" s="22"/>
      <c r="AF523" s="22"/>
      <c r="AG523" s="22"/>
      <c r="AH523" s="22"/>
      <c r="AI523" s="22"/>
      <c r="AJ523" s="22"/>
      <c r="AK523" s="22"/>
      <c r="AL523" s="22"/>
      <c r="AM523" s="22"/>
      <c r="AN523" s="22"/>
      <c r="AO523" s="22"/>
      <c r="AP523" s="22"/>
    </row>
    <row r="524" ht="25.5" customHeight="1">
      <c r="A524" s="198">
        <f t="shared" si="3"/>
        <v>523</v>
      </c>
      <c r="B524" s="198" t="s">
        <v>61</v>
      </c>
      <c r="C524" s="27" t="s">
        <v>63</v>
      </c>
      <c r="D524" s="27" t="s">
        <v>64</v>
      </c>
      <c r="E524" s="33"/>
      <c r="F524" s="35" t="s">
        <v>60</v>
      </c>
      <c r="G524" s="30" t="s">
        <v>36</v>
      </c>
      <c r="H524" s="27" t="s">
        <v>507</v>
      </c>
      <c r="I524" s="27" t="s">
        <v>38</v>
      </c>
      <c r="J524" s="27" t="s">
        <v>1811</v>
      </c>
      <c r="K524" s="27" t="s">
        <v>1812</v>
      </c>
      <c r="L524" s="27" t="str">
        <f t="shared" si="62"/>
        <v>Carrera 85 D # 55-100, Vegas de confandi, Cali</v>
      </c>
      <c r="M524" s="27" t="s">
        <v>231</v>
      </c>
      <c r="N524" s="27" t="s">
        <v>233</v>
      </c>
      <c r="O524" s="33"/>
      <c r="P524" s="33"/>
      <c r="Q524" s="27" t="s">
        <v>81</v>
      </c>
      <c r="R524" s="30"/>
      <c r="S524" s="30"/>
      <c r="T524" s="30">
        <v>1.0</v>
      </c>
      <c r="U524" s="33"/>
      <c r="V524" s="33"/>
      <c r="W524" s="33"/>
      <c r="X524" s="33"/>
      <c r="Y524" s="33"/>
      <c r="Z524" s="27" t="s">
        <v>1813</v>
      </c>
      <c r="AA524" s="27"/>
      <c r="AB524" s="27"/>
      <c r="AD524" s="22"/>
      <c r="AE524" s="22"/>
      <c r="AF524" s="22"/>
      <c r="AG524" s="22"/>
      <c r="AH524" s="22"/>
      <c r="AI524" s="22"/>
      <c r="AJ524" s="22"/>
      <c r="AK524" s="22"/>
      <c r="AL524" s="22"/>
      <c r="AM524" s="22"/>
      <c r="AN524" s="22"/>
      <c r="AO524" s="22"/>
      <c r="AP524" s="22"/>
    </row>
    <row r="525" ht="25.5" customHeight="1">
      <c r="A525" s="198">
        <f t="shared" si="3"/>
        <v>524</v>
      </c>
      <c r="B525" s="198" t="s">
        <v>61</v>
      </c>
      <c r="C525" s="27" t="s">
        <v>63</v>
      </c>
      <c r="D525" s="27" t="s">
        <v>64</v>
      </c>
      <c r="E525" s="33"/>
      <c r="F525" s="30" t="s">
        <v>95</v>
      </c>
      <c r="G525" s="30" t="s">
        <v>426</v>
      </c>
      <c r="H525" s="27" t="s">
        <v>1814</v>
      </c>
      <c r="I525" s="27" t="s">
        <v>38</v>
      </c>
      <c r="J525" s="27" t="s">
        <v>1815</v>
      </c>
      <c r="K525" s="27"/>
      <c r="L525" s="27" t="str">
        <f t="shared" si="62"/>
        <v>Calle 83c #22-08, Valle Grande, Cali</v>
      </c>
      <c r="M525" s="154" t="s">
        <v>1816</v>
      </c>
      <c r="N525" s="154" t="s">
        <v>233</v>
      </c>
      <c r="O525" s="33"/>
      <c r="P525" s="33"/>
      <c r="Q525" s="27" t="s">
        <v>81</v>
      </c>
      <c r="R525" s="30"/>
      <c r="S525" s="30"/>
      <c r="T525" s="30">
        <v>1.0</v>
      </c>
      <c r="U525" s="33"/>
      <c r="V525" s="33"/>
      <c r="W525" s="33"/>
      <c r="X525" s="33"/>
      <c r="Y525" s="33"/>
      <c r="Z525" s="33"/>
      <c r="AA525" s="33"/>
      <c r="AB525" s="33"/>
      <c r="AD525" s="22"/>
      <c r="AE525" s="22"/>
      <c r="AF525" s="22"/>
      <c r="AG525" s="22"/>
      <c r="AH525" s="22"/>
      <c r="AI525" s="22"/>
      <c r="AJ525" s="22"/>
      <c r="AK525" s="22"/>
      <c r="AL525" s="22"/>
      <c r="AM525" s="22"/>
      <c r="AN525" s="22"/>
      <c r="AO525" s="22"/>
      <c r="AP525" s="22"/>
    </row>
    <row r="526" ht="25.5" customHeight="1">
      <c r="A526" s="198">
        <f t="shared" si="3"/>
        <v>525</v>
      </c>
      <c r="B526" s="198" t="s">
        <v>61</v>
      </c>
      <c r="C526" s="27" t="s">
        <v>63</v>
      </c>
      <c r="D526" s="27" t="s">
        <v>64</v>
      </c>
      <c r="E526" s="33"/>
      <c r="F526" s="30" t="s">
        <v>70</v>
      </c>
      <c r="G526" s="30" t="s">
        <v>36</v>
      </c>
      <c r="H526" s="27" t="s">
        <v>211</v>
      </c>
      <c r="I526" s="27" t="s">
        <v>38</v>
      </c>
      <c r="J526" s="27" t="s">
        <v>1817</v>
      </c>
      <c r="K526" s="27"/>
      <c r="L526" s="27" t="str">
        <f t="shared" si="62"/>
        <v>Diagonal 23 # 10b - 54, Colseguros, Cali</v>
      </c>
      <c r="M526" s="27" t="s">
        <v>231</v>
      </c>
      <c r="N526" s="27" t="s">
        <v>233</v>
      </c>
      <c r="O526" s="33"/>
      <c r="P526" s="33"/>
      <c r="Q526" s="27" t="s">
        <v>81</v>
      </c>
      <c r="R526" s="30"/>
      <c r="S526" s="30"/>
      <c r="T526" s="30">
        <v>1.0</v>
      </c>
      <c r="U526" s="33"/>
      <c r="V526" s="33"/>
      <c r="W526" s="33"/>
      <c r="X526" s="33"/>
      <c r="Y526" s="33"/>
      <c r="Z526" s="33"/>
      <c r="AA526" s="33"/>
      <c r="AB526" s="33"/>
      <c r="AD526" s="22"/>
      <c r="AE526" s="22"/>
      <c r="AF526" s="22"/>
      <c r="AG526" s="22"/>
      <c r="AH526" s="22"/>
      <c r="AI526" s="22"/>
      <c r="AJ526" s="22"/>
      <c r="AK526" s="22"/>
      <c r="AL526" s="22"/>
      <c r="AM526" s="22"/>
      <c r="AN526" s="22"/>
      <c r="AO526" s="22"/>
      <c r="AP526" s="22"/>
    </row>
    <row r="527" ht="25.5" customHeight="1">
      <c r="A527" s="198">
        <f t="shared" si="3"/>
        <v>526</v>
      </c>
      <c r="B527" s="198" t="s">
        <v>61</v>
      </c>
      <c r="C527" s="27" t="s">
        <v>63</v>
      </c>
      <c r="D527" s="27" t="s">
        <v>64</v>
      </c>
      <c r="E527" s="33"/>
      <c r="F527" s="30" t="s">
        <v>35</v>
      </c>
      <c r="G527" s="30" t="s">
        <v>36</v>
      </c>
      <c r="H527" s="27" t="s">
        <v>1818</v>
      </c>
      <c r="I527" s="27" t="s">
        <v>38</v>
      </c>
      <c r="J527" s="27" t="s">
        <v>1819</v>
      </c>
      <c r="K527" s="27"/>
      <c r="L527" s="27" t="str">
        <f t="shared" si="62"/>
        <v>Calle 9 #40-24, los cambulos, Cali</v>
      </c>
      <c r="M527" s="27" t="s">
        <v>231</v>
      </c>
      <c r="N527" s="27" t="s">
        <v>233</v>
      </c>
      <c r="O527" s="33"/>
      <c r="P527" s="33"/>
      <c r="Q527" s="27" t="s">
        <v>81</v>
      </c>
      <c r="R527" s="30"/>
      <c r="S527" s="30"/>
      <c r="T527" s="30">
        <v>1.0</v>
      </c>
      <c r="U527" s="33"/>
      <c r="V527" s="33"/>
      <c r="W527" s="33"/>
      <c r="X527" s="33"/>
      <c r="Y527" s="33"/>
      <c r="Z527" s="27" t="s">
        <v>1820</v>
      </c>
      <c r="AA527" s="27"/>
      <c r="AB527" s="27"/>
      <c r="AD527" s="22"/>
      <c r="AE527" s="22"/>
      <c r="AF527" s="22"/>
      <c r="AG527" s="22"/>
      <c r="AH527" s="22"/>
      <c r="AI527" s="22"/>
      <c r="AJ527" s="22"/>
      <c r="AK527" s="22"/>
      <c r="AL527" s="22"/>
      <c r="AM527" s="22"/>
      <c r="AN527" s="22"/>
      <c r="AO527" s="22"/>
      <c r="AP527" s="22"/>
    </row>
    <row r="528" ht="25.5" customHeight="1">
      <c r="A528" s="198">
        <f t="shared" si="3"/>
        <v>527</v>
      </c>
      <c r="B528" s="198" t="s">
        <v>61</v>
      </c>
      <c r="C528" s="27" t="s">
        <v>63</v>
      </c>
      <c r="D528" s="27" t="s">
        <v>64</v>
      </c>
      <c r="E528" s="33"/>
      <c r="F528" s="30" t="s">
        <v>35</v>
      </c>
      <c r="G528" s="30" t="s">
        <v>36</v>
      </c>
      <c r="H528" s="27" t="s">
        <v>369</v>
      </c>
      <c r="I528" s="27" t="s">
        <v>546</v>
      </c>
      <c r="J528" s="27" t="s">
        <v>1821</v>
      </c>
      <c r="K528" s="27" t="s">
        <v>1822</v>
      </c>
      <c r="L528" s="27" t="str">
        <f t="shared" si="62"/>
        <v>Calle 5b2 # 37 A-75, Tequendama, Cali</v>
      </c>
      <c r="M528" s="27" t="s">
        <v>231</v>
      </c>
      <c r="N528" s="27" t="s">
        <v>233</v>
      </c>
      <c r="O528" s="33"/>
      <c r="P528" s="33"/>
      <c r="Q528" s="27" t="s">
        <v>81</v>
      </c>
      <c r="R528" s="30"/>
      <c r="S528" s="30"/>
      <c r="T528" s="30">
        <v>1.0</v>
      </c>
      <c r="U528" s="33"/>
      <c r="V528" s="33"/>
      <c r="W528" s="33"/>
      <c r="X528" s="33"/>
      <c r="Y528" s="33"/>
      <c r="Z528" s="33"/>
      <c r="AA528" s="33"/>
      <c r="AB528" s="33"/>
      <c r="AD528" s="22"/>
      <c r="AE528" s="22"/>
      <c r="AF528" s="22"/>
      <c r="AG528" s="22"/>
      <c r="AH528" s="22"/>
      <c r="AI528" s="22"/>
      <c r="AJ528" s="22"/>
      <c r="AK528" s="22"/>
      <c r="AL528" s="22"/>
      <c r="AM528" s="22"/>
      <c r="AN528" s="22"/>
      <c r="AO528" s="22"/>
      <c r="AP528" s="22"/>
    </row>
    <row r="529" ht="25.5" customHeight="1">
      <c r="A529" s="198">
        <f t="shared" si="3"/>
        <v>528</v>
      </c>
      <c r="B529" s="198" t="s">
        <v>61</v>
      </c>
      <c r="C529" s="27" t="s">
        <v>63</v>
      </c>
      <c r="D529" s="27" t="s">
        <v>64</v>
      </c>
      <c r="E529" s="33"/>
      <c r="F529" s="30" t="s">
        <v>140</v>
      </c>
      <c r="G529" s="30" t="s">
        <v>36</v>
      </c>
      <c r="H529" s="27" t="s">
        <v>138</v>
      </c>
      <c r="I529" s="27" t="s">
        <v>38</v>
      </c>
      <c r="J529" s="27" t="s">
        <v>1823</v>
      </c>
      <c r="K529" s="27" t="s">
        <v>1824</v>
      </c>
      <c r="L529" s="27" t="str">
        <f t="shared" si="62"/>
        <v>Carrera108 # 44-75, Bochalema, Cali</v>
      </c>
      <c r="M529" s="142" t="s">
        <v>1825</v>
      </c>
      <c r="N529" s="142" t="s">
        <v>233</v>
      </c>
      <c r="O529" s="33"/>
      <c r="P529" s="33"/>
      <c r="Q529" s="27" t="s">
        <v>81</v>
      </c>
      <c r="R529" s="30"/>
      <c r="S529" s="30"/>
      <c r="T529" s="30">
        <v>1.0</v>
      </c>
      <c r="U529" s="33"/>
      <c r="V529" s="33"/>
      <c r="W529" s="33"/>
      <c r="X529" s="33"/>
      <c r="Y529" s="33"/>
      <c r="Z529" s="33"/>
      <c r="AA529" s="33"/>
      <c r="AB529" s="33"/>
      <c r="AD529" s="22"/>
      <c r="AE529" s="22"/>
      <c r="AF529" s="22"/>
      <c r="AG529" s="22"/>
      <c r="AH529" s="22"/>
      <c r="AI529" s="22"/>
      <c r="AJ529" s="22"/>
      <c r="AK529" s="22"/>
      <c r="AL529" s="22"/>
      <c r="AM529" s="22"/>
      <c r="AN529" s="22"/>
      <c r="AO529" s="22"/>
      <c r="AP529" s="22"/>
    </row>
    <row r="530" ht="25.5" customHeight="1">
      <c r="A530" s="198">
        <f t="shared" si="3"/>
        <v>529</v>
      </c>
      <c r="B530" s="198" t="s">
        <v>61</v>
      </c>
      <c r="C530" s="27" t="s">
        <v>63</v>
      </c>
      <c r="D530" s="27" t="s">
        <v>64</v>
      </c>
      <c r="E530" s="33"/>
      <c r="F530" s="30" t="s">
        <v>76</v>
      </c>
      <c r="G530" s="30" t="s">
        <v>350</v>
      </c>
      <c r="H530" s="27" t="s">
        <v>321</v>
      </c>
      <c r="I530" s="27" t="s">
        <v>286</v>
      </c>
      <c r="J530" s="27" t="s">
        <v>1826</v>
      </c>
      <c r="K530" s="27"/>
      <c r="L530" s="27" t="str">
        <f t="shared" si="62"/>
        <v>Calle 63 norte # 3e - 70, La Flora, Cali</v>
      </c>
      <c r="M530" s="27" t="s">
        <v>231</v>
      </c>
      <c r="N530" s="27" t="s">
        <v>233</v>
      </c>
      <c r="O530" s="33"/>
      <c r="P530" s="33"/>
      <c r="Q530" s="27" t="s">
        <v>81</v>
      </c>
      <c r="R530" s="30"/>
      <c r="S530" s="30"/>
      <c r="T530" s="30">
        <v>1.0</v>
      </c>
      <c r="U530" s="33"/>
      <c r="V530" s="33"/>
      <c r="W530" s="33"/>
      <c r="X530" s="33"/>
      <c r="Y530" s="33"/>
      <c r="Z530" s="33"/>
      <c r="AA530" s="33"/>
      <c r="AB530" s="33"/>
      <c r="AD530" s="22"/>
      <c r="AE530" s="22"/>
      <c r="AF530" s="22"/>
      <c r="AG530" s="22"/>
      <c r="AH530" s="22"/>
      <c r="AI530" s="22"/>
      <c r="AJ530" s="22"/>
      <c r="AK530" s="22"/>
      <c r="AL530" s="22"/>
      <c r="AM530" s="22"/>
      <c r="AN530" s="22"/>
      <c r="AO530" s="22"/>
      <c r="AP530" s="22"/>
    </row>
    <row r="531" ht="25.5" customHeight="1">
      <c r="A531" s="198">
        <f t="shared" si="3"/>
        <v>530</v>
      </c>
      <c r="B531" s="198" t="s">
        <v>61</v>
      </c>
      <c r="C531" s="27" t="s">
        <v>63</v>
      </c>
      <c r="D531" s="27" t="s">
        <v>64</v>
      </c>
      <c r="E531" s="33"/>
      <c r="F531" s="30" t="s">
        <v>128</v>
      </c>
      <c r="G531" s="30" t="s">
        <v>176</v>
      </c>
      <c r="H531" s="27" t="s">
        <v>144</v>
      </c>
      <c r="I531" s="27" t="s">
        <v>286</v>
      </c>
      <c r="J531" s="27" t="s">
        <v>1827</v>
      </c>
      <c r="K531" s="27"/>
      <c r="L531" s="27" t="str">
        <f t="shared" si="62"/>
        <v>Carrea 16 # 8A 18, Bretaña, Cali</v>
      </c>
      <c r="M531" s="27" t="s">
        <v>231</v>
      </c>
      <c r="N531" s="27" t="s">
        <v>233</v>
      </c>
      <c r="O531" s="33"/>
      <c r="P531" s="33"/>
      <c r="Q531" s="27" t="s">
        <v>81</v>
      </c>
      <c r="R531" s="30"/>
      <c r="S531" s="30"/>
      <c r="T531" s="30">
        <v>1.0</v>
      </c>
      <c r="U531" s="33"/>
      <c r="V531" s="33"/>
      <c r="W531" s="33"/>
      <c r="X531" s="33"/>
      <c r="Y531" s="33"/>
      <c r="Z531" s="27" t="s">
        <v>1828</v>
      </c>
      <c r="AA531" s="27"/>
      <c r="AB531" s="27"/>
      <c r="AD531" s="22"/>
      <c r="AE531" s="22"/>
      <c r="AF531" s="22"/>
      <c r="AG531" s="22"/>
      <c r="AH531" s="22"/>
      <c r="AI531" s="22"/>
      <c r="AJ531" s="22"/>
      <c r="AK531" s="22"/>
      <c r="AL531" s="22"/>
      <c r="AM531" s="22"/>
      <c r="AN531" s="22"/>
      <c r="AO531" s="22"/>
      <c r="AP531" s="22"/>
    </row>
    <row r="532" ht="25.5" customHeight="1">
      <c r="A532" s="198">
        <f t="shared" si="3"/>
        <v>531</v>
      </c>
      <c r="B532" s="198" t="s">
        <v>61</v>
      </c>
      <c r="C532" s="27" t="s">
        <v>63</v>
      </c>
      <c r="D532" s="27" t="s">
        <v>64</v>
      </c>
      <c r="E532" s="33"/>
      <c r="F532" s="30" t="s">
        <v>70</v>
      </c>
      <c r="G532" s="30" t="s">
        <v>36</v>
      </c>
      <c r="H532" s="27" t="s">
        <v>211</v>
      </c>
      <c r="I532" s="33" t="s">
        <v>38</v>
      </c>
      <c r="J532" s="27" t="s">
        <v>1829</v>
      </c>
      <c r="K532" s="27"/>
      <c r="L532" s="27" t="str">
        <f t="shared" si="62"/>
        <v>Carrera 34 # 13-51, Colseguros, Cali</v>
      </c>
      <c r="M532" s="27" t="s">
        <v>231</v>
      </c>
      <c r="N532" s="27" t="s">
        <v>233</v>
      </c>
      <c r="O532" s="33"/>
      <c r="P532" s="33"/>
      <c r="Q532" s="27" t="s">
        <v>81</v>
      </c>
      <c r="R532" s="30"/>
      <c r="S532" s="30"/>
      <c r="T532" s="30">
        <v>1.0</v>
      </c>
      <c r="U532" s="33"/>
      <c r="V532" s="33"/>
      <c r="W532" s="33"/>
      <c r="X532" s="33"/>
      <c r="Y532" s="33"/>
      <c r="Z532" s="262"/>
      <c r="AA532" s="262"/>
      <c r="AB532" s="262"/>
      <c r="AD532" s="22"/>
      <c r="AE532" s="22"/>
      <c r="AF532" s="22"/>
      <c r="AG532" s="22"/>
      <c r="AH532" s="22"/>
      <c r="AI532" s="22"/>
      <c r="AJ532" s="22"/>
      <c r="AK532" s="22"/>
      <c r="AL532" s="22"/>
      <c r="AM532" s="22"/>
      <c r="AN532" s="22"/>
      <c r="AO532" s="22"/>
      <c r="AP532" s="22"/>
    </row>
    <row r="533" ht="25.5" customHeight="1">
      <c r="A533" s="198">
        <f t="shared" si="3"/>
        <v>532</v>
      </c>
      <c r="B533" s="198" t="s">
        <v>61</v>
      </c>
      <c r="C533" s="27" t="s">
        <v>63</v>
      </c>
      <c r="D533" s="27" t="s">
        <v>64</v>
      </c>
      <c r="E533" s="33"/>
      <c r="F533" s="30" t="s">
        <v>35</v>
      </c>
      <c r="G533" s="30" t="s">
        <v>36</v>
      </c>
      <c r="H533" s="27" t="s">
        <v>255</v>
      </c>
      <c r="I533" s="27" t="s">
        <v>546</v>
      </c>
      <c r="J533" s="27" t="s">
        <v>1830</v>
      </c>
      <c r="K533" s="27"/>
      <c r="L533" s="27" t="str">
        <f t="shared" si="62"/>
        <v>Calle 2b 66A 46, El Refugio, Cali</v>
      </c>
      <c r="M533" s="27" t="s">
        <v>231</v>
      </c>
      <c r="N533" s="27" t="s">
        <v>233</v>
      </c>
      <c r="O533" s="33"/>
      <c r="P533" s="33"/>
      <c r="Q533" s="27" t="s">
        <v>81</v>
      </c>
      <c r="R533" s="30"/>
      <c r="S533" s="30"/>
      <c r="T533" s="30">
        <v>1.0</v>
      </c>
      <c r="U533" s="33"/>
      <c r="V533" s="33"/>
      <c r="W533" s="33"/>
      <c r="X533" s="33"/>
      <c r="Y533" s="33"/>
      <c r="Z533" s="33"/>
      <c r="AA533" s="33"/>
      <c r="AB533" s="33"/>
      <c r="AD533" s="22"/>
      <c r="AE533" s="22"/>
      <c r="AF533" s="22"/>
      <c r="AG533" s="22"/>
      <c r="AH533" s="22"/>
      <c r="AI533" s="22"/>
      <c r="AJ533" s="22"/>
      <c r="AK533" s="22"/>
      <c r="AL533" s="22"/>
      <c r="AM533" s="22"/>
      <c r="AN533" s="22"/>
      <c r="AO533" s="22"/>
      <c r="AP533" s="22"/>
    </row>
    <row r="534" ht="25.5" customHeight="1">
      <c r="A534" s="198">
        <f t="shared" si="3"/>
        <v>533</v>
      </c>
      <c r="B534" s="198" t="s">
        <v>61</v>
      </c>
      <c r="C534" s="27" t="s">
        <v>63</v>
      </c>
      <c r="D534" s="27" t="s">
        <v>64</v>
      </c>
      <c r="E534" s="263"/>
      <c r="F534" s="30" t="s">
        <v>282</v>
      </c>
      <c r="G534" s="30" t="s">
        <v>443</v>
      </c>
      <c r="H534" s="27" t="s">
        <v>443</v>
      </c>
      <c r="I534" s="263" t="s">
        <v>286</v>
      </c>
      <c r="J534" s="121" t="s">
        <v>1831</v>
      </c>
      <c r="K534" s="121"/>
      <c r="L534" s="121" t="str">
        <f t="shared" si="62"/>
        <v>Corregimiento de Golondrinas sector la María, casa Ariel Montero, Rural, Cali</v>
      </c>
      <c r="M534" s="154" t="s">
        <v>1832</v>
      </c>
      <c r="N534" s="154" t="s">
        <v>233</v>
      </c>
      <c r="O534" s="263"/>
      <c r="P534" s="263"/>
      <c r="Q534" s="27" t="s">
        <v>81</v>
      </c>
      <c r="R534" s="30"/>
      <c r="S534" s="30"/>
      <c r="T534" s="30">
        <v>1.0</v>
      </c>
      <c r="U534" s="259"/>
      <c r="V534" s="259"/>
      <c r="W534" s="259"/>
      <c r="X534" s="259"/>
      <c r="Y534" s="259"/>
      <c r="Z534" s="121" t="s">
        <v>1833</v>
      </c>
      <c r="AA534" s="121"/>
      <c r="AB534" s="121"/>
      <c r="AD534" s="272"/>
      <c r="AE534" s="272"/>
      <c r="AF534" s="272"/>
      <c r="AG534" s="272"/>
      <c r="AH534" s="272"/>
      <c r="AI534" s="272"/>
      <c r="AJ534" s="272"/>
      <c r="AK534" s="272"/>
      <c r="AL534" s="272"/>
      <c r="AM534" s="272"/>
      <c r="AN534" s="272"/>
      <c r="AO534" s="272"/>
      <c r="AP534" s="272"/>
    </row>
    <row r="535" ht="25.5" customHeight="1">
      <c r="A535" s="198">
        <f t="shared" si="3"/>
        <v>534</v>
      </c>
      <c r="B535" s="198" t="s">
        <v>61</v>
      </c>
      <c r="C535" s="27" t="s">
        <v>63</v>
      </c>
      <c r="D535" s="27" t="s">
        <v>64</v>
      </c>
      <c r="E535" s="33"/>
      <c r="F535" s="30" t="s">
        <v>73</v>
      </c>
      <c r="G535" s="30" t="s">
        <v>176</v>
      </c>
      <c r="H535" s="27" t="s">
        <v>312</v>
      </c>
      <c r="I535" s="27" t="s">
        <v>1834</v>
      </c>
      <c r="J535" s="27" t="s">
        <v>1835</v>
      </c>
      <c r="K535" s="27"/>
      <c r="L535" s="27" t="str">
        <f t="shared" si="62"/>
        <v>carrera 23 # 8 - 07, la alameda, Cali</v>
      </c>
      <c r="M535" s="154" t="s">
        <v>1836</v>
      </c>
      <c r="N535" s="154" t="s">
        <v>233</v>
      </c>
      <c r="O535" s="281"/>
      <c r="P535" s="281"/>
      <c r="Q535" s="27" t="s">
        <v>81</v>
      </c>
      <c r="R535" s="30"/>
      <c r="S535" s="30"/>
      <c r="T535" s="30">
        <v>1.0</v>
      </c>
      <c r="U535" s="282"/>
      <c r="V535" s="282"/>
      <c r="W535" s="282"/>
      <c r="X535" s="282"/>
      <c r="Y535" s="282"/>
      <c r="Z535" s="282"/>
      <c r="AA535" s="282"/>
      <c r="AB535" s="282"/>
      <c r="AD535" s="283"/>
      <c r="AE535" s="283"/>
      <c r="AF535" s="283"/>
      <c r="AG535" s="283"/>
      <c r="AH535" s="283"/>
      <c r="AI535" s="283"/>
      <c r="AJ535" s="283"/>
      <c r="AK535" s="283"/>
      <c r="AL535" s="283"/>
      <c r="AM535" s="283"/>
      <c r="AN535" s="283"/>
      <c r="AO535" s="283"/>
      <c r="AP535" s="283"/>
    </row>
    <row r="536" ht="25.5" customHeight="1">
      <c r="A536" s="198">
        <f t="shared" si="3"/>
        <v>535</v>
      </c>
      <c r="B536" s="198" t="s">
        <v>61</v>
      </c>
      <c r="C536" s="27" t="s">
        <v>63</v>
      </c>
      <c r="D536" s="27" t="s">
        <v>64</v>
      </c>
      <c r="E536" s="33"/>
      <c r="F536" s="30" t="s">
        <v>85</v>
      </c>
      <c r="G536" s="30" t="s">
        <v>1837</v>
      </c>
      <c r="H536" s="27" t="s">
        <v>84</v>
      </c>
      <c r="I536" s="27" t="s">
        <v>1834</v>
      </c>
      <c r="J536" s="27" t="s">
        <v>1838</v>
      </c>
      <c r="K536" s="27" t="s">
        <v>1839</v>
      </c>
      <c r="L536" s="27" t="str">
        <f t="shared" si="62"/>
        <v>Carrera 7B #82-18, Alfonso López, Cali</v>
      </c>
      <c r="M536" s="142" t="s">
        <v>1840</v>
      </c>
      <c r="N536" s="142" t="s">
        <v>233</v>
      </c>
      <c r="O536" s="33"/>
      <c r="P536" s="33"/>
      <c r="Q536" s="27" t="s">
        <v>81</v>
      </c>
      <c r="R536" s="30"/>
      <c r="S536" s="30"/>
      <c r="T536" s="30">
        <v>1.0</v>
      </c>
      <c r="U536" s="33"/>
      <c r="V536" s="33"/>
      <c r="W536" s="33"/>
      <c r="X536" s="33"/>
      <c r="Y536" s="33"/>
      <c r="Z536" s="33"/>
      <c r="AA536" s="33"/>
      <c r="AB536" s="33"/>
      <c r="AD536" s="22"/>
      <c r="AE536" s="22"/>
      <c r="AF536" s="22"/>
      <c r="AG536" s="22"/>
      <c r="AH536" s="22"/>
      <c r="AI536" s="22"/>
      <c r="AJ536" s="22"/>
      <c r="AK536" s="22"/>
      <c r="AL536" s="22"/>
      <c r="AM536" s="22"/>
      <c r="AN536" s="22"/>
      <c r="AO536" s="22"/>
      <c r="AP536" s="22"/>
    </row>
    <row r="537" ht="25.5" customHeight="1">
      <c r="A537" s="198">
        <f t="shared" si="3"/>
        <v>536</v>
      </c>
      <c r="B537" s="198" t="s">
        <v>61</v>
      </c>
      <c r="C537" s="27" t="s">
        <v>63</v>
      </c>
      <c r="D537" s="27" t="s">
        <v>64</v>
      </c>
      <c r="E537" s="33"/>
      <c r="F537" s="30" t="s">
        <v>35</v>
      </c>
      <c r="G537" s="30" t="s">
        <v>36</v>
      </c>
      <c r="H537" s="27" t="s">
        <v>157</v>
      </c>
      <c r="I537" s="27" t="s">
        <v>38</v>
      </c>
      <c r="J537" s="27" t="s">
        <v>1841</v>
      </c>
      <c r="K537" s="27" t="s">
        <v>1842</v>
      </c>
      <c r="L537" s="27" t="str">
        <f t="shared" si="62"/>
        <v>Calle 9 # 42-78, Cámbulos, Cali</v>
      </c>
      <c r="M537" s="142" t="s">
        <v>1843</v>
      </c>
      <c r="N537" s="142" t="s">
        <v>233</v>
      </c>
      <c r="O537" s="33"/>
      <c r="P537" s="33"/>
      <c r="Q537" s="27" t="s">
        <v>81</v>
      </c>
      <c r="R537" s="30"/>
      <c r="S537" s="30"/>
      <c r="T537" s="30">
        <v>1.0</v>
      </c>
      <c r="U537" s="33"/>
      <c r="V537" s="33"/>
      <c r="W537" s="33"/>
      <c r="X537" s="33"/>
      <c r="Y537" s="33"/>
      <c r="Z537" s="33"/>
      <c r="AA537" s="33"/>
      <c r="AB537" s="33"/>
      <c r="AD537" s="22"/>
      <c r="AE537" s="22"/>
      <c r="AF537" s="22"/>
      <c r="AG537" s="22"/>
      <c r="AH537" s="22"/>
      <c r="AI537" s="22"/>
      <c r="AJ537" s="22"/>
      <c r="AK537" s="22"/>
      <c r="AL537" s="22"/>
      <c r="AM537" s="22"/>
      <c r="AN537" s="22"/>
      <c r="AO537" s="22"/>
      <c r="AP537" s="22"/>
    </row>
    <row r="538" ht="25.5" customHeight="1">
      <c r="A538" s="63">
        <f t="shared" si="3"/>
        <v>537</v>
      </c>
      <c r="B538" s="63" t="s">
        <v>62</v>
      </c>
      <c r="C538" s="65" t="s">
        <v>133</v>
      </c>
      <c r="D538" s="108" t="s">
        <v>515</v>
      </c>
      <c r="E538" s="68" t="s">
        <v>62</v>
      </c>
      <c r="F538" s="70" t="s">
        <v>62</v>
      </c>
      <c r="G538" s="70" t="s">
        <v>62</v>
      </c>
      <c r="H538" s="71" t="s">
        <v>62</v>
      </c>
      <c r="I538" s="71" t="s">
        <v>62</v>
      </c>
      <c r="J538" s="68" t="s">
        <v>62</v>
      </c>
      <c r="K538" s="68" t="s">
        <v>62</v>
      </c>
      <c r="L538" s="68" t="s">
        <v>62</v>
      </c>
      <c r="M538" s="68" t="s">
        <v>62</v>
      </c>
      <c r="N538" s="68" t="s">
        <v>62</v>
      </c>
      <c r="O538" s="68" t="s">
        <v>62</v>
      </c>
      <c r="P538" s="68" t="s">
        <v>62</v>
      </c>
      <c r="Q538" s="68" t="s">
        <v>62</v>
      </c>
      <c r="R538" s="68" t="s">
        <v>62</v>
      </c>
      <c r="S538" s="68"/>
      <c r="T538" s="68" t="s">
        <v>62</v>
      </c>
      <c r="U538" s="68" t="s">
        <v>62</v>
      </c>
      <c r="V538" s="68" t="s">
        <v>62</v>
      </c>
      <c r="W538" s="68" t="s">
        <v>62</v>
      </c>
      <c r="X538" s="68" t="s">
        <v>62</v>
      </c>
      <c r="Y538" s="68" t="s">
        <v>62</v>
      </c>
      <c r="Z538" s="68" t="s">
        <v>62</v>
      </c>
      <c r="AA538" s="68" t="s">
        <v>62</v>
      </c>
      <c r="AB538" s="68" t="s">
        <v>62</v>
      </c>
      <c r="AD538" s="196"/>
      <c r="AE538" s="196"/>
      <c r="AF538" s="196"/>
      <c r="AG538" s="196"/>
      <c r="AH538" s="196"/>
      <c r="AI538" s="196"/>
      <c r="AJ538" s="196"/>
      <c r="AK538" s="196"/>
      <c r="AL538" s="196"/>
      <c r="AM538" s="196"/>
      <c r="AN538" s="196"/>
      <c r="AO538" s="196"/>
      <c r="AP538" s="196"/>
    </row>
    <row r="539" ht="25.5" customHeight="1">
      <c r="A539" s="198">
        <f t="shared" si="3"/>
        <v>538</v>
      </c>
      <c r="B539" s="198" t="s">
        <v>61</v>
      </c>
      <c r="C539" s="27" t="s">
        <v>63</v>
      </c>
      <c r="D539" s="27" t="s">
        <v>64</v>
      </c>
      <c r="E539" s="33"/>
      <c r="F539" s="30" t="s">
        <v>101</v>
      </c>
      <c r="G539" s="30" t="s">
        <v>350</v>
      </c>
      <c r="H539" s="27" t="s">
        <v>370</v>
      </c>
      <c r="I539" s="27" t="s">
        <v>38</v>
      </c>
      <c r="J539" s="27" t="s">
        <v>1844</v>
      </c>
      <c r="K539" s="27"/>
      <c r="L539" s="27" t="str">
        <f t="shared" ref="L539:L556" si="63">CONCATENATE(J539,", ",H539,", Cali")</f>
        <v>calle 70 # 7j - 04, los pinos, Cali</v>
      </c>
      <c r="M539" s="154" t="s">
        <v>1845</v>
      </c>
      <c r="N539" s="154" t="s">
        <v>233</v>
      </c>
      <c r="O539" s="33"/>
      <c r="P539" s="33"/>
      <c r="Q539" s="27" t="s">
        <v>81</v>
      </c>
      <c r="R539" s="30"/>
      <c r="S539" s="30"/>
      <c r="T539" s="30">
        <v>1.0</v>
      </c>
      <c r="U539" s="33"/>
      <c r="V539" s="33"/>
      <c r="W539" s="33"/>
      <c r="X539" s="33"/>
      <c r="Y539" s="33"/>
      <c r="Z539" s="33"/>
      <c r="AA539" s="33"/>
      <c r="AB539" s="33"/>
      <c r="AD539" s="22"/>
      <c r="AE539" s="22"/>
      <c r="AF539" s="22"/>
      <c r="AG539" s="22"/>
      <c r="AH539" s="22"/>
      <c r="AI539" s="22"/>
      <c r="AJ539" s="22"/>
      <c r="AK539" s="22"/>
      <c r="AL539" s="22"/>
      <c r="AM539" s="22"/>
      <c r="AN539" s="22"/>
      <c r="AO539" s="22"/>
      <c r="AP539" s="22"/>
    </row>
    <row r="540" ht="25.5" customHeight="1">
      <c r="A540" s="198">
        <f t="shared" si="3"/>
        <v>539</v>
      </c>
      <c r="B540" s="198" t="s">
        <v>61</v>
      </c>
      <c r="C540" s="27" t="s">
        <v>63</v>
      </c>
      <c r="D540" s="27" t="s">
        <v>64</v>
      </c>
      <c r="E540" s="33"/>
      <c r="F540" s="30" t="s">
        <v>192</v>
      </c>
      <c r="G540" s="30" t="s">
        <v>426</v>
      </c>
      <c r="H540" s="27" t="s">
        <v>272</v>
      </c>
      <c r="I540" s="27" t="s">
        <v>286</v>
      </c>
      <c r="J540" s="27" t="s">
        <v>1846</v>
      </c>
      <c r="K540" s="27" t="s">
        <v>1847</v>
      </c>
      <c r="L540" s="27" t="str">
        <f t="shared" si="63"/>
        <v>Carrera 39d# 56-101, el vallado, Cali</v>
      </c>
      <c r="M540" s="27" t="s">
        <v>231</v>
      </c>
      <c r="N540" s="27" t="s">
        <v>233</v>
      </c>
      <c r="O540" s="33"/>
      <c r="P540" s="33"/>
      <c r="Q540" s="27" t="s">
        <v>81</v>
      </c>
      <c r="R540" s="30"/>
      <c r="S540" s="30"/>
      <c r="T540" s="30">
        <v>1.0</v>
      </c>
      <c r="U540" s="33"/>
      <c r="V540" s="33"/>
      <c r="W540" s="33"/>
      <c r="X540" s="33"/>
      <c r="Y540" s="33"/>
      <c r="Z540" s="33"/>
      <c r="AA540" s="33"/>
      <c r="AB540" s="33"/>
      <c r="AD540" s="22"/>
      <c r="AE540" s="22"/>
      <c r="AF540" s="22"/>
      <c r="AG540" s="22"/>
      <c r="AH540" s="22"/>
      <c r="AI540" s="22"/>
      <c r="AJ540" s="22"/>
      <c r="AK540" s="22"/>
      <c r="AL540" s="22"/>
      <c r="AM540" s="22"/>
      <c r="AN540" s="22"/>
      <c r="AO540" s="22"/>
      <c r="AP540" s="22"/>
    </row>
    <row r="541" ht="25.5" customHeight="1">
      <c r="A541" s="198">
        <f t="shared" si="3"/>
        <v>540</v>
      </c>
      <c r="B541" s="198" t="s">
        <v>61</v>
      </c>
      <c r="C541" s="27" t="s">
        <v>63</v>
      </c>
      <c r="D541" s="27" t="s">
        <v>64</v>
      </c>
      <c r="E541" s="33"/>
      <c r="F541" s="30" t="s">
        <v>105</v>
      </c>
      <c r="G541" s="30" t="s">
        <v>426</v>
      </c>
      <c r="H541" s="27" t="s">
        <v>104</v>
      </c>
      <c r="I541" s="27" t="s">
        <v>38</v>
      </c>
      <c r="J541" s="27" t="s">
        <v>1848</v>
      </c>
      <c r="K541" s="27" t="s">
        <v>1849</v>
      </c>
      <c r="L541" s="27" t="str">
        <f t="shared" si="63"/>
        <v>Carrera 47 #4-157, Antonio Nariño, Cali</v>
      </c>
      <c r="M541" s="27" t="s">
        <v>231</v>
      </c>
      <c r="N541" s="27" t="s">
        <v>233</v>
      </c>
      <c r="O541" s="33"/>
      <c r="P541" s="33"/>
      <c r="Q541" s="27" t="s">
        <v>81</v>
      </c>
      <c r="R541" s="30"/>
      <c r="S541" s="30"/>
      <c r="T541" s="30">
        <v>1.0</v>
      </c>
      <c r="U541" s="33"/>
      <c r="V541" s="33"/>
      <c r="W541" s="33"/>
      <c r="X541" s="33"/>
      <c r="Y541" s="27" t="s">
        <v>1850</v>
      </c>
      <c r="Z541" s="27" t="s">
        <v>1851</v>
      </c>
      <c r="AA541" s="27"/>
      <c r="AB541" s="27"/>
      <c r="AD541" s="22"/>
      <c r="AE541" s="22"/>
      <c r="AF541" s="22"/>
      <c r="AG541" s="22"/>
      <c r="AH541" s="22"/>
      <c r="AI541" s="22"/>
      <c r="AJ541" s="22"/>
      <c r="AK541" s="22"/>
      <c r="AL541" s="22"/>
      <c r="AM541" s="22"/>
      <c r="AN541" s="22"/>
      <c r="AO541" s="22"/>
      <c r="AP541" s="22"/>
    </row>
    <row r="542" ht="25.5" customHeight="1">
      <c r="A542" s="198">
        <f t="shared" si="3"/>
        <v>541</v>
      </c>
      <c r="B542" s="198" t="s">
        <v>61</v>
      </c>
      <c r="C542" s="27" t="s">
        <v>63</v>
      </c>
      <c r="D542" s="27" t="s">
        <v>64</v>
      </c>
      <c r="E542" s="33"/>
      <c r="F542" s="30" t="s">
        <v>35</v>
      </c>
      <c r="G542" s="30" t="s">
        <v>36</v>
      </c>
      <c r="H542" s="27" t="s">
        <v>808</v>
      </c>
      <c r="I542" s="27" t="s">
        <v>38</v>
      </c>
      <c r="J542" s="27" t="s">
        <v>1852</v>
      </c>
      <c r="K542" s="27"/>
      <c r="L542" s="27" t="str">
        <f t="shared" si="63"/>
        <v>Carrera 48 # 4-71, El lido, Cali</v>
      </c>
      <c r="M542" s="27" t="s">
        <v>231</v>
      </c>
      <c r="N542" s="27" t="s">
        <v>233</v>
      </c>
      <c r="O542" s="33"/>
      <c r="P542" s="33"/>
      <c r="Q542" s="27" t="s">
        <v>81</v>
      </c>
      <c r="R542" s="30"/>
      <c r="S542" s="30"/>
      <c r="T542" s="30">
        <v>1.0</v>
      </c>
      <c r="U542" s="33"/>
      <c r="V542" s="33"/>
      <c r="W542" s="33"/>
      <c r="X542" s="33"/>
      <c r="Y542" s="33"/>
      <c r="Z542" s="27" t="s">
        <v>1851</v>
      </c>
      <c r="AA542" s="27"/>
      <c r="AB542" s="27"/>
      <c r="AD542" s="22"/>
      <c r="AE542" s="22"/>
      <c r="AF542" s="22"/>
      <c r="AG542" s="22"/>
      <c r="AH542" s="22"/>
      <c r="AI542" s="22"/>
      <c r="AJ542" s="22"/>
      <c r="AK542" s="22"/>
      <c r="AL542" s="22"/>
      <c r="AM542" s="22"/>
      <c r="AN542" s="22"/>
      <c r="AO542" s="22"/>
      <c r="AP542" s="22"/>
    </row>
    <row r="543" ht="25.5" customHeight="1">
      <c r="A543" s="198">
        <f t="shared" si="3"/>
        <v>542</v>
      </c>
      <c r="B543" s="198" t="s">
        <v>61</v>
      </c>
      <c r="C543" s="27" t="s">
        <v>63</v>
      </c>
      <c r="D543" s="27" t="s">
        <v>64</v>
      </c>
      <c r="E543" s="33"/>
      <c r="F543" s="30" t="s">
        <v>76</v>
      </c>
      <c r="G543" s="30" t="s">
        <v>350</v>
      </c>
      <c r="H543" s="27" t="s">
        <v>479</v>
      </c>
      <c r="I543" s="27" t="s">
        <v>38</v>
      </c>
      <c r="J543" s="146" t="s">
        <v>1853</v>
      </c>
      <c r="K543" s="27" t="s">
        <v>1854</v>
      </c>
      <c r="L543" s="27" t="str">
        <f t="shared" si="63"/>
        <v>Av 6AN # 23N-90, Santa Monica R, Cali</v>
      </c>
      <c r="M543" s="142" t="s">
        <v>1855</v>
      </c>
      <c r="N543" s="142" t="s">
        <v>233</v>
      </c>
      <c r="O543" s="33"/>
      <c r="P543" s="33"/>
      <c r="Q543" s="27" t="s">
        <v>81</v>
      </c>
      <c r="R543" s="30"/>
      <c r="S543" s="30"/>
      <c r="T543" s="30">
        <v>1.0</v>
      </c>
      <c r="U543" s="33"/>
      <c r="V543" s="33"/>
      <c r="W543" s="33"/>
      <c r="X543" s="33"/>
      <c r="Y543" s="27" t="s">
        <v>1856</v>
      </c>
      <c r="Z543" s="33"/>
      <c r="AA543" s="33"/>
      <c r="AB543" s="33"/>
      <c r="AD543" s="22"/>
      <c r="AE543" s="22"/>
      <c r="AF543" s="22"/>
      <c r="AG543" s="22"/>
      <c r="AH543" s="22"/>
      <c r="AI543" s="22"/>
      <c r="AJ543" s="22"/>
      <c r="AK543" s="22"/>
      <c r="AL543" s="22"/>
      <c r="AM543" s="22"/>
      <c r="AN543" s="22"/>
      <c r="AO543" s="22"/>
      <c r="AP543" s="22"/>
    </row>
    <row r="544" ht="25.5" customHeight="1">
      <c r="A544" s="198">
        <f t="shared" si="3"/>
        <v>543</v>
      </c>
      <c r="B544" s="198" t="s">
        <v>61</v>
      </c>
      <c r="C544" s="27" t="s">
        <v>63</v>
      </c>
      <c r="D544" s="27" t="s">
        <v>64</v>
      </c>
      <c r="E544" s="33"/>
      <c r="F544" s="30" t="s">
        <v>35</v>
      </c>
      <c r="G544" s="30" t="s">
        <v>36</v>
      </c>
      <c r="H544" s="27" t="s">
        <v>455</v>
      </c>
      <c r="I544" s="27" t="s">
        <v>286</v>
      </c>
      <c r="J544" s="146" t="s">
        <v>1857</v>
      </c>
      <c r="K544" s="27"/>
      <c r="L544" s="27" t="str">
        <f t="shared" si="63"/>
        <v>Calle 5B2 # 38-91, San Fernando Nuevo, Cali</v>
      </c>
      <c r="M544" s="27" t="s">
        <v>231</v>
      </c>
      <c r="N544" s="27" t="s">
        <v>233</v>
      </c>
      <c r="O544" s="33"/>
      <c r="P544" s="33"/>
      <c r="Q544" s="27" t="s">
        <v>81</v>
      </c>
      <c r="R544" s="30"/>
      <c r="S544" s="30"/>
      <c r="T544" s="30">
        <v>1.0</v>
      </c>
      <c r="U544" s="33"/>
      <c r="V544" s="33"/>
      <c r="W544" s="33"/>
      <c r="X544" s="33"/>
      <c r="Y544" s="33"/>
      <c r="Z544" s="33"/>
      <c r="AA544" s="33"/>
      <c r="AB544" s="33"/>
      <c r="AD544" s="22"/>
      <c r="AE544" s="22"/>
      <c r="AF544" s="22"/>
      <c r="AG544" s="22"/>
      <c r="AH544" s="22"/>
      <c r="AI544" s="22"/>
      <c r="AJ544" s="22"/>
      <c r="AK544" s="22"/>
      <c r="AL544" s="22"/>
      <c r="AM544" s="22"/>
      <c r="AN544" s="22"/>
      <c r="AO544" s="22"/>
      <c r="AP544" s="22"/>
    </row>
    <row r="545" ht="25.5" customHeight="1">
      <c r="A545" s="198">
        <f t="shared" si="3"/>
        <v>544</v>
      </c>
      <c r="B545" s="198" t="s">
        <v>61</v>
      </c>
      <c r="C545" s="27" t="s">
        <v>63</v>
      </c>
      <c r="D545" s="27" t="s">
        <v>64</v>
      </c>
      <c r="E545" s="33"/>
      <c r="F545" s="30" t="s">
        <v>76</v>
      </c>
      <c r="G545" s="30" t="s">
        <v>350</v>
      </c>
      <c r="H545" s="33" t="s">
        <v>470</v>
      </c>
      <c r="I545" s="27" t="s">
        <v>38</v>
      </c>
      <c r="J545" s="27" t="s">
        <v>1858</v>
      </c>
      <c r="K545" s="27" t="s">
        <v>1859</v>
      </c>
      <c r="L545" s="27" t="str">
        <f t="shared" si="63"/>
        <v>Calle 26 Norte # 2BN 15, San Vicente, Cali</v>
      </c>
      <c r="M545" s="154" t="s">
        <v>1860</v>
      </c>
      <c r="N545" s="154" t="s">
        <v>233</v>
      </c>
      <c r="O545" s="33"/>
      <c r="P545" s="33"/>
      <c r="Q545" s="27" t="s">
        <v>81</v>
      </c>
      <c r="R545" s="30"/>
      <c r="S545" s="30"/>
      <c r="T545" s="30">
        <v>1.0</v>
      </c>
      <c r="U545" s="33"/>
      <c r="V545" s="33"/>
      <c r="W545" s="33"/>
      <c r="X545" s="33"/>
      <c r="Y545" s="33"/>
      <c r="Z545" s="33" t="s">
        <v>1861</v>
      </c>
      <c r="AA545" s="33"/>
      <c r="AB545" s="33"/>
      <c r="AD545" s="22"/>
      <c r="AE545" s="22"/>
      <c r="AF545" s="22"/>
      <c r="AG545" s="22"/>
      <c r="AH545" s="22"/>
      <c r="AI545" s="22"/>
      <c r="AJ545" s="22"/>
      <c r="AK545" s="22"/>
      <c r="AL545" s="22"/>
      <c r="AM545" s="22"/>
      <c r="AN545" s="22"/>
      <c r="AO545" s="22"/>
      <c r="AP545" s="22"/>
    </row>
    <row r="546" ht="25.5" customHeight="1">
      <c r="A546" s="198">
        <f t="shared" si="3"/>
        <v>545</v>
      </c>
      <c r="B546" s="198" t="s">
        <v>61</v>
      </c>
      <c r="C546" s="27" t="s">
        <v>63</v>
      </c>
      <c r="D546" s="27" t="s">
        <v>64</v>
      </c>
      <c r="E546" s="33"/>
      <c r="F546" s="30" t="s">
        <v>87</v>
      </c>
      <c r="G546" s="35" t="s">
        <v>36</v>
      </c>
      <c r="H546" s="27" t="s">
        <v>387</v>
      </c>
      <c r="I546" s="27" t="s">
        <v>38</v>
      </c>
      <c r="J546" s="27" t="s">
        <v>1862</v>
      </c>
      <c r="K546" s="27" t="s">
        <v>1863</v>
      </c>
      <c r="L546" s="27" t="str">
        <f t="shared" si="63"/>
        <v>Carrera 94 C # 3-46, Melendez, Cali</v>
      </c>
      <c r="M546" s="142" t="s">
        <v>1860</v>
      </c>
      <c r="N546" s="142" t="s">
        <v>233</v>
      </c>
      <c r="O546" s="33"/>
      <c r="P546" s="33"/>
      <c r="Q546" s="27" t="s">
        <v>81</v>
      </c>
      <c r="R546" s="30"/>
      <c r="S546" s="30"/>
      <c r="T546" s="30">
        <v>1.0</v>
      </c>
      <c r="U546" s="33"/>
      <c r="V546" s="33"/>
      <c r="W546" s="33"/>
      <c r="X546" s="33"/>
      <c r="Y546" s="33"/>
      <c r="Z546" s="27" t="s">
        <v>1864</v>
      </c>
      <c r="AA546" s="27"/>
      <c r="AB546" s="27"/>
      <c r="AD546" s="22"/>
      <c r="AE546" s="22"/>
      <c r="AF546" s="22"/>
      <c r="AG546" s="22"/>
      <c r="AH546" s="22"/>
      <c r="AI546" s="22"/>
      <c r="AJ546" s="22"/>
      <c r="AK546" s="22"/>
      <c r="AL546" s="22"/>
      <c r="AM546" s="22"/>
      <c r="AN546" s="22"/>
      <c r="AO546" s="22"/>
      <c r="AP546" s="22"/>
    </row>
    <row r="547" ht="25.5" customHeight="1">
      <c r="A547" s="198">
        <f t="shared" si="3"/>
        <v>546</v>
      </c>
      <c r="B547" s="198" t="s">
        <v>61</v>
      </c>
      <c r="C547" s="27" t="s">
        <v>63</v>
      </c>
      <c r="D547" s="27" t="s">
        <v>64</v>
      </c>
      <c r="E547" s="33"/>
      <c r="F547" s="35" t="s">
        <v>60</v>
      </c>
      <c r="G547" s="35" t="s">
        <v>36</v>
      </c>
      <c r="H547" s="197" t="s">
        <v>194</v>
      </c>
      <c r="I547" s="27" t="s">
        <v>38</v>
      </c>
      <c r="J547" s="146" t="s">
        <v>1865</v>
      </c>
      <c r="K547" s="27" t="s">
        <v>1866</v>
      </c>
      <c r="L547" s="27" t="str">
        <f t="shared" si="63"/>
        <v>Carrera 92 # 25-81, Ciudad Jardín, Cali</v>
      </c>
      <c r="M547" s="27" t="s">
        <v>231</v>
      </c>
      <c r="N547" s="27" t="s">
        <v>233</v>
      </c>
      <c r="O547" s="33"/>
      <c r="P547" s="33"/>
      <c r="Q547" s="27" t="s">
        <v>81</v>
      </c>
      <c r="R547" s="30"/>
      <c r="S547" s="30"/>
      <c r="T547" s="30">
        <v>1.0</v>
      </c>
      <c r="U547" s="33"/>
      <c r="V547" s="33"/>
      <c r="W547" s="33"/>
      <c r="X547" s="33"/>
      <c r="Y547" s="33"/>
      <c r="Z547" s="33"/>
      <c r="AA547" s="33"/>
      <c r="AB547" s="33"/>
      <c r="AD547" s="22"/>
      <c r="AE547" s="22"/>
      <c r="AF547" s="22"/>
      <c r="AG547" s="22"/>
      <c r="AH547" s="22"/>
      <c r="AI547" s="22"/>
      <c r="AJ547" s="22"/>
      <c r="AK547" s="22"/>
      <c r="AL547" s="22"/>
      <c r="AM547" s="22"/>
      <c r="AN547" s="22"/>
      <c r="AO547" s="22"/>
      <c r="AP547" s="22"/>
    </row>
    <row r="548" ht="25.5" customHeight="1">
      <c r="A548" s="198">
        <f t="shared" si="3"/>
        <v>547</v>
      </c>
      <c r="B548" s="198" t="s">
        <v>61</v>
      </c>
      <c r="C548" s="27" t="s">
        <v>63</v>
      </c>
      <c r="D548" s="27" t="s">
        <v>64</v>
      </c>
      <c r="E548" s="33"/>
      <c r="F548" s="30" t="s">
        <v>116</v>
      </c>
      <c r="G548" s="30" t="s">
        <v>350</v>
      </c>
      <c r="H548" s="197" t="s">
        <v>509</v>
      </c>
      <c r="I548" s="33" t="s">
        <v>38</v>
      </c>
      <c r="J548" s="27" t="s">
        <v>1867</v>
      </c>
      <c r="K548" s="27" t="s">
        <v>1868</v>
      </c>
      <c r="L548" s="27" t="str">
        <f t="shared" si="63"/>
        <v>Carrera 1D1 # 53-140, Los Andes, Cali</v>
      </c>
      <c r="M548" s="27" t="s">
        <v>231</v>
      </c>
      <c r="N548" s="27" t="s">
        <v>233</v>
      </c>
      <c r="O548" s="33"/>
      <c r="P548" s="33"/>
      <c r="Q548" s="27" t="s">
        <v>81</v>
      </c>
      <c r="R548" s="30"/>
      <c r="S548" s="30"/>
      <c r="T548" s="30">
        <v>1.0</v>
      </c>
      <c r="U548" s="33"/>
      <c r="V548" s="33"/>
      <c r="W548" s="33"/>
      <c r="X548" s="33"/>
      <c r="Y548" s="33"/>
      <c r="Z548" s="27" t="s">
        <v>1869</v>
      </c>
      <c r="AA548" s="27"/>
      <c r="AB548" s="27"/>
      <c r="AD548" s="22"/>
      <c r="AE548" s="22"/>
      <c r="AF548" s="22"/>
      <c r="AG548" s="22"/>
      <c r="AH548" s="22"/>
      <c r="AI548" s="22"/>
      <c r="AJ548" s="22"/>
      <c r="AK548" s="22"/>
      <c r="AL548" s="22"/>
      <c r="AM548" s="22"/>
      <c r="AN548" s="22"/>
      <c r="AO548" s="22"/>
      <c r="AP548" s="22"/>
    </row>
    <row r="549" ht="25.5" customHeight="1">
      <c r="A549" s="198">
        <f t="shared" si="3"/>
        <v>548</v>
      </c>
      <c r="B549" s="198" t="s">
        <v>61</v>
      </c>
      <c r="C549" s="27" t="s">
        <v>63</v>
      </c>
      <c r="D549" s="27" t="s">
        <v>64</v>
      </c>
      <c r="E549" s="33"/>
      <c r="F549" s="30" t="s">
        <v>88</v>
      </c>
      <c r="G549" s="30" t="s">
        <v>426</v>
      </c>
      <c r="H549" s="27" t="s">
        <v>226</v>
      </c>
      <c r="I549" s="27" t="s">
        <v>338</v>
      </c>
      <c r="J549" s="27" t="s">
        <v>1870</v>
      </c>
      <c r="K549" s="27" t="s">
        <v>1871</v>
      </c>
      <c r="L549" s="27" t="str">
        <f t="shared" si="63"/>
        <v>Carrera 41a # 31- 28, Cudad Modelo, Cali</v>
      </c>
      <c r="M549" s="27" t="s">
        <v>231</v>
      </c>
      <c r="N549" s="27" t="s">
        <v>233</v>
      </c>
      <c r="O549" s="33"/>
      <c r="P549" s="33"/>
      <c r="Q549" s="27" t="s">
        <v>81</v>
      </c>
      <c r="R549" s="30"/>
      <c r="S549" s="30"/>
      <c r="T549" s="30">
        <v>1.0</v>
      </c>
      <c r="U549" s="33"/>
      <c r="V549" s="33"/>
      <c r="W549" s="33"/>
      <c r="X549" s="33"/>
      <c r="Y549" s="33"/>
      <c r="Z549" s="27" t="s">
        <v>1872</v>
      </c>
      <c r="AA549" s="27"/>
      <c r="AB549" s="27"/>
      <c r="AD549" s="22"/>
      <c r="AE549" s="22"/>
      <c r="AF549" s="22"/>
      <c r="AG549" s="22"/>
      <c r="AH549" s="22"/>
      <c r="AI549" s="22"/>
      <c r="AJ549" s="22"/>
      <c r="AK549" s="22"/>
      <c r="AL549" s="22"/>
      <c r="AM549" s="22"/>
      <c r="AN549" s="22"/>
      <c r="AO549" s="22"/>
      <c r="AP549" s="22"/>
    </row>
    <row r="550" ht="25.5" customHeight="1">
      <c r="A550" s="198">
        <f t="shared" si="3"/>
        <v>549</v>
      </c>
      <c r="B550" s="198" t="s">
        <v>61</v>
      </c>
      <c r="C550" s="27" t="s">
        <v>63</v>
      </c>
      <c r="D550" s="27" t="s">
        <v>64</v>
      </c>
      <c r="E550" s="33"/>
      <c r="F550" s="30" t="s">
        <v>35</v>
      </c>
      <c r="G550" s="30" t="s">
        <v>36</v>
      </c>
      <c r="H550" s="27" t="s">
        <v>278</v>
      </c>
      <c r="I550" s="27" t="s">
        <v>918</v>
      </c>
      <c r="J550" s="27" t="s">
        <v>1873</v>
      </c>
      <c r="K550" s="27"/>
      <c r="L550" s="27" t="str">
        <f t="shared" si="63"/>
        <v>Carrera 36B # 5B2 - 04, San Fernando, Cali</v>
      </c>
      <c r="M550" s="154" t="s">
        <v>1874</v>
      </c>
      <c r="N550" s="154" t="s">
        <v>233</v>
      </c>
      <c r="O550" s="33"/>
      <c r="P550" s="33"/>
      <c r="Q550" s="27" t="s">
        <v>81</v>
      </c>
      <c r="R550" s="30"/>
      <c r="S550" s="30"/>
      <c r="T550" s="30">
        <v>1.0</v>
      </c>
      <c r="U550" s="33"/>
      <c r="V550" s="33"/>
      <c r="W550" s="33"/>
      <c r="X550" s="33"/>
      <c r="Y550" s="33"/>
      <c r="Z550" s="33"/>
      <c r="AA550" s="33"/>
      <c r="AB550" s="33"/>
      <c r="AD550" s="22"/>
      <c r="AE550" s="22"/>
      <c r="AF550" s="22"/>
      <c r="AG550" s="22"/>
      <c r="AH550" s="22"/>
      <c r="AI550" s="22"/>
      <c r="AJ550" s="22"/>
      <c r="AK550" s="22"/>
      <c r="AL550" s="22"/>
      <c r="AM550" s="22"/>
      <c r="AN550" s="22"/>
      <c r="AO550" s="22"/>
      <c r="AP550" s="22"/>
    </row>
    <row r="551" ht="25.5" customHeight="1">
      <c r="A551" s="198">
        <f t="shared" si="3"/>
        <v>550</v>
      </c>
      <c r="B551" s="198" t="s">
        <v>61</v>
      </c>
      <c r="C551" s="27" t="s">
        <v>279</v>
      </c>
      <c r="D551" s="27" t="s">
        <v>515</v>
      </c>
      <c r="E551" s="33"/>
      <c r="F551" s="30" t="s">
        <v>180</v>
      </c>
      <c r="G551" s="30" t="s">
        <v>1875</v>
      </c>
      <c r="H551" s="27" t="s">
        <v>179</v>
      </c>
      <c r="I551" s="27" t="s">
        <v>38</v>
      </c>
      <c r="J551" s="27" t="s">
        <v>1876</v>
      </c>
      <c r="K551" s="27"/>
      <c r="L551" s="27" t="str">
        <f t="shared" si="63"/>
        <v>carrera 15 # 43 - 28, Chapinero, Cali</v>
      </c>
      <c r="M551" s="154" t="s">
        <v>1877</v>
      </c>
      <c r="N551" s="154" t="s">
        <v>233</v>
      </c>
      <c r="O551" s="33"/>
      <c r="P551" s="33"/>
      <c r="Q551" s="33"/>
      <c r="R551" s="35"/>
      <c r="S551" s="35"/>
      <c r="T551" s="35">
        <v>1.0</v>
      </c>
      <c r="U551" s="33"/>
      <c r="V551" s="33"/>
      <c r="W551" s="33"/>
      <c r="X551" s="33"/>
      <c r="Y551" s="33"/>
      <c r="Z551" s="33"/>
      <c r="AA551" s="33"/>
      <c r="AB551" s="33"/>
      <c r="AC551" s="98"/>
      <c r="AD551" s="33"/>
      <c r="AE551" s="33"/>
      <c r="AF551" s="33"/>
      <c r="AG551" s="33"/>
      <c r="AH551" s="33"/>
      <c r="AI551" s="33"/>
      <c r="AJ551" s="33"/>
      <c r="AK551" s="33"/>
      <c r="AL551" s="33"/>
      <c r="AM551" s="33"/>
      <c r="AN551" s="33"/>
      <c r="AO551" s="33"/>
      <c r="AP551" s="33"/>
    </row>
    <row r="552" ht="25.5" customHeight="1">
      <c r="A552" s="198">
        <f t="shared" si="3"/>
        <v>551</v>
      </c>
      <c r="B552" s="198" t="s">
        <v>61</v>
      </c>
      <c r="C552" s="142" t="s">
        <v>63</v>
      </c>
      <c r="D552" s="142" t="s">
        <v>64</v>
      </c>
      <c r="E552" s="33"/>
      <c r="F552" s="284" t="s">
        <v>35</v>
      </c>
      <c r="G552" s="30" t="s">
        <v>36</v>
      </c>
      <c r="H552" s="27" t="s">
        <v>1339</v>
      </c>
      <c r="I552" s="27" t="s">
        <v>286</v>
      </c>
      <c r="J552" s="27" t="s">
        <v>1878</v>
      </c>
      <c r="K552" s="27"/>
      <c r="L552" s="27" t="str">
        <f t="shared" si="63"/>
        <v>Calle 5B 2 #36c-03, San fernando, Cali</v>
      </c>
      <c r="M552" s="27" t="s">
        <v>231</v>
      </c>
      <c r="N552" s="27" t="s">
        <v>233</v>
      </c>
      <c r="O552" s="33"/>
      <c r="P552" s="33"/>
      <c r="Q552" s="27" t="s">
        <v>81</v>
      </c>
      <c r="R552" s="30"/>
      <c r="S552" s="30"/>
      <c r="T552" s="30">
        <v>1.0</v>
      </c>
      <c r="U552" s="33"/>
      <c r="V552" s="33"/>
      <c r="W552" s="33"/>
      <c r="X552" s="33"/>
      <c r="Y552" s="33"/>
      <c r="Z552" s="27" t="s">
        <v>1879</v>
      </c>
      <c r="AA552" s="27"/>
      <c r="AB552" s="27"/>
      <c r="AD552" s="22"/>
      <c r="AE552" s="22"/>
      <c r="AF552" s="22"/>
      <c r="AG552" s="22"/>
      <c r="AH552" s="22"/>
      <c r="AI552" s="22"/>
      <c r="AJ552" s="22"/>
      <c r="AK552" s="22"/>
      <c r="AL552" s="22"/>
      <c r="AM552" s="22"/>
      <c r="AN552" s="22"/>
      <c r="AO552" s="22"/>
      <c r="AP552" s="22"/>
    </row>
    <row r="553" ht="25.5" customHeight="1">
      <c r="A553" s="285">
        <f t="shared" si="3"/>
        <v>552</v>
      </c>
      <c r="B553" s="285" t="s">
        <v>61</v>
      </c>
      <c r="C553" s="39" t="s">
        <v>279</v>
      </c>
      <c r="D553" s="39" t="s">
        <v>515</v>
      </c>
      <c r="E553" s="22"/>
      <c r="F553" s="204" t="s">
        <v>70</v>
      </c>
      <c r="G553" s="204" t="s">
        <v>36</v>
      </c>
      <c r="H553" s="39" t="s">
        <v>220</v>
      </c>
      <c r="I553" s="39" t="s">
        <v>286</v>
      </c>
      <c r="J553" s="39" t="s">
        <v>1880</v>
      </c>
      <c r="K553" s="39"/>
      <c r="L553" s="39" t="str">
        <f t="shared" si="63"/>
        <v>Carrera 35 # 14-42, Cristobal colon, Cali</v>
      </c>
      <c r="M553" s="39" t="s">
        <v>231</v>
      </c>
      <c r="N553" s="39" t="s">
        <v>233</v>
      </c>
      <c r="O553" s="22"/>
      <c r="P553" s="22"/>
      <c r="Q553" s="22"/>
      <c r="R553" s="122"/>
      <c r="S553" s="122"/>
      <c r="T553" s="122">
        <v>1.0</v>
      </c>
      <c r="U553" s="22"/>
      <c r="V553" s="22"/>
      <c r="W553" s="22"/>
      <c r="X553" s="22"/>
      <c r="Y553" s="22"/>
      <c r="Z553" s="22"/>
      <c r="AA553" s="22"/>
      <c r="AB553" s="22"/>
      <c r="AD553" s="22"/>
      <c r="AE553" s="22"/>
      <c r="AF553" s="22"/>
      <c r="AG553" s="22"/>
      <c r="AH553" s="22"/>
      <c r="AI553" s="22"/>
      <c r="AJ553" s="22"/>
      <c r="AK553" s="22"/>
      <c r="AL553" s="22"/>
      <c r="AM553" s="22"/>
      <c r="AN553" s="22"/>
      <c r="AO553" s="22"/>
      <c r="AP553" s="22"/>
    </row>
    <row r="554" ht="25.5" customHeight="1">
      <c r="A554" s="198">
        <f t="shared" si="3"/>
        <v>553</v>
      </c>
      <c r="B554" s="198" t="s">
        <v>61</v>
      </c>
      <c r="C554" s="142" t="s">
        <v>63</v>
      </c>
      <c r="D554" s="142" t="s">
        <v>64</v>
      </c>
      <c r="E554" s="33"/>
      <c r="F554" s="30" t="s">
        <v>73</v>
      </c>
      <c r="G554" s="30" t="s">
        <v>36</v>
      </c>
      <c r="H554" s="27" t="s">
        <v>72</v>
      </c>
      <c r="I554" s="27" t="s">
        <v>286</v>
      </c>
      <c r="J554" s="27" t="s">
        <v>1881</v>
      </c>
      <c r="K554" s="27"/>
      <c r="L554" s="27" t="str">
        <f t="shared" si="63"/>
        <v>Calle 9 # 24 20, Alameda, Cali</v>
      </c>
      <c r="M554" s="27" t="s">
        <v>231</v>
      </c>
      <c r="N554" s="27" t="s">
        <v>233</v>
      </c>
      <c r="O554" s="33"/>
      <c r="P554" s="33"/>
      <c r="Q554" s="27" t="s">
        <v>81</v>
      </c>
      <c r="R554" s="30"/>
      <c r="S554" s="30"/>
      <c r="T554" s="30">
        <v>1.0</v>
      </c>
      <c r="U554" s="33"/>
      <c r="V554" s="33"/>
      <c r="W554" s="33"/>
      <c r="X554" s="33"/>
      <c r="Y554" s="33"/>
      <c r="Z554" s="33"/>
      <c r="AA554" s="33"/>
      <c r="AB554" s="33"/>
      <c r="AD554" s="22"/>
      <c r="AE554" s="22"/>
      <c r="AF554" s="22"/>
      <c r="AG554" s="22"/>
      <c r="AH554" s="22"/>
      <c r="AI554" s="22"/>
      <c r="AJ554" s="22"/>
      <c r="AK554" s="22"/>
      <c r="AL554" s="22"/>
      <c r="AM554" s="22"/>
      <c r="AN554" s="22"/>
      <c r="AO554" s="22"/>
      <c r="AP554" s="22"/>
    </row>
    <row r="555" ht="25.5" customHeight="1">
      <c r="A555" s="198">
        <f t="shared" si="3"/>
        <v>554</v>
      </c>
      <c r="B555" s="198" t="s">
        <v>61</v>
      </c>
      <c r="C555" s="27" t="s">
        <v>63</v>
      </c>
      <c r="D555" s="27" t="s">
        <v>64</v>
      </c>
      <c r="E555" s="33"/>
      <c r="F555" s="30" t="s">
        <v>35</v>
      </c>
      <c r="G555" s="30" t="s">
        <v>36</v>
      </c>
      <c r="H555" s="27" t="s">
        <v>158</v>
      </c>
      <c r="I555" s="27" t="s">
        <v>286</v>
      </c>
      <c r="J555" s="27" t="s">
        <v>1882</v>
      </c>
      <c r="K555" s="27"/>
      <c r="L555" s="27" t="str">
        <f t="shared" si="63"/>
        <v>Calle 1B 55-25, Cuarto de Legua, Cali</v>
      </c>
      <c r="M555" s="27" t="s">
        <v>231</v>
      </c>
      <c r="N555" s="27" t="s">
        <v>233</v>
      </c>
      <c r="O555" s="33"/>
      <c r="P555" s="33"/>
      <c r="Q555" s="27" t="s">
        <v>81</v>
      </c>
      <c r="R555" s="30"/>
      <c r="S555" s="30"/>
      <c r="T555" s="30">
        <v>1.0</v>
      </c>
      <c r="U555" s="33"/>
      <c r="V555" s="33"/>
      <c r="W555" s="33"/>
      <c r="X555" s="33"/>
      <c r="Y555" s="33"/>
      <c r="Z555" s="33"/>
      <c r="AA555" s="33"/>
      <c r="AB555" s="33"/>
      <c r="AD555" s="22"/>
      <c r="AE555" s="22"/>
      <c r="AF555" s="22"/>
      <c r="AG555" s="22"/>
      <c r="AH555" s="22"/>
      <c r="AI555" s="22"/>
      <c r="AJ555" s="22"/>
      <c r="AK555" s="22"/>
      <c r="AL555" s="22"/>
      <c r="AM555" s="22"/>
      <c r="AN555" s="22"/>
      <c r="AO555" s="22"/>
      <c r="AP555" s="22"/>
    </row>
    <row r="556" ht="25.5" customHeight="1">
      <c r="A556" s="198">
        <f t="shared" si="3"/>
        <v>555</v>
      </c>
      <c r="B556" s="198" t="s">
        <v>61</v>
      </c>
      <c r="C556" s="27" t="s">
        <v>63</v>
      </c>
      <c r="D556" s="27" t="s">
        <v>64</v>
      </c>
      <c r="E556" s="33"/>
      <c r="F556" s="30" t="s">
        <v>87</v>
      </c>
      <c r="G556" s="30" t="s">
        <v>36</v>
      </c>
      <c r="H556" s="27" t="s">
        <v>390</v>
      </c>
      <c r="I556" s="27" t="s">
        <v>286</v>
      </c>
      <c r="J556" s="27" t="s">
        <v>1883</v>
      </c>
      <c r="K556" s="27"/>
      <c r="L556" s="27" t="str">
        <f t="shared" si="63"/>
        <v>Calle 4 con 61A, Meléndez, Cali</v>
      </c>
      <c r="M556" s="27" t="s">
        <v>231</v>
      </c>
      <c r="N556" s="27" t="s">
        <v>233</v>
      </c>
      <c r="O556" s="33"/>
      <c r="P556" s="33"/>
      <c r="Q556" s="27" t="s">
        <v>81</v>
      </c>
      <c r="R556" s="30"/>
      <c r="S556" s="30"/>
      <c r="T556" s="30">
        <v>1.0</v>
      </c>
      <c r="U556" s="33"/>
      <c r="V556" s="33"/>
      <c r="W556" s="33"/>
      <c r="X556" s="33"/>
      <c r="Y556" s="33"/>
      <c r="Z556" s="33"/>
      <c r="AA556" s="33"/>
      <c r="AB556" s="33"/>
      <c r="AD556" s="22"/>
      <c r="AE556" s="22"/>
      <c r="AF556" s="22"/>
      <c r="AG556" s="22"/>
      <c r="AH556" s="22"/>
      <c r="AI556" s="22"/>
      <c r="AJ556" s="22"/>
      <c r="AK556" s="22"/>
      <c r="AL556" s="22"/>
      <c r="AM556" s="22"/>
      <c r="AN556" s="22"/>
      <c r="AO556" s="22"/>
      <c r="AP556" s="22"/>
    </row>
    <row r="557" ht="25.5" customHeight="1">
      <c r="A557" s="63">
        <f t="shared" si="3"/>
        <v>556</v>
      </c>
      <c r="B557" s="63" t="s">
        <v>62</v>
      </c>
      <c r="C557" s="65" t="s">
        <v>133</v>
      </c>
      <c r="D557" s="108" t="s">
        <v>515</v>
      </c>
      <c r="E557" s="68" t="s">
        <v>62</v>
      </c>
      <c r="F557" s="70" t="s">
        <v>62</v>
      </c>
      <c r="G557" s="70" t="s">
        <v>62</v>
      </c>
      <c r="H557" s="71" t="s">
        <v>62</v>
      </c>
      <c r="I557" s="71" t="s">
        <v>62</v>
      </c>
      <c r="J557" s="68" t="s">
        <v>62</v>
      </c>
      <c r="K557" s="68" t="s">
        <v>62</v>
      </c>
      <c r="L557" s="68" t="s">
        <v>62</v>
      </c>
      <c r="M557" s="68" t="s">
        <v>62</v>
      </c>
      <c r="N557" s="68" t="s">
        <v>62</v>
      </c>
      <c r="O557" s="68" t="s">
        <v>62</v>
      </c>
      <c r="P557" s="68" t="s">
        <v>62</v>
      </c>
      <c r="Q557" s="68" t="s">
        <v>62</v>
      </c>
      <c r="R557" s="68" t="s">
        <v>62</v>
      </c>
      <c r="S557" s="68"/>
      <c r="T557" s="68" t="s">
        <v>62</v>
      </c>
      <c r="U557" s="68" t="s">
        <v>62</v>
      </c>
      <c r="V557" s="68" t="s">
        <v>62</v>
      </c>
      <c r="W557" s="68" t="s">
        <v>62</v>
      </c>
      <c r="X557" s="68" t="s">
        <v>62</v>
      </c>
      <c r="Y557" s="68" t="s">
        <v>62</v>
      </c>
      <c r="Z557" s="68" t="s">
        <v>62</v>
      </c>
      <c r="AA557" s="68" t="s">
        <v>62</v>
      </c>
      <c r="AB557" s="68" t="s">
        <v>62</v>
      </c>
      <c r="AD557" s="22"/>
      <c r="AE557" s="22"/>
      <c r="AF557" s="22"/>
      <c r="AG557" s="22"/>
      <c r="AH557" s="22"/>
      <c r="AI557" s="22"/>
      <c r="AJ557" s="22"/>
      <c r="AK557" s="22"/>
      <c r="AL557" s="22"/>
      <c r="AM557" s="22"/>
      <c r="AN557" s="22"/>
      <c r="AO557" s="22"/>
      <c r="AP557" s="22"/>
    </row>
    <row r="558" ht="25.5" customHeight="1">
      <c r="A558" s="198">
        <f t="shared" si="3"/>
        <v>557</v>
      </c>
      <c r="B558" s="198" t="s">
        <v>61</v>
      </c>
      <c r="C558" s="27" t="s">
        <v>63</v>
      </c>
      <c r="D558" s="27" t="s">
        <v>64</v>
      </c>
      <c r="E558" s="33"/>
      <c r="F558" s="30" t="s">
        <v>87</v>
      </c>
      <c r="G558" s="30" t="s">
        <v>36</v>
      </c>
      <c r="H558" s="27" t="s">
        <v>1884</v>
      </c>
      <c r="I558" s="27" t="s">
        <v>286</v>
      </c>
      <c r="J558" s="27" t="s">
        <v>1885</v>
      </c>
      <c r="K558" s="27"/>
      <c r="L558" s="27" t="str">
        <f t="shared" ref="L558:L564" si="64">CONCATENATE(J558,", ",H558,", Cali")</f>
        <v>carrera 94b oeste #1b-65, Alto jordan, Cali</v>
      </c>
      <c r="M558" s="27" t="s">
        <v>231</v>
      </c>
      <c r="N558" s="27" t="s">
        <v>233</v>
      </c>
      <c r="O558" s="33"/>
      <c r="P558" s="33"/>
      <c r="Q558" s="27" t="s">
        <v>81</v>
      </c>
      <c r="R558" s="30"/>
      <c r="S558" s="30"/>
      <c r="T558" s="30">
        <v>1.0</v>
      </c>
      <c r="U558" s="33"/>
      <c r="V558" s="33"/>
      <c r="W558" s="33"/>
      <c r="X558" s="33"/>
      <c r="Y558" s="33"/>
      <c r="Z558" s="27" t="s">
        <v>1886</v>
      </c>
      <c r="AA558" s="27"/>
      <c r="AB558" s="27"/>
      <c r="AD558" s="22"/>
      <c r="AE558" s="22"/>
      <c r="AF558" s="22"/>
      <c r="AG558" s="22"/>
      <c r="AH558" s="22"/>
      <c r="AI558" s="22"/>
      <c r="AJ558" s="22"/>
      <c r="AK558" s="22"/>
      <c r="AL558" s="22"/>
      <c r="AM558" s="22"/>
      <c r="AN558" s="22"/>
      <c r="AO558" s="22"/>
      <c r="AP558" s="22"/>
    </row>
    <row r="559" ht="25.5" customHeight="1">
      <c r="A559" s="198">
        <f t="shared" si="3"/>
        <v>558</v>
      </c>
      <c r="B559" s="198" t="s">
        <v>61</v>
      </c>
      <c r="C559" s="27" t="s">
        <v>63</v>
      </c>
      <c r="D559" s="27" t="s">
        <v>64</v>
      </c>
      <c r="E559" s="33"/>
      <c r="F559" s="30" t="s">
        <v>35</v>
      </c>
      <c r="G559" s="30" t="s">
        <v>36</v>
      </c>
      <c r="H559" s="27" t="s">
        <v>278</v>
      </c>
      <c r="I559" s="27" t="s">
        <v>286</v>
      </c>
      <c r="J559" s="27" t="s">
        <v>1887</v>
      </c>
      <c r="K559" s="27"/>
      <c r="L559" s="27" t="str">
        <f t="shared" si="64"/>
        <v>Calle 5b3 # 37 - 85, San Fernando, Cali</v>
      </c>
      <c r="M559" s="27" t="s">
        <v>231</v>
      </c>
      <c r="N559" s="27" t="s">
        <v>233</v>
      </c>
      <c r="O559" s="33"/>
      <c r="P559" s="33"/>
      <c r="Q559" s="27" t="s">
        <v>81</v>
      </c>
      <c r="R559" s="30"/>
      <c r="S559" s="30"/>
      <c r="T559" s="30">
        <v>1.0</v>
      </c>
      <c r="U559" s="33"/>
      <c r="V559" s="33"/>
      <c r="W559" s="33"/>
      <c r="X559" s="33"/>
      <c r="Y559" s="33"/>
      <c r="Z559" s="33"/>
      <c r="AA559" s="33"/>
      <c r="AB559" s="33"/>
      <c r="AD559" s="22"/>
      <c r="AE559" s="22"/>
      <c r="AF559" s="22"/>
      <c r="AG559" s="22"/>
      <c r="AH559" s="22"/>
      <c r="AI559" s="22"/>
      <c r="AJ559" s="22"/>
      <c r="AK559" s="22"/>
      <c r="AL559" s="22"/>
      <c r="AM559" s="22"/>
      <c r="AN559" s="22"/>
      <c r="AO559" s="22"/>
      <c r="AP559" s="22"/>
    </row>
    <row r="560" ht="25.5" customHeight="1">
      <c r="A560" s="198">
        <f t="shared" si="3"/>
        <v>559</v>
      </c>
      <c r="B560" s="198" t="s">
        <v>61</v>
      </c>
      <c r="C560" s="27" t="s">
        <v>279</v>
      </c>
      <c r="D560" s="27" t="s">
        <v>515</v>
      </c>
      <c r="E560" s="33"/>
      <c r="F560" s="30" t="s">
        <v>73</v>
      </c>
      <c r="G560" s="30" t="s">
        <v>176</v>
      </c>
      <c r="H560" s="27" t="s">
        <v>447</v>
      </c>
      <c r="I560" s="27" t="s">
        <v>286</v>
      </c>
      <c r="J560" s="27" t="s">
        <v>1888</v>
      </c>
      <c r="K560" s="27"/>
      <c r="L560" s="27" t="str">
        <f t="shared" si="64"/>
        <v>Calle 6# 13-49, San Bosco, Cali</v>
      </c>
      <c r="M560" s="27" t="s">
        <v>231</v>
      </c>
      <c r="N560" s="27" t="s">
        <v>233</v>
      </c>
      <c r="O560" s="33"/>
      <c r="P560" s="33"/>
      <c r="Q560" s="33"/>
      <c r="R560" s="122"/>
      <c r="S560" s="122"/>
      <c r="T560" s="122">
        <v>1.0</v>
      </c>
      <c r="U560" s="22"/>
      <c r="V560" s="22"/>
      <c r="W560" s="22"/>
      <c r="X560" s="22"/>
      <c r="Y560" s="22"/>
      <c r="Z560" s="22"/>
      <c r="AA560" s="22"/>
      <c r="AB560" s="22"/>
      <c r="AD560" s="22"/>
      <c r="AE560" s="22"/>
      <c r="AF560" s="22"/>
      <c r="AG560" s="22"/>
      <c r="AH560" s="22"/>
      <c r="AI560" s="22"/>
      <c r="AJ560" s="22"/>
      <c r="AK560" s="22"/>
      <c r="AL560" s="22"/>
      <c r="AM560" s="22"/>
      <c r="AN560" s="22"/>
      <c r="AO560" s="22"/>
      <c r="AP560" s="22"/>
    </row>
    <row r="561" ht="25.5" customHeight="1">
      <c r="A561" s="198">
        <f t="shared" si="3"/>
        <v>560</v>
      </c>
      <c r="B561" s="198" t="s">
        <v>61</v>
      </c>
      <c r="C561" s="142" t="s">
        <v>63</v>
      </c>
      <c r="D561" s="142" t="s">
        <v>64</v>
      </c>
      <c r="E561" s="33"/>
      <c r="F561" s="284" t="s">
        <v>87</v>
      </c>
      <c r="G561" s="30" t="s">
        <v>36</v>
      </c>
      <c r="H561" s="146" t="s">
        <v>89</v>
      </c>
      <c r="I561" s="146" t="s">
        <v>286</v>
      </c>
      <c r="J561" s="27" t="s">
        <v>1889</v>
      </c>
      <c r="K561" s="27"/>
      <c r="L561" s="27" t="str">
        <f t="shared" si="64"/>
        <v>calle 2A Bis # 82-10, Alto Nápoles, Cali</v>
      </c>
      <c r="M561" s="154" t="s">
        <v>1890</v>
      </c>
      <c r="N561" s="154" t="s">
        <v>642</v>
      </c>
      <c r="O561" s="33"/>
      <c r="P561" s="33"/>
      <c r="Q561" s="27" t="s">
        <v>81</v>
      </c>
      <c r="R561" s="30"/>
      <c r="S561" s="30"/>
      <c r="T561" s="30">
        <v>1.0</v>
      </c>
      <c r="U561" s="33"/>
      <c r="V561" s="33"/>
      <c r="W561" s="33"/>
      <c r="X561" s="33"/>
      <c r="Y561" s="33"/>
      <c r="Z561" s="33"/>
      <c r="AA561" s="33"/>
      <c r="AB561" s="33"/>
      <c r="AD561" s="22"/>
      <c r="AE561" s="22"/>
      <c r="AF561" s="22"/>
      <c r="AG561" s="22"/>
      <c r="AH561" s="22"/>
      <c r="AI561" s="22"/>
      <c r="AJ561" s="22"/>
      <c r="AK561" s="22"/>
      <c r="AL561" s="22"/>
      <c r="AM561" s="22"/>
      <c r="AN561" s="22"/>
      <c r="AO561" s="22"/>
      <c r="AP561" s="22"/>
    </row>
    <row r="562" ht="25.5" customHeight="1">
      <c r="A562" s="285">
        <f t="shared" si="3"/>
        <v>561</v>
      </c>
      <c r="B562" s="285" t="s">
        <v>61</v>
      </c>
      <c r="C562" s="39" t="s">
        <v>279</v>
      </c>
      <c r="D562" s="39" t="s">
        <v>515</v>
      </c>
      <c r="E562" s="22"/>
      <c r="F562" s="204" t="s">
        <v>35</v>
      </c>
      <c r="G562" s="204" t="s">
        <v>36</v>
      </c>
      <c r="H562" s="39" t="s">
        <v>1316</v>
      </c>
      <c r="I562" s="22" t="s">
        <v>38</v>
      </c>
      <c r="J562" s="39" t="s">
        <v>1891</v>
      </c>
      <c r="K562" s="39" t="s">
        <v>1892</v>
      </c>
      <c r="L562" s="39" t="str">
        <f t="shared" si="64"/>
        <v>cra 28 #5b -117, san fernando, Cali</v>
      </c>
      <c r="M562" s="39" t="s">
        <v>231</v>
      </c>
      <c r="N562" s="39" t="s">
        <v>233</v>
      </c>
      <c r="O562" s="22"/>
      <c r="P562" s="22"/>
      <c r="Q562" s="22"/>
      <c r="R562" s="122"/>
      <c r="S562" s="122"/>
      <c r="T562" s="122">
        <v>1.0</v>
      </c>
      <c r="U562" s="22"/>
      <c r="V562" s="22"/>
      <c r="W562" s="22"/>
      <c r="X562" s="22"/>
      <c r="Y562" s="22"/>
      <c r="Z562" s="22"/>
      <c r="AA562" s="22"/>
      <c r="AB562" s="22"/>
      <c r="AD562" s="22"/>
      <c r="AE562" s="22"/>
      <c r="AF562" s="22"/>
      <c r="AG562" s="22"/>
      <c r="AH562" s="22"/>
      <c r="AI562" s="22"/>
      <c r="AJ562" s="22"/>
      <c r="AK562" s="22"/>
      <c r="AL562" s="22"/>
      <c r="AM562" s="22"/>
      <c r="AN562" s="22"/>
      <c r="AO562" s="22"/>
      <c r="AP562" s="22"/>
    </row>
    <row r="563" ht="25.5" customHeight="1">
      <c r="A563" s="198">
        <f t="shared" si="3"/>
        <v>562</v>
      </c>
      <c r="B563" s="198" t="s">
        <v>61</v>
      </c>
      <c r="C563" s="27" t="s">
        <v>279</v>
      </c>
      <c r="D563" s="142" t="s">
        <v>64</v>
      </c>
      <c r="E563" s="33"/>
      <c r="F563" s="30" t="s">
        <v>139</v>
      </c>
      <c r="G563" s="30" t="s">
        <v>350</v>
      </c>
      <c r="H563" s="27" t="s">
        <v>1893</v>
      </c>
      <c r="I563" s="27" t="s">
        <v>286</v>
      </c>
      <c r="J563" s="27" t="s">
        <v>1894</v>
      </c>
      <c r="K563" s="27"/>
      <c r="L563" s="27" t="str">
        <f t="shared" si="64"/>
        <v>Calle 70 C1 #1a 4C-33, San Luis, Cali</v>
      </c>
      <c r="M563" s="27" t="s">
        <v>231</v>
      </c>
      <c r="N563" s="27" t="s">
        <v>233</v>
      </c>
      <c r="O563" s="33"/>
      <c r="P563" s="33"/>
      <c r="Q563" s="33"/>
      <c r="R563" s="122"/>
      <c r="S563" s="122"/>
      <c r="T563" s="122">
        <v>1.0</v>
      </c>
      <c r="U563" s="22"/>
      <c r="V563" s="22"/>
      <c r="W563" s="22"/>
      <c r="X563" s="22"/>
      <c r="Y563" s="22"/>
      <c r="Z563" s="22"/>
      <c r="AA563" s="22"/>
      <c r="AB563" s="22"/>
      <c r="AD563" s="22"/>
      <c r="AE563" s="22"/>
      <c r="AF563" s="22"/>
      <c r="AG563" s="22"/>
      <c r="AH563" s="22"/>
      <c r="AI563" s="22"/>
      <c r="AJ563" s="22"/>
      <c r="AK563" s="22"/>
      <c r="AL563" s="22"/>
      <c r="AM563" s="22"/>
      <c r="AN563" s="22"/>
      <c r="AO563" s="22"/>
      <c r="AP563" s="22"/>
    </row>
    <row r="564" ht="25.5" customHeight="1">
      <c r="A564" s="198">
        <f t="shared" si="3"/>
        <v>563</v>
      </c>
      <c r="B564" s="198" t="s">
        <v>61</v>
      </c>
      <c r="C564" s="27" t="s">
        <v>279</v>
      </c>
      <c r="D564" s="142" t="s">
        <v>64</v>
      </c>
      <c r="E564" s="33"/>
      <c r="F564" s="30" t="s">
        <v>128</v>
      </c>
      <c r="G564" s="30" t="s">
        <v>176</v>
      </c>
      <c r="H564" s="197" t="s">
        <v>486</v>
      </c>
      <c r="I564" s="197" t="s">
        <v>286</v>
      </c>
      <c r="J564" s="27" t="s">
        <v>1895</v>
      </c>
      <c r="K564" s="27"/>
      <c r="L564" s="27" t="str">
        <f t="shared" si="64"/>
        <v>Carrera 22 # 11A-34, Sucre, Cali</v>
      </c>
      <c r="M564" s="154" t="s">
        <v>1896</v>
      </c>
      <c r="N564" s="154" t="s">
        <v>642</v>
      </c>
      <c r="O564" s="33"/>
      <c r="P564" s="33"/>
      <c r="Q564" s="33"/>
      <c r="R564" s="122"/>
      <c r="S564" s="122"/>
      <c r="T564" s="122">
        <v>1.0</v>
      </c>
      <c r="U564" s="22"/>
      <c r="V564" s="22"/>
      <c r="W564" s="22"/>
      <c r="X564" s="22"/>
      <c r="Y564" s="22"/>
      <c r="Z564" s="39" t="s">
        <v>1897</v>
      </c>
      <c r="AA564" s="39"/>
      <c r="AB564" s="39"/>
      <c r="AD564" s="22"/>
      <c r="AE564" s="22"/>
      <c r="AF564" s="22"/>
      <c r="AG564" s="22"/>
      <c r="AH564" s="22"/>
      <c r="AI564" s="22"/>
      <c r="AJ564" s="22"/>
      <c r="AK564" s="22"/>
      <c r="AL564" s="22"/>
      <c r="AM564" s="22"/>
      <c r="AN564" s="22"/>
      <c r="AO564" s="22"/>
      <c r="AP564" s="22"/>
    </row>
    <row r="565" ht="25.5" customHeight="1">
      <c r="A565" s="63">
        <f t="shared" si="3"/>
        <v>564</v>
      </c>
      <c r="B565" s="63" t="s">
        <v>62</v>
      </c>
      <c r="C565" s="65" t="s">
        <v>133</v>
      </c>
      <c r="D565" s="108" t="s">
        <v>515</v>
      </c>
      <c r="E565" s="68" t="s">
        <v>62</v>
      </c>
      <c r="F565" s="70" t="s">
        <v>62</v>
      </c>
      <c r="G565" s="70" t="s">
        <v>62</v>
      </c>
      <c r="H565" s="71" t="s">
        <v>62</v>
      </c>
      <c r="I565" s="71" t="s">
        <v>62</v>
      </c>
      <c r="J565" s="68" t="s">
        <v>62</v>
      </c>
      <c r="K565" s="68" t="s">
        <v>62</v>
      </c>
      <c r="L565" s="68" t="s">
        <v>62</v>
      </c>
      <c r="M565" s="68" t="s">
        <v>62</v>
      </c>
      <c r="N565" s="68" t="s">
        <v>62</v>
      </c>
      <c r="O565" s="68" t="s">
        <v>62</v>
      </c>
      <c r="P565" s="68" t="s">
        <v>62</v>
      </c>
      <c r="Q565" s="68" t="s">
        <v>62</v>
      </c>
      <c r="R565" s="68" t="s">
        <v>62</v>
      </c>
      <c r="S565" s="68"/>
      <c r="T565" s="68" t="s">
        <v>62</v>
      </c>
      <c r="U565" s="68" t="s">
        <v>62</v>
      </c>
      <c r="V565" s="68" t="s">
        <v>62</v>
      </c>
      <c r="W565" s="68" t="s">
        <v>62</v>
      </c>
      <c r="X565" s="68" t="s">
        <v>62</v>
      </c>
      <c r="Y565" s="68" t="s">
        <v>62</v>
      </c>
      <c r="Z565" s="68" t="s">
        <v>62</v>
      </c>
      <c r="AA565" s="68" t="s">
        <v>62</v>
      </c>
      <c r="AB565" s="68" t="s">
        <v>62</v>
      </c>
      <c r="AD565" s="22"/>
      <c r="AE565" s="22"/>
      <c r="AF565" s="22"/>
      <c r="AG565" s="22"/>
      <c r="AH565" s="22"/>
      <c r="AI565" s="22"/>
      <c r="AJ565" s="22"/>
      <c r="AK565" s="22"/>
      <c r="AL565" s="22"/>
      <c r="AM565" s="22"/>
      <c r="AN565" s="22"/>
      <c r="AO565" s="22"/>
      <c r="AP565" s="22"/>
    </row>
    <row r="566" ht="25.5" customHeight="1">
      <c r="A566" s="285">
        <f t="shared" si="3"/>
        <v>565</v>
      </c>
      <c r="B566" s="285" t="s">
        <v>61</v>
      </c>
      <c r="C566" s="39" t="s">
        <v>279</v>
      </c>
      <c r="D566" s="39" t="s">
        <v>515</v>
      </c>
      <c r="F566" s="204" t="s">
        <v>35</v>
      </c>
      <c r="G566" s="204" t="s">
        <v>36</v>
      </c>
      <c r="H566" s="286" t="s">
        <v>211</v>
      </c>
      <c r="I566" s="286" t="s">
        <v>286</v>
      </c>
      <c r="J566" s="286" t="s">
        <v>1898</v>
      </c>
      <c r="K566" s="287"/>
      <c r="L566" s="12" t="str">
        <f t="shared" ref="L566:L597" si="65">CONCATENATE(J566,", ",H566,", Cali")</f>
        <v>Carrera 32 #12c-25, Colseguros, Cali</v>
      </c>
      <c r="M566" s="288" t="s">
        <v>1899</v>
      </c>
      <c r="N566" s="288" t="s">
        <v>233</v>
      </c>
      <c r="O566" s="22"/>
      <c r="P566" s="22"/>
      <c r="Q566" s="22"/>
      <c r="R566" s="122"/>
      <c r="S566" s="122"/>
      <c r="T566" s="122">
        <v>1.0</v>
      </c>
      <c r="U566" s="22"/>
      <c r="V566" s="22"/>
      <c r="W566" s="22"/>
      <c r="X566" s="22"/>
      <c r="Y566" s="22"/>
      <c r="Z566" s="39">
        <v>3.206410252E9</v>
      </c>
      <c r="AA566" s="39"/>
      <c r="AB566" s="39"/>
      <c r="AD566" s="22"/>
      <c r="AE566" s="22"/>
      <c r="AF566" s="22"/>
      <c r="AG566" s="22"/>
      <c r="AH566" s="22"/>
      <c r="AI566" s="22"/>
      <c r="AJ566" s="22"/>
      <c r="AK566" s="22"/>
      <c r="AL566" s="22"/>
      <c r="AM566" s="22"/>
      <c r="AN566" s="22"/>
      <c r="AO566" s="22"/>
      <c r="AP566" s="22"/>
    </row>
    <row r="567" ht="25.5" customHeight="1">
      <c r="A567" s="198">
        <f t="shared" si="3"/>
        <v>566</v>
      </c>
      <c r="B567" s="198" t="s">
        <v>61</v>
      </c>
      <c r="C567" s="27" t="s">
        <v>279</v>
      </c>
      <c r="D567" s="142" t="s">
        <v>64</v>
      </c>
      <c r="E567" s="33"/>
      <c r="F567" s="30" t="s">
        <v>105</v>
      </c>
      <c r="G567" s="30" t="s">
        <v>426</v>
      </c>
      <c r="H567" s="27" t="s">
        <v>1900</v>
      </c>
      <c r="I567" s="27" t="s">
        <v>38</v>
      </c>
      <c r="J567" s="27" t="s">
        <v>1901</v>
      </c>
      <c r="K567" s="27" t="s">
        <v>1902</v>
      </c>
      <c r="L567" s="27" t="str">
        <f t="shared" si="65"/>
        <v>Calle 33 #67B 62, ciudad 2000, Cali</v>
      </c>
      <c r="M567" s="154" t="s">
        <v>1903</v>
      </c>
      <c r="N567" s="154" t="s">
        <v>233</v>
      </c>
      <c r="O567" s="33"/>
      <c r="P567" s="33"/>
      <c r="Q567" s="33"/>
      <c r="R567" s="35"/>
      <c r="S567" s="35"/>
      <c r="T567" s="35">
        <v>1.0</v>
      </c>
      <c r="U567" s="33"/>
      <c r="V567" s="33"/>
      <c r="W567" s="33"/>
      <c r="X567" s="33"/>
      <c r="Y567" s="33"/>
      <c r="Z567" s="33"/>
      <c r="AA567" s="33"/>
      <c r="AB567" s="33"/>
      <c r="AC567" s="98"/>
      <c r="AD567" s="33"/>
      <c r="AE567" s="33"/>
      <c r="AF567" s="33"/>
      <c r="AG567" s="33"/>
      <c r="AH567" s="33"/>
      <c r="AI567" s="33"/>
      <c r="AJ567" s="33"/>
      <c r="AK567" s="33"/>
      <c r="AL567" s="33"/>
      <c r="AM567" s="33"/>
      <c r="AN567" s="33"/>
      <c r="AO567" s="33"/>
      <c r="AP567" s="33"/>
    </row>
    <row r="568" ht="25.5" customHeight="1">
      <c r="A568" s="198">
        <f t="shared" si="3"/>
        <v>567</v>
      </c>
      <c r="B568" s="198" t="s">
        <v>61</v>
      </c>
      <c r="C568" s="27" t="s">
        <v>279</v>
      </c>
      <c r="D568" s="142" t="s">
        <v>64</v>
      </c>
      <c r="E568" s="33"/>
      <c r="F568" s="30" t="s">
        <v>116</v>
      </c>
      <c r="G568" s="30" t="s">
        <v>350</v>
      </c>
      <c r="H568" s="27" t="s">
        <v>185</v>
      </c>
      <c r="I568" s="27" t="s">
        <v>38</v>
      </c>
      <c r="J568" s="27" t="s">
        <v>1904</v>
      </c>
      <c r="K568" s="27" t="s">
        <v>1905</v>
      </c>
      <c r="L568" s="27" t="str">
        <f t="shared" si="65"/>
        <v>Cra 1C3 #65-24, chiminangos etapa 1, Cali</v>
      </c>
      <c r="M568" s="142" t="s">
        <v>1906</v>
      </c>
      <c r="N568" s="142" t="s">
        <v>233</v>
      </c>
      <c r="O568" s="33"/>
      <c r="P568" s="33"/>
      <c r="Q568" s="33"/>
      <c r="R568" s="122"/>
      <c r="S568" s="122"/>
      <c r="T568" s="122">
        <v>1.0</v>
      </c>
      <c r="U568" s="22"/>
      <c r="V568" s="22"/>
      <c r="W568" s="22"/>
      <c r="X568" s="22"/>
      <c r="Y568" s="22"/>
      <c r="Z568" s="22"/>
      <c r="AA568" s="22"/>
      <c r="AB568" s="22"/>
      <c r="AD568" s="22"/>
      <c r="AE568" s="22"/>
      <c r="AF568" s="22"/>
      <c r="AG568" s="22"/>
      <c r="AH568" s="22"/>
      <c r="AI568" s="22"/>
      <c r="AJ568" s="22"/>
      <c r="AK568" s="22"/>
      <c r="AL568" s="22"/>
      <c r="AM568" s="22"/>
      <c r="AN568" s="22"/>
      <c r="AO568" s="22"/>
      <c r="AP568" s="22"/>
    </row>
    <row r="569" ht="25.5" customHeight="1">
      <c r="A569" s="198">
        <f t="shared" si="3"/>
        <v>568</v>
      </c>
      <c r="B569" s="198" t="s">
        <v>61</v>
      </c>
      <c r="C569" s="27" t="s">
        <v>279</v>
      </c>
      <c r="D569" s="142" t="s">
        <v>64</v>
      </c>
      <c r="E569" s="33"/>
      <c r="F569" s="30" t="s">
        <v>110</v>
      </c>
      <c r="G569" s="30" t="s">
        <v>176</v>
      </c>
      <c r="H569" s="27" t="s">
        <v>1907</v>
      </c>
      <c r="I569" s="27" t="s">
        <v>286</v>
      </c>
      <c r="J569" s="27" t="s">
        <v>1908</v>
      </c>
      <c r="K569" s="33"/>
      <c r="L569" s="33" t="str">
        <f t="shared" si="65"/>
        <v>Calle 10 #12-39, san nicolas, Cali</v>
      </c>
      <c r="M569" s="154" t="s">
        <v>1899</v>
      </c>
      <c r="N569" s="154" t="s">
        <v>233</v>
      </c>
      <c r="O569" s="33"/>
      <c r="P569" s="33"/>
      <c r="Q569" s="33"/>
      <c r="R569" s="122"/>
      <c r="S569" s="122"/>
      <c r="T569" s="122">
        <v>1.0</v>
      </c>
      <c r="U569" s="22"/>
      <c r="V569" s="22"/>
      <c r="W569" s="22"/>
      <c r="X569" s="22"/>
      <c r="Y569" s="22"/>
      <c r="Z569" s="39" t="s">
        <v>1909</v>
      </c>
      <c r="AA569" s="39"/>
      <c r="AB569" s="39"/>
      <c r="AD569" s="22"/>
      <c r="AE569" s="22"/>
      <c r="AF569" s="22"/>
      <c r="AG569" s="22"/>
      <c r="AH569" s="22"/>
      <c r="AI569" s="22"/>
      <c r="AJ569" s="22"/>
      <c r="AK569" s="22"/>
      <c r="AL569" s="22"/>
      <c r="AM569" s="22"/>
      <c r="AN569" s="22"/>
      <c r="AO569" s="22"/>
      <c r="AP569" s="22"/>
    </row>
    <row r="570" ht="25.5" customHeight="1">
      <c r="A570" s="285">
        <f t="shared" si="3"/>
        <v>569</v>
      </c>
      <c r="B570" s="285" t="s">
        <v>61</v>
      </c>
      <c r="C570" s="39" t="s">
        <v>279</v>
      </c>
      <c r="D570" s="39" t="s">
        <v>515</v>
      </c>
      <c r="E570" s="22"/>
      <c r="F570" s="204" t="s">
        <v>59</v>
      </c>
      <c r="G570" s="204" t="s">
        <v>939</v>
      </c>
      <c r="H570" s="39" t="s">
        <v>394</v>
      </c>
      <c r="I570" s="39" t="s">
        <v>38</v>
      </c>
      <c r="J570" s="39" t="s">
        <v>1910</v>
      </c>
      <c r="K570" s="39" t="s">
        <v>1911</v>
      </c>
      <c r="L570" s="39" t="str">
        <f t="shared" si="65"/>
        <v>Carrera 24c Oeste # 6 - 11, Miraflores, Cali</v>
      </c>
      <c r="M570" s="39" t="s">
        <v>231</v>
      </c>
      <c r="N570" s="39" t="s">
        <v>233</v>
      </c>
      <c r="O570" s="22"/>
      <c r="P570" s="22"/>
      <c r="Q570" s="22"/>
      <c r="R570" s="122"/>
      <c r="S570" s="122"/>
      <c r="T570" s="122">
        <v>1.0</v>
      </c>
      <c r="U570" s="22"/>
      <c r="V570" s="22"/>
      <c r="W570" s="22"/>
      <c r="X570" s="22"/>
      <c r="Y570" s="22"/>
      <c r="Z570" s="22"/>
      <c r="AA570" s="22"/>
      <c r="AB570" s="22"/>
      <c r="AD570" s="22"/>
      <c r="AE570" s="22"/>
      <c r="AF570" s="22"/>
      <c r="AG570" s="22"/>
      <c r="AH570" s="22"/>
      <c r="AI570" s="22"/>
      <c r="AJ570" s="22"/>
      <c r="AK570" s="22"/>
      <c r="AL570" s="22"/>
      <c r="AM570" s="22"/>
      <c r="AN570" s="22"/>
      <c r="AO570" s="22"/>
      <c r="AP570" s="22"/>
    </row>
    <row r="571" ht="25.5" customHeight="1">
      <c r="A571" s="198">
        <f t="shared" si="3"/>
        <v>570</v>
      </c>
      <c r="B571" s="198" t="s">
        <v>61</v>
      </c>
      <c r="C571" s="27" t="s">
        <v>279</v>
      </c>
      <c r="D571" s="142" t="s">
        <v>64</v>
      </c>
      <c r="E571" s="33"/>
      <c r="F571" s="30" t="s">
        <v>121</v>
      </c>
      <c r="G571" s="30" t="s">
        <v>426</v>
      </c>
      <c r="H571" s="27" t="s">
        <v>269</v>
      </c>
      <c r="I571" s="27" t="s">
        <v>286</v>
      </c>
      <c r="J571" s="27" t="s">
        <v>1912</v>
      </c>
      <c r="K571" s="33"/>
      <c r="L571" s="33" t="str">
        <f t="shared" si="65"/>
        <v>Carrera 5L con Calle 39, El troncal, Cali</v>
      </c>
      <c r="M571" s="33" t="s">
        <v>231</v>
      </c>
      <c r="N571" s="33" t="s">
        <v>233</v>
      </c>
      <c r="O571" s="33"/>
      <c r="P571" s="33"/>
      <c r="Q571" s="33"/>
      <c r="R571" s="35"/>
      <c r="S571" s="35"/>
      <c r="T571" s="35">
        <v>1.0</v>
      </c>
      <c r="U571" s="33"/>
      <c r="V571" s="33"/>
      <c r="W571" s="33"/>
      <c r="X571" s="33"/>
      <c r="Y571" s="33"/>
      <c r="Z571" s="27"/>
      <c r="AA571" s="27"/>
      <c r="AB571" s="27"/>
      <c r="AC571" s="98"/>
      <c r="AD571" s="33"/>
      <c r="AE571" s="33"/>
      <c r="AF571" s="33"/>
      <c r="AG571" s="33"/>
      <c r="AH571" s="33"/>
      <c r="AI571" s="33"/>
      <c r="AJ571" s="33"/>
      <c r="AK571" s="33"/>
      <c r="AL571" s="33"/>
      <c r="AM571" s="33"/>
      <c r="AN571" s="33"/>
      <c r="AO571" s="33"/>
      <c r="AP571" s="33"/>
    </row>
    <row r="572" ht="25.5" customHeight="1">
      <c r="A572" s="285">
        <f t="shared" si="3"/>
        <v>571</v>
      </c>
      <c r="B572" s="285" t="s">
        <v>61</v>
      </c>
      <c r="C572" s="39" t="s">
        <v>279</v>
      </c>
      <c r="D572" s="39" t="s">
        <v>515</v>
      </c>
      <c r="E572" s="22"/>
      <c r="F572" s="204" t="s">
        <v>35</v>
      </c>
      <c r="G572" s="204" t="s">
        <v>36</v>
      </c>
      <c r="H572" s="39" t="s">
        <v>255</v>
      </c>
      <c r="I572" s="39" t="s">
        <v>38</v>
      </c>
      <c r="J572" s="39" t="s">
        <v>1913</v>
      </c>
      <c r="K572" s="39" t="s">
        <v>1914</v>
      </c>
      <c r="L572" s="39" t="str">
        <f t="shared" si="65"/>
        <v>Calle 3 # 66 - 38, El Refugio, Cali</v>
      </c>
      <c r="M572" s="39" t="s">
        <v>231</v>
      </c>
      <c r="N572" s="39" t="s">
        <v>233</v>
      </c>
      <c r="O572" s="22"/>
      <c r="P572" s="22"/>
      <c r="Q572" s="22"/>
      <c r="R572" s="122"/>
      <c r="S572" s="122"/>
      <c r="T572" s="122">
        <v>1.0</v>
      </c>
      <c r="U572" s="22"/>
      <c r="V572" s="22"/>
      <c r="W572" s="22"/>
      <c r="X572" s="22"/>
      <c r="Y572" s="22"/>
      <c r="Z572" s="22"/>
      <c r="AA572" s="22"/>
      <c r="AB572" s="22"/>
      <c r="AD572" s="22"/>
      <c r="AE572" s="22"/>
      <c r="AF572" s="22"/>
      <c r="AG572" s="22"/>
      <c r="AH572" s="22"/>
      <c r="AI572" s="22"/>
      <c r="AJ572" s="22"/>
      <c r="AK572" s="22"/>
      <c r="AL572" s="22"/>
      <c r="AM572" s="22"/>
      <c r="AN572" s="22"/>
      <c r="AO572" s="22"/>
      <c r="AP572" s="22"/>
    </row>
    <row r="573" ht="25.5" customHeight="1">
      <c r="A573" s="285">
        <f t="shared" si="3"/>
        <v>572</v>
      </c>
      <c r="B573" s="285" t="s">
        <v>61</v>
      </c>
      <c r="C573" s="39" t="s">
        <v>279</v>
      </c>
      <c r="D573" s="39" t="s">
        <v>515</v>
      </c>
      <c r="E573" s="22"/>
      <c r="F573" s="204" t="s">
        <v>35</v>
      </c>
      <c r="G573" s="204" t="s">
        <v>36</v>
      </c>
      <c r="H573" s="39" t="s">
        <v>1452</v>
      </c>
      <c r="I573" s="39" t="s">
        <v>38</v>
      </c>
      <c r="J573" s="39" t="s">
        <v>1915</v>
      </c>
      <c r="K573" s="39" t="s">
        <v>1916</v>
      </c>
      <c r="L573" s="39" t="str">
        <f t="shared" si="65"/>
        <v>Calle 3 D # 66B-42, el refugio, Cali</v>
      </c>
      <c r="M573" s="6" t="s">
        <v>1917</v>
      </c>
      <c r="N573" s="6" t="s">
        <v>233</v>
      </c>
      <c r="O573" s="22"/>
      <c r="P573" s="22"/>
      <c r="Q573" s="22"/>
      <c r="R573" s="122"/>
      <c r="S573" s="122"/>
      <c r="T573" s="122">
        <v>1.0</v>
      </c>
      <c r="U573" s="22"/>
      <c r="V573" s="22"/>
      <c r="W573" s="22"/>
      <c r="X573" s="22"/>
      <c r="Y573" s="22"/>
      <c r="Z573" s="22"/>
      <c r="AA573" s="22"/>
      <c r="AB573" s="22"/>
      <c r="AD573" s="22"/>
      <c r="AE573" s="22"/>
      <c r="AF573" s="22"/>
      <c r="AG573" s="22"/>
      <c r="AH573" s="22"/>
      <c r="AI573" s="22"/>
      <c r="AJ573" s="22"/>
      <c r="AK573" s="22"/>
      <c r="AL573" s="22"/>
      <c r="AM573" s="22"/>
      <c r="AN573" s="22"/>
      <c r="AO573" s="22"/>
      <c r="AP573" s="22"/>
    </row>
    <row r="574" ht="25.5" customHeight="1">
      <c r="A574" s="198">
        <f t="shared" si="3"/>
        <v>573</v>
      </c>
      <c r="B574" s="198" t="s">
        <v>61</v>
      </c>
      <c r="C574" s="142" t="s">
        <v>63</v>
      </c>
      <c r="D574" s="142" t="s">
        <v>64</v>
      </c>
      <c r="E574" s="33"/>
      <c r="F574" s="284" t="s">
        <v>87</v>
      </c>
      <c r="G574" s="30" t="s">
        <v>1875</v>
      </c>
      <c r="H574" s="27" t="s">
        <v>1918</v>
      </c>
      <c r="I574" s="27" t="s">
        <v>38</v>
      </c>
      <c r="J574" s="27" t="s">
        <v>1919</v>
      </c>
      <c r="K574" s="27" t="s">
        <v>1920</v>
      </c>
      <c r="L574" s="27" t="str">
        <f t="shared" si="65"/>
        <v>Calle 2B # 94-10, el Jordan, Cali</v>
      </c>
      <c r="M574" s="142" t="s">
        <v>1921</v>
      </c>
      <c r="N574" s="142" t="s">
        <v>233</v>
      </c>
      <c r="O574" s="33"/>
      <c r="P574" s="33"/>
      <c r="Q574" s="27" t="s">
        <v>81</v>
      </c>
      <c r="R574" s="30"/>
      <c r="S574" s="30"/>
      <c r="T574" s="30">
        <v>1.0</v>
      </c>
      <c r="U574" s="33"/>
      <c r="V574" s="33"/>
      <c r="W574" s="33"/>
      <c r="X574" s="33"/>
      <c r="Y574" s="33"/>
      <c r="Z574" s="33"/>
      <c r="AA574" s="33"/>
      <c r="AB574" s="33"/>
      <c r="AD574" s="22"/>
      <c r="AE574" s="22"/>
      <c r="AF574" s="22"/>
      <c r="AG574" s="22"/>
      <c r="AH574" s="22"/>
      <c r="AI574" s="22"/>
      <c r="AJ574" s="22"/>
      <c r="AK574" s="22"/>
      <c r="AL574" s="22"/>
      <c r="AM574" s="22"/>
      <c r="AN574" s="22"/>
      <c r="AO574" s="22"/>
      <c r="AP574" s="22"/>
    </row>
    <row r="575" ht="25.5" customHeight="1">
      <c r="A575" s="285">
        <f t="shared" si="3"/>
        <v>574</v>
      </c>
      <c r="B575" s="285" t="s">
        <v>61</v>
      </c>
      <c r="C575" s="39" t="s">
        <v>279</v>
      </c>
      <c r="D575" s="39" t="s">
        <v>515</v>
      </c>
      <c r="E575" s="22"/>
      <c r="F575" s="122" t="s">
        <v>60</v>
      </c>
      <c r="G575" s="204" t="s">
        <v>36</v>
      </c>
      <c r="H575" s="39" t="s">
        <v>386</v>
      </c>
      <c r="I575" s="39" t="s">
        <v>38</v>
      </c>
      <c r="J575" s="39" t="s">
        <v>1922</v>
      </c>
      <c r="K575" s="39" t="s">
        <v>1923</v>
      </c>
      <c r="L575" s="39" t="str">
        <f t="shared" si="65"/>
        <v>Carrera 86A#5-10, Mayapan - Las Vegas, Cali</v>
      </c>
      <c r="M575" s="6" t="s">
        <v>1924</v>
      </c>
      <c r="N575" s="6" t="s">
        <v>233</v>
      </c>
      <c r="O575" s="22"/>
      <c r="P575" s="22"/>
      <c r="Q575" s="22"/>
      <c r="R575" s="122"/>
      <c r="S575" s="122"/>
      <c r="T575" s="122">
        <v>1.0</v>
      </c>
      <c r="U575" s="22"/>
      <c r="V575" s="22"/>
      <c r="W575" s="22"/>
      <c r="X575" s="22"/>
      <c r="Y575" s="22"/>
      <c r="Z575" s="39" t="s">
        <v>1925</v>
      </c>
      <c r="AA575" s="39"/>
      <c r="AB575" s="39"/>
      <c r="AD575" s="22"/>
      <c r="AE575" s="22"/>
      <c r="AF575" s="22"/>
      <c r="AG575" s="22"/>
      <c r="AH575" s="22"/>
      <c r="AI575" s="22"/>
      <c r="AJ575" s="22"/>
      <c r="AK575" s="22"/>
      <c r="AL575" s="22"/>
      <c r="AM575" s="22"/>
      <c r="AN575" s="22"/>
      <c r="AO575" s="22"/>
      <c r="AP575" s="22"/>
    </row>
    <row r="576" ht="25.5" customHeight="1">
      <c r="A576" s="198">
        <f t="shared" si="3"/>
        <v>575</v>
      </c>
      <c r="B576" s="198" t="s">
        <v>61</v>
      </c>
      <c r="C576" s="27" t="s">
        <v>279</v>
      </c>
      <c r="D576" s="142" t="s">
        <v>64</v>
      </c>
      <c r="E576" s="33"/>
      <c r="F576" s="30" t="s">
        <v>116</v>
      </c>
      <c r="G576" s="30" t="s">
        <v>350</v>
      </c>
      <c r="H576" s="27" t="s">
        <v>183</v>
      </c>
      <c r="I576" s="27" t="s">
        <v>38</v>
      </c>
      <c r="J576" s="27" t="s">
        <v>1926</v>
      </c>
      <c r="K576" s="27" t="s">
        <v>1927</v>
      </c>
      <c r="L576" s="27" t="str">
        <f t="shared" si="65"/>
        <v>Cr 1c bis 67-42, chiminangos, Cali</v>
      </c>
      <c r="M576" s="154" t="s">
        <v>1906</v>
      </c>
      <c r="N576" s="154" t="s">
        <v>233</v>
      </c>
      <c r="O576" s="33"/>
      <c r="P576" s="33"/>
      <c r="Q576" s="33"/>
      <c r="R576" s="35"/>
      <c r="S576" s="35"/>
      <c r="T576" s="35">
        <v>1.0</v>
      </c>
      <c r="U576" s="33"/>
      <c r="V576" s="33"/>
      <c r="W576" s="33"/>
      <c r="X576" s="33"/>
      <c r="Y576" s="33"/>
      <c r="Z576" s="33"/>
      <c r="AA576" s="33"/>
      <c r="AB576" s="33"/>
      <c r="AC576" s="98"/>
      <c r="AD576" s="33"/>
      <c r="AE576" s="33"/>
      <c r="AF576" s="33"/>
      <c r="AG576" s="33"/>
      <c r="AH576" s="33"/>
      <c r="AI576" s="33"/>
      <c r="AJ576" s="33"/>
      <c r="AK576" s="33"/>
      <c r="AL576" s="33"/>
      <c r="AM576" s="33"/>
      <c r="AN576" s="33"/>
      <c r="AO576" s="33"/>
      <c r="AP576" s="33"/>
    </row>
    <row r="577" ht="25.5" customHeight="1">
      <c r="A577" s="198">
        <f t="shared" si="3"/>
        <v>576</v>
      </c>
      <c r="B577" s="198" t="s">
        <v>61</v>
      </c>
      <c r="C577" s="27" t="s">
        <v>279</v>
      </c>
      <c r="D577" s="142" t="s">
        <v>64</v>
      </c>
      <c r="E577" s="33"/>
      <c r="F577" s="30" t="s">
        <v>88</v>
      </c>
      <c r="G577" s="30" t="s">
        <v>426</v>
      </c>
      <c r="H577" s="27" t="s">
        <v>450</v>
      </c>
      <c r="I577" s="27" t="s">
        <v>286</v>
      </c>
      <c r="J577" s="27" t="s">
        <v>1928</v>
      </c>
      <c r="K577" s="27"/>
      <c r="L577" s="27" t="str">
        <f t="shared" si="65"/>
        <v>Carrera 35 #29 - 74, San Carlos, Cali</v>
      </c>
      <c r="M577" s="27" t="s">
        <v>231</v>
      </c>
      <c r="N577" s="27" t="s">
        <v>233</v>
      </c>
      <c r="O577" s="33"/>
      <c r="P577" s="33"/>
      <c r="Q577" s="33"/>
      <c r="R577" s="35"/>
      <c r="S577" s="35"/>
      <c r="T577" s="35">
        <v>1.0</v>
      </c>
      <c r="U577" s="33"/>
      <c r="V577" s="33"/>
      <c r="W577" s="33"/>
      <c r="X577" s="33"/>
      <c r="Y577" s="33"/>
      <c r="Z577" s="33"/>
      <c r="AA577" s="33"/>
      <c r="AB577" s="33"/>
      <c r="AC577" s="98"/>
      <c r="AD577" s="33"/>
      <c r="AE577" s="33"/>
      <c r="AF577" s="33"/>
      <c r="AG577" s="33"/>
      <c r="AH577" s="33"/>
      <c r="AI577" s="33"/>
      <c r="AJ577" s="33"/>
      <c r="AK577" s="33"/>
      <c r="AL577" s="33"/>
      <c r="AM577" s="33"/>
      <c r="AN577" s="33"/>
      <c r="AO577" s="33"/>
      <c r="AP577" s="33"/>
    </row>
    <row r="578" ht="25.5" customHeight="1">
      <c r="A578" s="198">
        <f t="shared" si="3"/>
        <v>577</v>
      </c>
      <c r="B578" s="198" t="s">
        <v>61</v>
      </c>
      <c r="C578" s="142" t="s">
        <v>63</v>
      </c>
      <c r="D578" s="142" t="s">
        <v>64</v>
      </c>
      <c r="E578" s="33"/>
      <c r="F578" s="284" t="s">
        <v>76</v>
      </c>
      <c r="G578" s="284" t="s">
        <v>350</v>
      </c>
      <c r="H578" s="27" t="s">
        <v>432</v>
      </c>
      <c r="I578" s="27" t="s">
        <v>38</v>
      </c>
      <c r="J578" s="27" t="s">
        <v>1929</v>
      </c>
      <c r="K578" s="27" t="s">
        <v>1930</v>
      </c>
      <c r="L578" s="27" t="str">
        <f t="shared" si="65"/>
        <v>Calle 38A Norte – Av. 2B Norte, Prados del Norte, Cali</v>
      </c>
      <c r="M578" s="27" t="s">
        <v>231</v>
      </c>
      <c r="N578" s="27" t="s">
        <v>233</v>
      </c>
      <c r="O578" s="33"/>
      <c r="P578" s="33"/>
      <c r="Q578" s="27" t="s">
        <v>81</v>
      </c>
      <c r="R578" s="30"/>
      <c r="S578" s="30"/>
      <c r="T578" s="30">
        <v>1.0</v>
      </c>
      <c r="U578" s="33"/>
      <c r="V578" s="33"/>
      <c r="W578" s="33"/>
      <c r="X578" s="33"/>
      <c r="Y578" s="33"/>
      <c r="Z578" s="33"/>
      <c r="AA578" s="33"/>
      <c r="AB578" s="33"/>
      <c r="AD578" s="22"/>
      <c r="AE578" s="22"/>
      <c r="AF578" s="22"/>
      <c r="AG578" s="22"/>
      <c r="AH578" s="22"/>
      <c r="AI578" s="22"/>
      <c r="AJ578" s="22"/>
      <c r="AK578" s="22"/>
      <c r="AL578" s="22"/>
      <c r="AM578" s="22"/>
      <c r="AN578" s="22"/>
      <c r="AO578" s="22"/>
      <c r="AP578" s="22"/>
    </row>
    <row r="579" ht="25.5" customHeight="1">
      <c r="A579" s="285">
        <f t="shared" si="3"/>
        <v>578</v>
      </c>
      <c r="B579" s="285" t="s">
        <v>61</v>
      </c>
      <c r="C579" s="39" t="s">
        <v>279</v>
      </c>
      <c r="D579" s="39" t="s">
        <v>515</v>
      </c>
      <c r="E579" s="22"/>
      <c r="F579" s="204" t="s">
        <v>35</v>
      </c>
      <c r="G579" s="204" t="s">
        <v>36</v>
      </c>
      <c r="H579" s="39" t="s">
        <v>1396</v>
      </c>
      <c r="I579" s="39" t="s">
        <v>38</v>
      </c>
      <c r="J579" s="39" t="s">
        <v>1931</v>
      </c>
      <c r="K579" s="39" t="s">
        <v>1932</v>
      </c>
      <c r="L579" s="39" t="str">
        <f t="shared" si="65"/>
        <v>Calle 5 # 45A-125, tequendama, Cali</v>
      </c>
      <c r="M579" s="6" t="s">
        <v>1933</v>
      </c>
      <c r="N579" s="6" t="s">
        <v>233</v>
      </c>
      <c r="O579" s="22"/>
      <c r="P579" s="22"/>
      <c r="Q579" s="22"/>
      <c r="R579" s="122"/>
      <c r="S579" s="122"/>
      <c r="T579" s="122">
        <v>1.0</v>
      </c>
      <c r="U579" s="22"/>
      <c r="V579" s="22"/>
      <c r="W579" s="22"/>
      <c r="X579" s="22"/>
      <c r="Y579" s="22"/>
      <c r="Z579" s="22"/>
      <c r="AA579" s="22"/>
      <c r="AB579" s="22"/>
      <c r="AD579" s="22"/>
      <c r="AE579" s="22"/>
      <c r="AF579" s="22"/>
      <c r="AG579" s="22"/>
      <c r="AH579" s="22"/>
      <c r="AI579" s="22"/>
      <c r="AJ579" s="22"/>
      <c r="AK579" s="22"/>
      <c r="AL579" s="22"/>
      <c r="AM579" s="22"/>
      <c r="AN579" s="22"/>
      <c r="AO579" s="22"/>
      <c r="AP579" s="22"/>
    </row>
    <row r="580" ht="25.5" customHeight="1">
      <c r="A580" s="198">
        <f t="shared" si="3"/>
        <v>579</v>
      </c>
      <c r="B580" s="198" t="s">
        <v>61</v>
      </c>
      <c r="C580" s="142" t="s">
        <v>63</v>
      </c>
      <c r="D580" s="142" t="s">
        <v>64</v>
      </c>
      <c r="E580" s="33"/>
      <c r="F580" s="284" t="s">
        <v>76</v>
      </c>
      <c r="G580" s="284" t="s">
        <v>350</v>
      </c>
      <c r="H580" s="27" t="s">
        <v>145</v>
      </c>
      <c r="I580" s="27" t="s">
        <v>38</v>
      </c>
      <c r="J580" s="27" t="s">
        <v>1934</v>
      </c>
      <c r="K580" s="27" t="s">
        <v>1935</v>
      </c>
      <c r="L580" s="27" t="str">
        <f t="shared" si="65"/>
        <v>Av. 2 B2 Norte 73-151, Brisas de los Alamos, Cali</v>
      </c>
      <c r="M580" s="154" t="s">
        <v>1936</v>
      </c>
      <c r="N580" s="154" t="s">
        <v>233</v>
      </c>
      <c r="O580" s="33"/>
      <c r="P580" s="33"/>
      <c r="Q580" s="27" t="s">
        <v>81</v>
      </c>
      <c r="R580" s="30"/>
      <c r="S580" s="30"/>
      <c r="T580" s="30">
        <v>1.0</v>
      </c>
      <c r="U580" s="33"/>
      <c r="V580" s="33"/>
      <c r="W580" s="33"/>
      <c r="X580" s="33"/>
      <c r="Y580" s="33"/>
      <c r="Z580" s="27" t="s">
        <v>1937</v>
      </c>
      <c r="AA580" s="27"/>
      <c r="AB580" s="27"/>
      <c r="AD580" s="22"/>
      <c r="AE580" s="22"/>
      <c r="AF580" s="22"/>
      <c r="AG580" s="22"/>
      <c r="AH580" s="22"/>
      <c r="AI580" s="22"/>
      <c r="AJ580" s="22"/>
      <c r="AK580" s="22"/>
      <c r="AL580" s="22"/>
      <c r="AM580" s="22"/>
      <c r="AN580" s="22"/>
      <c r="AO580" s="22"/>
      <c r="AP580" s="22"/>
    </row>
    <row r="581" ht="25.5" customHeight="1">
      <c r="A581" s="198">
        <f t="shared" si="3"/>
        <v>580</v>
      </c>
      <c r="B581" s="198" t="s">
        <v>61</v>
      </c>
      <c r="C581" s="142" t="s">
        <v>63</v>
      </c>
      <c r="D581" s="142" t="s">
        <v>64</v>
      </c>
      <c r="E581" s="33"/>
      <c r="F581" s="284" t="s">
        <v>76</v>
      </c>
      <c r="G581" s="284" t="s">
        <v>350</v>
      </c>
      <c r="H581" s="27" t="s">
        <v>1612</v>
      </c>
      <c r="I581" s="27" t="s">
        <v>38</v>
      </c>
      <c r="J581" s="27" t="s">
        <v>1938</v>
      </c>
      <c r="K581" s="33"/>
      <c r="L581" s="33" t="str">
        <f t="shared" si="65"/>
        <v>Calle 38 Norte con Avenida 2E Norte, La flora, Cali</v>
      </c>
      <c r="M581" s="33" t="s">
        <v>231</v>
      </c>
      <c r="N581" s="33" t="s">
        <v>233</v>
      </c>
      <c r="O581" s="33"/>
      <c r="P581" s="33"/>
      <c r="Q581" s="27" t="s">
        <v>81</v>
      </c>
      <c r="R581" s="30"/>
      <c r="S581" s="30"/>
      <c r="T581" s="30">
        <v>1.0</v>
      </c>
      <c r="U581" s="33"/>
      <c r="V581" s="33"/>
      <c r="W581" s="33"/>
      <c r="X581" s="33"/>
      <c r="Y581" s="33"/>
      <c r="Z581" s="33"/>
      <c r="AA581" s="33"/>
      <c r="AB581" s="33"/>
      <c r="AD581" s="22"/>
      <c r="AE581" s="22"/>
      <c r="AF581" s="22"/>
      <c r="AG581" s="22"/>
      <c r="AH581" s="22"/>
      <c r="AI581" s="22"/>
      <c r="AJ581" s="22"/>
      <c r="AK581" s="22"/>
      <c r="AL581" s="22"/>
      <c r="AM581" s="22"/>
      <c r="AN581" s="22"/>
      <c r="AO581" s="22"/>
      <c r="AP581" s="22"/>
    </row>
    <row r="582" ht="25.5" customHeight="1">
      <c r="A582" s="198">
        <f t="shared" si="3"/>
        <v>581</v>
      </c>
      <c r="B582" s="198" t="s">
        <v>61</v>
      </c>
      <c r="C582" s="27" t="s">
        <v>279</v>
      </c>
      <c r="D582" s="142" t="s">
        <v>64</v>
      </c>
      <c r="E582" s="33"/>
      <c r="F582" s="30" t="s">
        <v>88</v>
      </c>
      <c r="G582" s="30" t="s">
        <v>426</v>
      </c>
      <c r="H582" s="27" t="s">
        <v>320</v>
      </c>
      <c r="I582" s="27" t="s">
        <v>286</v>
      </c>
      <c r="J582" s="27" t="s">
        <v>1939</v>
      </c>
      <c r="K582" s="27" t="s">
        <v>1940</v>
      </c>
      <c r="L582" s="27" t="str">
        <f t="shared" si="65"/>
        <v>Carrera 34 # 25 -42, La Esperanza, Cali</v>
      </c>
      <c r="M582" s="154" t="s">
        <v>1941</v>
      </c>
      <c r="N582" s="154" t="s">
        <v>233</v>
      </c>
      <c r="O582" s="33"/>
      <c r="P582" s="33"/>
      <c r="Q582" s="33"/>
      <c r="R582" s="35"/>
      <c r="S582" s="35"/>
      <c r="T582" s="35">
        <v>1.0</v>
      </c>
      <c r="U582" s="33"/>
      <c r="V582" s="33"/>
      <c r="W582" s="33"/>
      <c r="X582" s="33"/>
      <c r="Y582" s="33"/>
      <c r="Z582" s="33"/>
      <c r="AA582" s="33"/>
      <c r="AB582" s="33"/>
      <c r="AC582" s="98"/>
      <c r="AD582" s="33"/>
      <c r="AE582" s="33"/>
      <c r="AF582" s="33"/>
      <c r="AG582" s="33"/>
      <c r="AH582" s="33"/>
      <c r="AI582" s="33"/>
      <c r="AJ582" s="33"/>
      <c r="AK582" s="33"/>
      <c r="AL582" s="33"/>
      <c r="AM582" s="33"/>
      <c r="AN582" s="33"/>
      <c r="AO582" s="33"/>
      <c r="AP582" s="33"/>
    </row>
    <row r="583" ht="25.5" customHeight="1">
      <c r="A583" s="285">
        <f t="shared" si="3"/>
        <v>582</v>
      </c>
      <c r="B583" s="285" t="s">
        <v>61</v>
      </c>
      <c r="C583" s="39" t="s">
        <v>279</v>
      </c>
      <c r="D583" s="39" t="s">
        <v>515</v>
      </c>
      <c r="E583" s="22"/>
      <c r="F583" s="204" t="s">
        <v>98</v>
      </c>
      <c r="G583" s="204" t="s">
        <v>443</v>
      </c>
      <c r="H583" s="39" t="s">
        <v>443</v>
      </c>
      <c r="I583" s="39" t="s">
        <v>286</v>
      </c>
      <c r="J583" s="39" t="s">
        <v>1942</v>
      </c>
      <c r="K583" s="39" t="s">
        <v>1943</v>
      </c>
      <c r="L583" s="39" t="str">
        <f t="shared" si="65"/>
        <v>Kilómetro 4 via la buitrera, Rural, Cali</v>
      </c>
      <c r="M583" s="39" t="s">
        <v>231</v>
      </c>
      <c r="N583" s="39" t="s">
        <v>233</v>
      </c>
      <c r="O583" s="22"/>
      <c r="P583" s="22"/>
      <c r="Q583" s="22"/>
      <c r="R583" s="122"/>
      <c r="S583" s="122"/>
      <c r="T583" s="122">
        <v>1.0</v>
      </c>
      <c r="U583" s="22"/>
      <c r="V583" s="22"/>
      <c r="W583" s="22"/>
      <c r="X583" s="22"/>
      <c r="Y583" s="22"/>
      <c r="Z583" s="22"/>
      <c r="AA583" s="22"/>
      <c r="AB583" s="22"/>
      <c r="AD583" s="22"/>
      <c r="AE583" s="22"/>
      <c r="AF583" s="22"/>
      <c r="AG583" s="22"/>
      <c r="AH583" s="22"/>
      <c r="AI583" s="22"/>
      <c r="AJ583" s="22"/>
      <c r="AK583" s="22"/>
      <c r="AL583" s="22"/>
      <c r="AM583" s="22"/>
      <c r="AN583" s="22"/>
      <c r="AO583" s="22"/>
      <c r="AP583" s="22"/>
    </row>
    <row r="584" ht="25.5" customHeight="1">
      <c r="A584" s="289">
        <f t="shared" si="3"/>
        <v>583</v>
      </c>
      <c r="B584" s="289" t="s">
        <v>61</v>
      </c>
      <c r="C584" s="84" t="s">
        <v>33</v>
      </c>
      <c r="D584" s="84" t="s">
        <v>223</v>
      </c>
      <c r="E584" s="93"/>
      <c r="F584" s="88" t="s">
        <v>35</v>
      </c>
      <c r="G584" s="88" t="s">
        <v>36</v>
      </c>
      <c r="H584" s="84" t="s">
        <v>1339</v>
      </c>
      <c r="I584" s="84" t="s">
        <v>38</v>
      </c>
      <c r="J584" s="290" t="s">
        <v>1944</v>
      </c>
      <c r="K584" s="93"/>
      <c r="L584" s="93" t="str">
        <f t="shared" si="65"/>
        <v>Calle 5B2 con Carrera 36A Edificio el Estadio, San fernando, Cali</v>
      </c>
      <c r="M584" s="172" t="s">
        <v>231</v>
      </c>
      <c r="N584" s="172" t="s">
        <v>642</v>
      </c>
      <c r="O584" s="84" t="s">
        <v>46</v>
      </c>
      <c r="P584" s="93"/>
      <c r="Q584" s="93"/>
      <c r="R584" s="92"/>
      <c r="S584" s="92"/>
      <c r="T584" s="92">
        <v>1.0</v>
      </c>
      <c r="U584" s="93"/>
      <c r="V584" s="93"/>
      <c r="W584" s="93"/>
      <c r="X584" s="93"/>
      <c r="Y584" s="291" t="s">
        <v>1945</v>
      </c>
      <c r="Z584" s="84" t="s">
        <v>1946</v>
      </c>
      <c r="AA584" s="84"/>
      <c r="AB584" s="84"/>
      <c r="AD584" s="22"/>
      <c r="AE584" s="22"/>
      <c r="AF584" s="22"/>
      <c r="AG584" s="22"/>
      <c r="AH584" s="22"/>
      <c r="AI584" s="22"/>
      <c r="AJ584" s="22"/>
      <c r="AK584" s="22"/>
      <c r="AL584" s="22"/>
      <c r="AM584" s="22"/>
      <c r="AN584" s="22"/>
      <c r="AO584" s="22"/>
      <c r="AP584" s="22"/>
    </row>
    <row r="585" ht="25.5" customHeight="1">
      <c r="A585" s="198">
        <f t="shared" si="3"/>
        <v>584</v>
      </c>
      <c r="B585" s="198" t="s">
        <v>61</v>
      </c>
      <c r="C585" s="142" t="s">
        <v>63</v>
      </c>
      <c r="D585" s="142" t="s">
        <v>64</v>
      </c>
      <c r="E585" s="33"/>
      <c r="F585" s="284" t="s">
        <v>76</v>
      </c>
      <c r="G585" s="284" t="s">
        <v>350</v>
      </c>
      <c r="H585" s="27" t="s">
        <v>321</v>
      </c>
      <c r="I585" s="27" t="s">
        <v>38</v>
      </c>
      <c r="J585" s="27" t="s">
        <v>1947</v>
      </c>
      <c r="K585" s="27" t="s">
        <v>1948</v>
      </c>
      <c r="L585" s="27" t="str">
        <f t="shared" si="65"/>
        <v>Avenida 3 # 37 -26, La Flora, Cali</v>
      </c>
      <c r="M585" s="27" t="s">
        <v>231</v>
      </c>
      <c r="N585" s="27" t="s">
        <v>233</v>
      </c>
      <c r="O585" s="33"/>
      <c r="P585" s="33"/>
      <c r="Q585" s="27" t="s">
        <v>81</v>
      </c>
      <c r="R585" s="30"/>
      <c r="S585" s="30"/>
      <c r="T585" s="30">
        <v>1.0</v>
      </c>
      <c r="U585" s="33"/>
      <c r="V585" s="33"/>
      <c r="W585" s="33"/>
      <c r="X585" s="33"/>
      <c r="Y585" s="33"/>
      <c r="Z585" s="33"/>
      <c r="AA585" s="33"/>
      <c r="AB585" s="33"/>
      <c r="AD585" s="22"/>
      <c r="AE585" s="22"/>
      <c r="AF585" s="22"/>
      <c r="AG585" s="22"/>
      <c r="AH585" s="22"/>
      <c r="AI585" s="22"/>
      <c r="AJ585" s="22"/>
      <c r="AK585" s="22"/>
      <c r="AL585" s="22"/>
      <c r="AM585" s="22"/>
      <c r="AN585" s="22"/>
      <c r="AO585" s="22"/>
      <c r="AP585" s="22"/>
    </row>
    <row r="586" ht="25.5" customHeight="1">
      <c r="A586" s="198">
        <f t="shared" si="3"/>
        <v>585</v>
      </c>
      <c r="B586" s="198" t="s">
        <v>61</v>
      </c>
      <c r="C586" s="27" t="s">
        <v>63</v>
      </c>
      <c r="D586" s="27" t="s">
        <v>64</v>
      </c>
      <c r="E586" s="33"/>
      <c r="F586" s="30" t="s">
        <v>76</v>
      </c>
      <c r="G586" s="30" t="s">
        <v>350</v>
      </c>
      <c r="H586" s="27" t="s">
        <v>432</v>
      </c>
      <c r="I586" s="27" t="s">
        <v>286</v>
      </c>
      <c r="J586" s="27" t="s">
        <v>1949</v>
      </c>
      <c r="K586" s="33"/>
      <c r="L586" s="33" t="str">
        <f t="shared" si="65"/>
        <v>Avenida 3 # 35N - 76, Prados del Norte, Cali</v>
      </c>
      <c r="M586" s="33" t="s">
        <v>231</v>
      </c>
      <c r="N586" s="33" t="s">
        <v>233</v>
      </c>
      <c r="O586" s="33"/>
      <c r="P586" s="33"/>
      <c r="Q586" s="27" t="s">
        <v>81</v>
      </c>
      <c r="R586" s="30"/>
      <c r="S586" s="30"/>
      <c r="T586" s="30">
        <v>1.0</v>
      </c>
      <c r="U586" s="33"/>
      <c r="V586" s="33"/>
      <c r="W586" s="33"/>
      <c r="X586" s="33"/>
      <c r="Y586" s="33"/>
      <c r="Z586" s="33"/>
      <c r="AA586" s="33"/>
      <c r="AB586" s="33"/>
      <c r="AD586" s="22"/>
      <c r="AE586" s="22"/>
      <c r="AF586" s="22"/>
      <c r="AG586" s="22"/>
      <c r="AH586" s="22"/>
      <c r="AI586" s="22"/>
      <c r="AJ586" s="22"/>
      <c r="AK586" s="22"/>
      <c r="AL586" s="22"/>
      <c r="AM586" s="22"/>
      <c r="AN586" s="22"/>
      <c r="AO586" s="22"/>
      <c r="AP586" s="22"/>
    </row>
    <row r="587" ht="25.5" customHeight="1">
      <c r="A587" s="198">
        <f t="shared" si="3"/>
        <v>586</v>
      </c>
      <c r="B587" s="198" t="s">
        <v>61</v>
      </c>
      <c r="C587" s="27" t="s">
        <v>279</v>
      </c>
      <c r="D587" s="27" t="s">
        <v>64</v>
      </c>
      <c r="E587" s="258" t="str">
        <f>IF(OR($B587="ALTA",AND(ISNUMBER($W587),$W587&gt;0),AND($U587&lt;&gt;"",$U587&lt;&gt;"NO")),"SI","")</f>
        <v/>
      </c>
      <c r="F587" s="30" t="s">
        <v>76</v>
      </c>
      <c r="G587" s="30" t="s">
        <v>350</v>
      </c>
      <c r="H587" s="27" t="s">
        <v>321</v>
      </c>
      <c r="I587" s="27" t="s">
        <v>38</v>
      </c>
      <c r="J587" s="27" t="s">
        <v>1950</v>
      </c>
      <c r="K587" s="292" t="s">
        <v>1951</v>
      </c>
      <c r="L587" s="293" t="str">
        <f t="shared" si="65"/>
        <v>Av. 6 con Calle 44, esquina – Edificio A Caner Llanera, La Flora, Cali</v>
      </c>
      <c r="M587" s="293" t="s">
        <v>231</v>
      </c>
      <c r="N587" s="293" t="s">
        <v>233</v>
      </c>
      <c r="O587" s="33"/>
      <c r="P587" s="33"/>
      <c r="Q587" s="33"/>
      <c r="R587" s="35"/>
      <c r="S587" s="35"/>
      <c r="T587" s="35">
        <v>1.0</v>
      </c>
      <c r="U587" s="33"/>
      <c r="V587" s="33"/>
      <c r="W587" s="33"/>
      <c r="X587" s="33"/>
      <c r="Y587" s="33"/>
      <c r="Z587" s="33"/>
      <c r="AA587" s="33"/>
      <c r="AB587" s="33"/>
      <c r="AC587" s="98"/>
      <c r="AD587" s="33"/>
      <c r="AE587" s="33"/>
      <c r="AF587" s="33"/>
      <c r="AG587" s="33"/>
      <c r="AH587" s="33"/>
      <c r="AI587" s="33"/>
      <c r="AJ587" s="33"/>
      <c r="AK587" s="33"/>
      <c r="AL587" s="33"/>
      <c r="AM587" s="33"/>
      <c r="AN587" s="33"/>
      <c r="AO587" s="33"/>
      <c r="AP587" s="33"/>
    </row>
    <row r="588" ht="25.5" customHeight="1">
      <c r="A588" s="285">
        <f t="shared" si="3"/>
        <v>587</v>
      </c>
      <c r="B588" s="285" t="s">
        <v>61</v>
      </c>
      <c r="C588" s="39" t="s">
        <v>279</v>
      </c>
      <c r="D588" s="39" t="s">
        <v>515</v>
      </c>
      <c r="E588" s="22"/>
      <c r="F588" s="204" t="s">
        <v>35</v>
      </c>
      <c r="G588" s="204" t="s">
        <v>36</v>
      </c>
      <c r="H588" s="39" t="s">
        <v>1396</v>
      </c>
      <c r="I588" s="39" t="s">
        <v>639</v>
      </c>
      <c r="J588" s="39" t="s">
        <v>1952</v>
      </c>
      <c r="K588" s="39" t="s">
        <v>1953</v>
      </c>
      <c r="L588" s="39" t="str">
        <f t="shared" si="65"/>
        <v>CRA 39 # 5B-22, tequendama, Cali</v>
      </c>
      <c r="M588" s="294" t="s">
        <v>1954</v>
      </c>
      <c r="N588" s="294" t="s">
        <v>233</v>
      </c>
      <c r="O588" s="22"/>
      <c r="P588" s="22"/>
      <c r="Q588" s="22"/>
      <c r="R588" s="122"/>
      <c r="S588" s="122"/>
      <c r="T588" s="122">
        <v>1.0</v>
      </c>
      <c r="U588" s="22"/>
      <c r="V588" s="22"/>
      <c r="W588" s="22"/>
      <c r="X588" s="22"/>
      <c r="Y588" s="22"/>
      <c r="Z588" s="22"/>
      <c r="AA588" s="22"/>
      <c r="AB588" s="22"/>
      <c r="AD588" s="22"/>
      <c r="AE588" s="22"/>
      <c r="AF588" s="22"/>
      <c r="AG588" s="22"/>
      <c r="AH588" s="22"/>
      <c r="AI588" s="22"/>
      <c r="AJ588" s="22"/>
      <c r="AK588" s="22"/>
      <c r="AL588" s="22"/>
      <c r="AM588" s="22"/>
      <c r="AN588" s="22"/>
      <c r="AO588" s="22"/>
      <c r="AP588" s="22"/>
    </row>
    <row r="589" ht="25.5" customHeight="1">
      <c r="A589" s="285">
        <f t="shared" si="3"/>
        <v>588</v>
      </c>
      <c r="B589" s="285" t="s">
        <v>61</v>
      </c>
      <c r="C589" s="39" t="s">
        <v>279</v>
      </c>
      <c r="D589" s="39" t="s">
        <v>515</v>
      </c>
      <c r="E589" s="22"/>
      <c r="F589" s="204" t="s">
        <v>282</v>
      </c>
      <c r="G589" s="204" t="s">
        <v>443</v>
      </c>
      <c r="H589" s="39" t="s">
        <v>443</v>
      </c>
      <c r="I589" s="39" t="s">
        <v>1955</v>
      </c>
      <c r="J589" s="295" t="s">
        <v>1956</v>
      </c>
      <c r="K589" s="22"/>
      <c r="L589" s="22" t="str">
        <f t="shared" si="65"/>
        <v>Corregimiento La Paz, Via Golondrinas,https://maps.app.goo.gl/tdiqNxax5rBKegBK7, Rural, Cali</v>
      </c>
      <c r="M589" s="6" t="s">
        <v>1957</v>
      </c>
      <c r="N589" s="6" t="s">
        <v>233</v>
      </c>
      <c r="O589" s="22"/>
      <c r="P589" s="22"/>
      <c r="Q589" s="22"/>
      <c r="R589" s="122"/>
      <c r="S589" s="122"/>
      <c r="T589" s="122">
        <v>1.0</v>
      </c>
      <c r="U589" s="22"/>
      <c r="V589" s="22"/>
      <c r="W589" s="22"/>
      <c r="X589" s="22"/>
      <c r="Y589" s="22"/>
      <c r="Z589" s="39" t="s">
        <v>1958</v>
      </c>
      <c r="AA589" s="39"/>
      <c r="AB589" s="39"/>
      <c r="AD589" s="22"/>
      <c r="AE589" s="22"/>
      <c r="AF589" s="22"/>
      <c r="AG589" s="22"/>
      <c r="AH589" s="22"/>
      <c r="AI589" s="22"/>
      <c r="AJ589" s="22"/>
      <c r="AK589" s="22"/>
      <c r="AL589" s="22"/>
      <c r="AM589" s="22"/>
      <c r="AN589" s="22"/>
      <c r="AO589" s="22"/>
      <c r="AP589" s="22"/>
    </row>
    <row r="590" ht="25.5" customHeight="1">
      <c r="A590" s="285">
        <f t="shared" si="3"/>
        <v>589</v>
      </c>
      <c r="B590" s="285" t="s">
        <v>61</v>
      </c>
      <c r="C590" s="39" t="s">
        <v>279</v>
      </c>
      <c r="D590" s="39" t="s">
        <v>515</v>
      </c>
      <c r="E590" s="22"/>
      <c r="F590" s="204" t="s">
        <v>395</v>
      </c>
      <c r="G590" s="204" t="s">
        <v>443</v>
      </c>
      <c r="H590" s="39" t="s">
        <v>484</v>
      </c>
      <c r="I590" s="39" t="s">
        <v>286</v>
      </c>
      <c r="J590" s="39" t="s">
        <v>1959</v>
      </c>
      <c r="K590" s="22"/>
      <c r="L590" s="22" t="str">
        <f t="shared" si="65"/>
        <v>Calle 7 OE Avenida 43B 33, Sector hora cero, Cali</v>
      </c>
      <c r="M590" s="22" t="s">
        <v>231</v>
      </c>
      <c r="N590" s="22" t="s">
        <v>233</v>
      </c>
      <c r="O590" s="22"/>
      <c r="P590" s="22"/>
      <c r="Q590" s="22"/>
      <c r="R590" s="122"/>
      <c r="S590" s="122"/>
      <c r="T590" s="122">
        <v>1.0</v>
      </c>
      <c r="U590" s="22"/>
      <c r="V590" s="22"/>
      <c r="W590" s="22"/>
      <c r="X590" s="22"/>
      <c r="Y590" s="22"/>
      <c r="Z590" s="22"/>
      <c r="AA590" s="22"/>
      <c r="AB590" s="22"/>
      <c r="AD590" s="22"/>
      <c r="AE590" s="22"/>
      <c r="AF590" s="22"/>
      <c r="AG590" s="22"/>
      <c r="AH590" s="22"/>
      <c r="AI590" s="22"/>
      <c r="AJ590" s="22"/>
      <c r="AK590" s="22"/>
      <c r="AL590" s="22"/>
      <c r="AM590" s="22"/>
      <c r="AN590" s="22"/>
      <c r="AO590" s="22"/>
      <c r="AP590" s="22"/>
    </row>
    <row r="591" ht="25.5" customHeight="1">
      <c r="A591" s="285">
        <f t="shared" si="3"/>
        <v>590</v>
      </c>
      <c r="B591" s="285" t="s">
        <v>61</v>
      </c>
      <c r="C591" s="39" t="s">
        <v>279</v>
      </c>
      <c r="D591" s="39" t="s">
        <v>515</v>
      </c>
      <c r="E591" s="22"/>
      <c r="F591" s="122" t="s">
        <v>60</v>
      </c>
      <c r="G591" s="204" t="s">
        <v>1960</v>
      </c>
      <c r="H591" s="39" t="s">
        <v>1269</v>
      </c>
      <c r="I591" s="39" t="s">
        <v>38</v>
      </c>
      <c r="J591" s="39" t="s">
        <v>1961</v>
      </c>
      <c r="K591" s="22"/>
      <c r="L591" s="22" t="str">
        <f t="shared" si="65"/>
        <v>Calle 14 # 54-15, primero de mayo, Cali</v>
      </c>
      <c r="M591" s="6" t="s">
        <v>1962</v>
      </c>
      <c r="N591" s="6" t="s">
        <v>233</v>
      </c>
      <c r="O591" s="22"/>
      <c r="P591" s="22"/>
      <c r="Q591" s="22"/>
      <c r="R591" s="122"/>
      <c r="S591" s="122"/>
      <c r="T591" s="122">
        <v>1.0</v>
      </c>
      <c r="U591" s="22"/>
      <c r="V591" s="22"/>
      <c r="W591" s="22"/>
      <c r="X591" s="22"/>
      <c r="Y591" s="39" t="s">
        <v>1963</v>
      </c>
      <c r="Z591" s="22"/>
      <c r="AA591" s="22"/>
      <c r="AB591" s="22"/>
      <c r="AD591" s="22"/>
      <c r="AE591" s="22"/>
      <c r="AF591" s="22"/>
      <c r="AG591" s="22"/>
      <c r="AH591" s="22"/>
      <c r="AI591" s="22"/>
      <c r="AJ591" s="22"/>
      <c r="AK591" s="22"/>
      <c r="AL591" s="22"/>
      <c r="AM591" s="22"/>
      <c r="AN591" s="22"/>
      <c r="AO591" s="22"/>
      <c r="AP591" s="22"/>
    </row>
    <row r="592" ht="25.5" customHeight="1">
      <c r="A592" s="285">
        <f t="shared" si="3"/>
        <v>591</v>
      </c>
      <c r="B592" s="285" t="s">
        <v>61</v>
      </c>
      <c r="C592" s="39" t="s">
        <v>279</v>
      </c>
      <c r="D592" s="39" t="s">
        <v>515</v>
      </c>
      <c r="E592" s="22"/>
      <c r="F592" s="204" t="s">
        <v>35</v>
      </c>
      <c r="G592" s="204" t="s">
        <v>36</v>
      </c>
      <c r="H592" s="39" t="s">
        <v>278</v>
      </c>
      <c r="I592" s="39" t="s">
        <v>38</v>
      </c>
      <c r="J592" s="39" t="s">
        <v>1964</v>
      </c>
      <c r="K592" s="39" t="s">
        <v>1965</v>
      </c>
      <c r="L592" s="39" t="str">
        <f t="shared" si="65"/>
        <v>Carrera 35 4-40, San Fernando, Cali</v>
      </c>
      <c r="M592" s="39" t="s">
        <v>231</v>
      </c>
      <c r="N592" s="39" t="s">
        <v>233</v>
      </c>
      <c r="O592" s="22"/>
      <c r="P592" s="22"/>
      <c r="Q592" s="22"/>
      <c r="R592" s="122"/>
      <c r="S592" s="122"/>
      <c r="T592" s="122">
        <v>1.0</v>
      </c>
      <c r="U592" s="22"/>
      <c r="V592" s="22"/>
      <c r="W592" s="22"/>
      <c r="X592" s="22"/>
      <c r="Y592" s="22"/>
      <c r="Z592" s="39" t="s">
        <v>1966</v>
      </c>
      <c r="AA592" s="39"/>
      <c r="AB592" s="39"/>
      <c r="AD592" s="22"/>
      <c r="AE592" s="22"/>
      <c r="AF592" s="22"/>
      <c r="AG592" s="22"/>
      <c r="AH592" s="22"/>
      <c r="AI592" s="22"/>
      <c r="AJ592" s="22"/>
      <c r="AK592" s="22"/>
      <c r="AL592" s="22"/>
      <c r="AM592" s="22"/>
      <c r="AN592" s="22"/>
      <c r="AO592" s="22"/>
      <c r="AP592" s="22"/>
    </row>
    <row r="593" ht="25.5" customHeight="1">
      <c r="A593" s="198">
        <f t="shared" si="3"/>
        <v>592</v>
      </c>
      <c r="B593" s="198" t="s">
        <v>61</v>
      </c>
      <c r="C593" s="27" t="s">
        <v>279</v>
      </c>
      <c r="D593" s="27" t="s">
        <v>515</v>
      </c>
      <c r="E593" s="33"/>
      <c r="F593" s="30" t="s">
        <v>35</v>
      </c>
      <c r="G593" s="30" t="s">
        <v>176</v>
      </c>
      <c r="H593" s="197" t="s">
        <v>365</v>
      </c>
      <c r="I593" s="27" t="s">
        <v>38</v>
      </c>
      <c r="J593" s="27" t="s">
        <v>1967</v>
      </c>
      <c r="K593" s="27" t="s">
        <v>1968</v>
      </c>
      <c r="L593" s="27" t="str">
        <f t="shared" si="65"/>
        <v>Avenida 43 # 10A-54, Los Estudiantes, Cali</v>
      </c>
      <c r="M593" s="27" t="s">
        <v>231</v>
      </c>
      <c r="N593" s="27" t="s">
        <v>233</v>
      </c>
      <c r="O593" s="22"/>
      <c r="P593" s="22"/>
      <c r="Q593" s="22"/>
      <c r="R593" s="122"/>
      <c r="S593" s="122"/>
      <c r="T593" s="122">
        <v>1.0</v>
      </c>
      <c r="U593" s="22"/>
      <c r="V593" s="22"/>
      <c r="W593" s="22"/>
      <c r="X593" s="22"/>
      <c r="Y593" s="22"/>
      <c r="Z593" s="22"/>
      <c r="AA593" s="22"/>
      <c r="AB593" s="22"/>
      <c r="AD593" s="22"/>
      <c r="AE593" s="22"/>
      <c r="AF593" s="22"/>
      <c r="AG593" s="22"/>
      <c r="AH593" s="22"/>
      <c r="AI593" s="22"/>
      <c r="AJ593" s="22"/>
      <c r="AK593" s="22"/>
      <c r="AL593" s="22"/>
      <c r="AM593" s="22"/>
      <c r="AN593" s="22"/>
      <c r="AO593" s="22"/>
      <c r="AP593" s="22"/>
    </row>
    <row r="594" ht="25.5" customHeight="1">
      <c r="A594" s="198">
        <f t="shared" si="3"/>
        <v>593</v>
      </c>
      <c r="B594" s="198" t="s">
        <v>61</v>
      </c>
      <c r="C594" s="27" t="s">
        <v>63</v>
      </c>
      <c r="D594" s="27" t="s">
        <v>64</v>
      </c>
      <c r="E594" s="33"/>
      <c r="F594" s="30" t="s">
        <v>76</v>
      </c>
      <c r="G594" s="30" t="s">
        <v>350</v>
      </c>
      <c r="H594" s="27" t="s">
        <v>1612</v>
      </c>
      <c r="I594" s="27" t="s">
        <v>38</v>
      </c>
      <c r="J594" s="27" t="s">
        <v>1969</v>
      </c>
      <c r="K594" s="27" t="s">
        <v>1970</v>
      </c>
      <c r="L594" s="27" t="str">
        <f t="shared" si="65"/>
        <v>Calle 64N 4 - 35, La flora, Cali</v>
      </c>
      <c r="M594" s="27" t="s">
        <v>231</v>
      </c>
      <c r="N594" s="27" t="s">
        <v>233</v>
      </c>
      <c r="O594" s="33"/>
      <c r="P594" s="33"/>
      <c r="Q594" s="27" t="s">
        <v>81</v>
      </c>
      <c r="R594" s="30"/>
      <c r="S594" s="30"/>
      <c r="T594" s="30">
        <v>1.0</v>
      </c>
      <c r="U594" s="33"/>
      <c r="V594" s="33"/>
      <c r="W594" s="33"/>
      <c r="X594" s="33"/>
      <c r="Y594" s="33"/>
      <c r="Z594" s="33"/>
      <c r="AA594" s="33"/>
      <c r="AB594" s="33"/>
      <c r="AD594" s="22"/>
      <c r="AE594" s="22"/>
      <c r="AF594" s="22"/>
      <c r="AG594" s="22"/>
      <c r="AH594" s="22"/>
      <c r="AI594" s="22"/>
      <c r="AJ594" s="22"/>
      <c r="AK594" s="22"/>
      <c r="AL594" s="22"/>
      <c r="AM594" s="22"/>
      <c r="AN594" s="22"/>
      <c r="AO594" s="22"/>
      <c r="AP594" s="22"/>
    </row>
    <row r="595" ht="25.5" customHeight="1">
      <c r="A595" s="285">
        <f t="shared" si="3"/>
        <v>594</v>
      </c>
      <c r="B595" s="285" t="s">
        <v>61</v>
      </c>
      <c r="C595" s="39" t="s">
        <v>279</v>
      </c>
      <c r="D595" s="39" t="s">
        <v>515</v>
      </c>
      <c r="E595" s="22"/>
      <c r="F595" s="204" t="s">
        <v>59</v>
      </c>
      <c r="G595" s="204" t="s">
        <v>939</v>
      </c>
      <c r="H595" s="39" t="s">
        <v>491</v>
      </c>
      <c r="I595" s="39" t="s">
        <v>286</v>
      </c>
      <c r="J595" s="39" t="s">
        <v>1971</v>
      </c>
      <c r="K595" s="22"/>
      <c r="L595" s="22" t="str">
        <f t="shared" si="65"/>
        <v>Avenida 5 Oeste # 23-12, Terron Colorado, Cali</v>
      </c>
      <c r="M595" s="6" t="s">
        <v>1972</v>
      </c>
      <c r="N595" s="6" t="s">
        <v>233</v>
      </c>
      <c r="O595" s="22"/>
      <c r="P595" s="22"/>
      <c r="Q595" s="22"/>
      <c r="R595" s="122"/>
      <c r="S595" s="122"/>
      <c r="T595" s="122">
        <v>1.0</v>
      </c>
      <c r="U595" s="22"/>
      <c r="V595" s="22"/>
      <c r="W595" s="22"/>
      <c r="X595" s="22"/>
      <c r="Y595" s="22"/>
      <c r="Z595" s="39" t="s">
        <v>1973</v>
      </c>
      <c r="AA595" s="39"/>
      <c r="AB595" s="39"/>
      <c r="AD595" s="22"/>
      <c r="AE595" s="22"/>
      <c r="AF595" s="22"/>
      <c r="AG595" s="22"/>
      <c r="AH595" s="22"/>
      <c r="AI595" s="22"/>
      <c r="AJ595" s="22"/>
      <c r="AK595" s="22"/>
      <c r="AL595" s="22"/>
      <c r="AM595" s="22"/>
      <c r="AN595" s="22"/>
      <c r="AO595" s="22"/>
      <c r="AP595" s="22"/>
    </row>
    <row r="596" ht="25.5" customHeight="1">
      <c r="A596" s="285">
        <f t="shared" si="3"/>
        <v>595</v>
      </c>
      <c r="B596" s="285" t="s">
        <v>61</v>
      </c>
      <c r="C596" s="39" t="s">
        <v>279</v>
      </c>
      <c r="D596" s="39" t="s">
        <v>515</v>
      </c>
      <c r="E596" s="22"/>
      <c r="F596" s="122" t="s">
        <v>60</v>
      </c>
      <c r="G596" s="204" t="s">
        <v>36</v>
      </c>
      <c r="H596" s="39" t="s">
        <v>142</v>
      </c>
      <c r="I596" s="39" t="s">
        <v>38</v>
      </c>
      <c r="J596" s="39" t="s">
        <v>1974</v>
      </c>
      <c r="K596" s="296" t="s">
        <v>1975</v>
      </c>
      <c r="L596" s="39" t="str">
        <f t="shared" si="65"/>
        <v>Calle 13B # 66B-56 – Unidad Bosques de la Fontana, Bosques del Limonar, Cali</v>
      </c>
      <c r="M596" s="6" t="s">
        <v>1976</v>
      </c>
      <c r="N596" s="6" t="s">
        <v>233</v>
      </c>
      <c r="O596" s="22"/>
      <c r="P596" s="22"/>
      <c r="Q596" s="22"/>
      <c r="R596" s="122"/>
      <c r="S596" s="122"/>
      <c r="T596" s="122">
        <v>1.0</v>
      </c>
      <c r="U596" s="22"/>
      <c r="V596" s="22"/>
      <c r="W596" s="22"/>
      <c r="X596" s="22"/>
      <c r="Y596" s="22"/>
      <c r="Z596" s="39" t="s">
        <v>1977</v>
      </c>
      <c r="AA596" s="22"/>
      <c r="AB596" s="22"/>
      <c r="AD596" s="22"/>
      <c r="AE596" s="22"/>
      <c r="AF596" s="22"/>
      <c r="AG596" s="22"/>
      <c r="AH596" s="22"/>
      <c r="AI596" s="22"/>
      <c r="AJ596" s="22"/>
      <c r="AK596" s="22"/>
      <c r="AL596" s="22"/>
      <c r="AM596" s="22"/>
      <c r="AN596" s="22"/>
      <c r="AO596" s="22"/>
      <c r="AP596" s="22"/>
    </row>
    <row r="597" ht="25.5" customHeight="1">
      <c r="A597" s="198">
        <f t="shared" si="3"/>
        <v>596</v>
      </c>
      <c r="B597" s="198" t="s">
        <v>61</v>
      </c>
      <c r="C597" s="27" t="s">
        <v>279</v>
      </c>
      <c r="D597" s="27" t="s">
        <v>515</v>
      </c>
      <c r="E597" s="33"/>
      <c r="F597" s="30" t="s">
        <v>139</v>
      </c>
      <c r="G597" s="30" t="s">
        <v>350</v>
      </c>
      <c r="H597" s="27" t="s">
        <v>186</v>
      </c>
      <c r="I597" s="27" t="s">
        <v>38</v>
      </c>
      <c r="J597" s="27" t="s">
        <v>1978</v>
      </c>
      <c r="K597" s="33"/>
      <c r="L597" s="22" t="str">
        <f t="shared" si="65"/>
        <v>Calle 62B cra1A 9-365 sector 1 Agrupación 5 Torre A, Chiminangos II, Cali</v>
      </c>
      <c r="M597" s="6" t="s">
        <v>1979</v>
      </c>
      <c r="N597" s="6" t="s">
        <v>233</v>
      </c>
      <c r="O597" s="22"/>
      <c r="P597" s="22"/>
      <c r="Q597" s="22"/>
      <c r="R597" s="122"/>
      <c r="S597" s="122"/>
      <c r="T597" s="122">
        <v>1.0</v>
      </c>
      <c r="U597" s="22"/>
      <c r="V597" s="22"/>
      <c r="W597" s="22"/>
      <c r="X597" s="22"/>
      <c r="Y597" s="22"/>
      <c r="Z597" s="39" t="s">
        <v>1980</v>
      </c>
      <c r="AA597" s="39"/>
      <c r="AB597" s="39"/>
      <c r="AD597" s="22"/>
      <c r="AE597" s="22"/>
      <c r="AF597" s="22"/>
      <c r="AG597" s="22"/>
      <c r="AH597" s="22"/>
      <c r="AI597" s="22"/>
      <c r="AJ597" s="22"/>
      <c r="AK597" s="22"/>
      <c r="AL597" s="22"/>
      <c r="AM597" s="22"/>
      <c r="AN597" s="22"/>
      <c r="AO597" s="22"/>
      <c r="AP597" s="22"/>
    </row>
    <row r="598" ht="25.5" customHeight="1">
      <c r="A598" s="285">
        <f t="shared" si="3"/>
        <v>597</v>
      </c>
      <c r="B598" s="285" t="s">
        <v>61</v>
      </c>
      <c r="C598" s="39" t="s">
        <v>279</v>
      </c>
      <c r="D598" s="39" t="s">
        <v>515</v>
      </c>
      <c r="E598" s="22"/>
      <c r="F598" s="204" t="s">
        <v>95</v>
      </c>
      <c r="G598" s="297" t="s">
        <v>426</v>
      </c>
      <c r="H598" s="298" t="s">
        <v>153</v>
      </c>
      <c r="I598" s="298" t="s">
        <v>286</v>
      </c>
      <c r="J598" s="39" t="s">
        <v>1981</v>
      </c>
      <c r="K598" s="22"/>
      <c r="L598" s="22" t="str">
        <f>CONCATENATE(J598,", ",G598,", Cali")</f>
        <v>Calle 126 # 23-24, Oriente, Cali</v>
      </c>
      <c r="M598" s="22" t="s">
        <v>231</v>
      </c>
      <c r="N598" s="22" t="s">
        <v>233</v>
      </c>
      <c r="O598" s="22"/>
      <c r="P598" s="22"/>
      <c r="Q598" s="22"/>
      <c r="R598" s="122"/>
      <c r="S598" s="122"/>
      <c r="T598" s="122">
        <v>1.0</v>
      </c>
      <c r="U598" s="22"/>
      <c r="V598" s="22"/>
      <c r="W598" s="22"/>
      <c r="X598" s="22"/>
      <c r="Y598" s="22"/>
      <c r="Z598" s="22"/>
      <c r="AA598" s="22"/>
      <c r="AB598" s="22"/>
      <c r="AD598" s="22"/>
      <c r="AE598" s="22"/>
      <c r="AF598" s="22"/>
      <c r="AG598" s="22"/>
      <c r="AH598" s="22"/>
      <c r="AI598" s="22"/>
      <c r="AJ598" s="22"/>
      <c r="AK598" s="22"/>
      <c r="AL598" s="22"/>
      <c r="AM598" s="22"/>
      <c r="AN598" s="22"/>
      <c r="AO598" s="22"/>
      <c r="AP598" s="22"/>
    </row>
    <row r="599" ht="33.0" customHeight="1">
      <c r="A599" s="198">
        <f t="shared" si="3"/>
        <v>598</v>
      </c>
      <c r="B599" s="198" t="s">
        <v>61</v>
      </c>
      <c r="C599" s="27" t="s">
        <v>279</v>
      </c>
      <c r="D599" s="27" t="s">
        <v>515</v>
      </c>
      <c r="E599" s="33"/>
      <c r="F599" s="30" t="s">
        <v>76</v>
      </c>
      <c r="G599" s="30" t="s">
        <v>350</v>
      </c>
      <c r="H599" s="27" t="s">
        <v>432</v>
      </c>
      <c r="I599" s="27" t="s">
        <v>38</v>
      </c>
      <c r="J599" s="27" t="s">
        <v>1982</v>
      </c>
      <c r="K599" s="27" t="s">
        <v>1983</v>
      </c>
      <c r="L599" s="27" t="str">
        <f t="shared" ref="L599:L601" si="66">CONCATENATE(J599,", ",H599,", Cali")</f>
        <v>Avenida 3N # 35n - 76, Prados del Norte, Cali</v>
      </c>
      <c r="M599" s="27" t="s">
        <v>231</v>
      </c>
      <c r="N599" s="27" t="s">
        <v>233</v>
      </c>
      <c r="O599" s="33"/>
      <c r="P599" s="33"/>
      <c r="Q599" s="33"/>
      <c r="R599" s="35"/>
      <c r="S599" s="35"/>
      <c r="T599" s="35">
        <v>1.0</v>
      </c>
      <c r="U599" s="33"/>
      <c r="V599" s="33"/>
      <c r="W599" s="33"/>
      <c r="X599" s="33"/>
      <c r="Y599" s="33"/>
      <c r="Z599" s="33"/>
      <c r="AA599" s="33"/>
      <c r="AB599" s="33"/>
      <c r="AC599" s="98"/>
      <c r="AD599" s="33"/>
      <c r="AE599" s="33"/>
      <c r="AF599" s="33"/>
      <c r="AG599" s="33"/>
      <c r="AH599" s="33"/>
      <c r="AI599" s="33"/>
      <c r="AJ599" s="33"/>
      <c r="AK599" s="33"/>
      <c r="AL599" s="33"/>
      <c r="AM599" s="33"/>
      <c r="AN599" s="33"/>
      <c r="AO599" s="33"/>
      <c r="AP599" s="33"/>
    </row>
    <row r="600" ht="28.5" customHeight="1">
      <c r="A600" s="198">
        <f t="shared" si="3"/>
        <v>599</v>
      </c>
      <c r="B600" s="198" t="s">
        <v>61</v>
      </c>
      <c r="C600" s="27" t="s">
        <v>279</v>
      </c>
      <c r="D600" s="27" t="s">
        <v>515</v>
      </c>
      <c r="E600" s="33"/>
      <c r="F600" s="30" t="s">
        <v>116</v>
      </c>
      <c r="G600" s="30" t="s">
        <v>350</v>
      </c>
      <c r="H600" s="27" t="s">
        <v>186</v>
      </c>
      <c r="I600" s="27" t="s">
        <v>38</v>
      </c>
      <c r="J600" s="27" t="s">
        <v>1984</v>
      </c>
      <c r="K600" s="33"/>
      <c r="L600" s="33" t="str">
        <f t="shared" si="66"/>
        <v>Sector 6 agrupación torre B apto 11, Chiminangos II, Cali</v>
      </c>
      <c r="M600" s="299" t="s">
        <v>1985</v>
      </c>
      <c r="N600" s="299" t="s">
        <v>233</v>
      </c>
      <c r="O600" s="33"/>
      <c r="P600" s="22"/>
      <c r="Q600" s="22"/>
      <c r="R600" s="122"/>
      <c r="S600" s="122"/>
      <c r="T600" s="122">
        <v>1.0</v>
      </c>
      <c r="U600" s="22"/>
      <c r="V600" s="22"/>
      <c r="W600" s="22"/>
      <c r="X600" s="22"/>
      <c r="Y600" s="22"/>
      <c r="Z600" s="39" t="s">
        <v>1986</v>
      </c>
      <c r="AA600" s="39"/>
      <c r="AB600" s="39"/>
      <c r="AD600" s="22"/>
      <c r="AE600" s="22"/>
      <c r="AF600" s="22"/>
      <c r="AG600" s="22"/>
      <c r="AH600" s="22"/>
      <c r="AI600" s="22"/>
      <c r="AJ600" s="22"/>
      <c r="AK600" s="22"/>
      <c r="AL600" s="22"/>
      <c r="AM600" s="22"/>
      <c r="AN600" s="22"/>
      <c r="AO600" s="22"/>
      <c r="AP600" s="22"/>
    </row>
    <row r="601" ht="25.5" customHeight="1">
      <c r="A601" s="198">
        <f t="shared" si="3"/>
        <v>600</v>
      </c>
      <c r="B601" s="198" t="s">
        <v>61</v>
      </c>
      <c r="C601" s="27" t="s">
        <v>279</v>
      </c>
      <c r="D601" s="27" t="s">
        <v>515</v>
      </c>
      <c r="E601" s="33"/>
      <c r="F601" s="30" t="s">
        <v>76</v>
      </c>
      <c r="G601" s="30" t="s">
        <v>350</v>
      </c>
      <c r="H601" s="27" t="s">
        <v>432</v>
      </c>
      <c r="I601" s="27" t="s">
        <v>38</v>
      </c>
      <c r="J601" s="27" t="s">
        <v>1987</v>
      </c>
      <c r="K601" s="27" t="s">
        <v>1988</v>
      </c>
      <c r="L601" s="27" t="str">
        <f t="shared" si="66"/>
        <v>Calle 38 Norte #2bn - 173, Prados del Norte, Cali</v>
      </c>
      <c r="M601" s="27" t="s">
        <v>231</v>
      </c>
      <c r="N601" s="27" t="s">
        <v>233</v>
      </c>
      <c r="O601" s="33"/>
      <c r="P601" s="33"/>
      <c r="Q601" s="33"/>
      <c r="R601" s="35"/>
      <c r="S601" s="35"/>
      <c r="T601" s="35">
        <v>1.0</v>
      </c>
      <c r="U601" s="33"/>
      <c r="V601" s="33"/>
      <c r="W601" s="33"/>
      <c r="X601" s="33"/>
      <c r="Y601" s="33"/>
      <c r="Z601" s="33"/>
      <c r="AA601" s="33"/>
      <c r="AB601" s="33"/>
      <c r="AC601" s="98"/>
      <c r="AD601" s="33"/>
      <c r="AE601" s="33"/>
      <c r="AF601" s="33"/>
      <c r="AG601" s="33"/>
      <c r="AH601" s="33"/>
      <c r="AI601" s="33"/>
      <c r="AJ601" s="33"/>
      <c r="AK601" s="33"/>
      <c r="AL601" s="33"/>
      <c r="AM601" s="33"/>
      <c r="AN601" s="33"/>
      <c r="AO601" s="33"/>
      <c r="AP601" s="33"/>
    </row>
    <row r="602" ht="25.5" customHeight="1">
      <c r="A602" s="63">
        <f t="shared" si="3"/>
        <v>601</v>
      </c>
      <c r="B602" s="63" t="s">
        <v>62</v>
      </c>
      <c r="C602" s="65" t="s">
        <v>133</v>
      </c>
      <c r="D602" s="108" t="s">
        <v>515</v>
      </c>
      <c r="E602" s="68" t="s">
        <v>62</v>
      </c>
      <c r="F602" s="70" t="s">
        <v>62</v>
      </c>
      <c r="G602" s="70" t="s">
        <v>62</v>
      </c>
      <c r="H602" s="71" t="s">
        <v>62</v>
      </c>
      <c r="I602" s="71" t="s">
        <v>62</v>
      </c>
      <c r="J602" s="68" t="s">
        <v>62</v>
      </c>
      <c r="K602" s="68" t="s">
        <v>62</v>
      </c>
      <c r="L602" s="68" t="s">
        <v>62</v>
      </c>
      <c r="M602" s="68" t="s">
        <v>62</v>
      </c>
      <c r="N602" s="68" t="s">
        <v>62</v>
      </c>
      <c r="O602" s="68" t="s">
        <v>62</v>
      </c>
      <c r="P602" s="68" t="s">
        <v>62</v>
      </c>
      <c r="Q602" s="68" t="s">
        <v>62</v>
      </c>
      <c r="R602" s="68" t="s">
        <v>62</v>
      </c>
      <c r="S602" s="68"/>
      <c r="T602" s="68" t="s">
        <v>62</v>
      </c>
      <c r="U602" s="68" t="s">
        <v>62</v>
      </c>
      <c r="V602" s="68" t="s">
        <v>62</v>
      </c>
      <c r="W602" s="68" t="s">
        <v>62</v>
      </c>
      <c r="X602" s="68" t="s">
        <v>62</v>
      </c>
      <c r="Y602" s="68" t="s">
        <v>62</v>
      </c>
      <c r="Z602" s="68" t="s">
        <v>62</v>
      </c>
      <c r="AA602" s="68" t="s">
        <v>62</v>
      </c>
      <c r="AB602" s="68" t="s">
        <v>62</v>
      </c>
      <c r="AD602" s="22"/>
      <c r="AE602" s="22"/>
      <c r="AF602" s="22"/>
      <c r="AG602" s="22"/>
      <c r="AH602" s="22"/>
      <c r="AI602" s="22"/>
      <c r="AJ602" s="22"/>
      <c r="AK602" s="22"/>
      <c r="AL602" s="22"/>
      <c r="AM602" s="22"/>
      <c r="AN602" s="22"/>
      <c r="AO602" s="22"/>
      <c r="AP602" s="22"/>
    </row>
    <row r="603" ht="25.5" customHeight="1">
      <c r="A603" s="198">
        <f t="shared" si="3"/>
        <v>602</v>
      </c>
      <c r="B603" s="198" t="s">
        <v>61</v>
      </c>
      <c r="C603" s="27" t="s">
        <v>279</v>
      </c>
      <c r="D603" s="27" t="s">
        <v>515</v>
      </c>
      <c r="E603" s="33"/>
      <c r="F603" s="35" t="s">
        <v>60</v>
      </c>
      <c r="G603" s="30" t="s">
        <v>350</v>
      </c>
      <c r="H603" s="27" t="s">
        <v>328</v>
      </c>
      <c r="I603" s="27" t="s">
        <v>38</v>
      </c>
      <c r="J603" s="27" t="s">
        <v>1989</v>
      </c>
      <c r="K603" s="27" t="s">
        <v>1990</v>
      </c>
      <c r="L603" s="27" t="str">
        <f t="shared" ref="L603:L622" si="67">CONCATENATE(J603,", ",H603,", Cali")</f>
        <v>Calle 14c No.48-55 Apto 204c unidad residencial Rincón del Parque, barrio la Selva, la selva, Cali</v>
      </c>
      <c r="M603" s="154" t="s">
        <v>1991</v>
      </c>
      <c r="N603" s="154" t="s">
        <v>233</v>
      </c>
      <c r="O603" s="33"/>
      <c r="P603" s="33"/>
      <c r="Q603" s="33"/>
      <c r="R603" s="35"/>
      <c r="S603" s="35"/>
      <c r="T603" s="35">
        <v>1.0</v>
      </c>
      <c r="U603" s="33"/>
      <c r="V603" s="33"/>
      <c r="W603" s="33"/>
      <c r="X603" s="33"/>
      <c r="Y603" s="33"/>
      <c r="Z603" s="33"/>
      <c r="AA603" s="33"/>
      <c r="AB603" s="33"/>
      <c r="AC603" s="98"/>
      <c r="AD603" s="33"/>
      <c r="AE603" s="33"/>
      <c r="AF603" s="33"/>
      <c r="AG603" s="33"/>
      <c r="AH603" s="33"/>
      <c r="AI603" s="33"/>
      <c r="AJ603" s="33"/>
      <c r="AK603" s="33"/>
      <c r="AL603" s="33"/>
      <c r="AM603" s="33"/>
      <c r="AN603" s="33"/>
      <c r="AO603" s="33"/>
      <c r="AP603" s="33"/>
    </row>
    <row r="604" ht="25.5" customHeight="1">
      <c r="A604" s="198">
        <f t="shared" si="3"/>
        <v>603</v>
      </c>
      <c r="B604" s="198" t="s">
        <v>61</v>
      </c>
      <c r="C604" s="27" t="s">
        <v>279</v>
      </c>
      <c r="D604" s="27" t="s">
        <v>515</v>
      </c>
      <c r="E604" s="33"/>
      <c r="F604" s="30" t="s">
        <v>110</v>
      </c>
      <c r="G604" s="30" t="s">
        <v>176</v>
      </c>
      <c r="H604" s="27" t="s">
        <v>447</v>
      </c>
      <c r="I604" s="27" t="s">
        <v>38</v>
      </c>
      <c r="J604" s="27" t="s">
        <v>1992</v>
      </c>
      <c r="K604" s="27" t="s">
        <v>38</v>
      </c>
      <c r="L604" s="27" t="str">
        <f t="shared" si="67"/>
        <v>carrera 13 # 5 - 31, San Bosco, Cali</v>
      </c>
      <c r="M604" s="27" t="s">
        <v>231</v>
      </c>
      <c r="N604" s="27" t="s">
        <v>233</v>
      </c>
      <c r="O604" s="22"/>
      <c r="P604" s="22"/>
      <c r="Q604" s="22"/>
      <c r="R604" s="122"/>
      <c r="S604" s="122"/>
      <c r="T604" s="122">
        <v>1.0</v>
      </c>
      <c r="U604" s="22"/>
      <c r="V604" s="22"/>
      <c r="W604" s="22"/>
      <c r="X604" s="22"/>
      <c r="Y604" s="22"/>
      <c r="Z604" s="22"/>
      <c r="AA604" s="22"/>
      <c r="AB604" s="22"/>
      <c r="AD604" s="22"/>
      <c r="AE604" s="22"/>
      <c r="AF604" s="22"/>
      <c r="AG604" s="22"/>
      <c r="AH604" s="22"/>
      <c r="AI604" s="22"/>
      <c r="AJ604" s="22"/>
      <c r="AK604" s="22"/>
      <c r="AL604" s="22"/>
      <c r="AM604" s="22"/>
      <c r="AN604" s="22"/>
      <c r="AO604" s="22"/>
      <c r="AP604" s="22"/>
    </row>
    <row r="605" ht="25.5" customHeight="1">
      <c r="A605" s="285">
        <f t="shared" si="3"/>
        <v>604</v>
      </c>
      <c r="B605" s="285" t="s">
        <v>61</v>
      </c>
      <c r="C605" s="39" t="s">
        <v>279</v>
      </c>
      <c r="D605" s="39" t="s">
        <v>515</v>
      </c>
      <c r="E605" s="22"/>
      <c r="F605" s="204" t="s">
        <v>395</v>
      </c>
      <c r="G605" s="204" t="s">
        <v>443</v>
      </c>
      <c r="H605" s="39" t="s">
        <v>443</v>
      </c>
      <c r="I605" s="39" t="s">
        <v>286</v>
      </c>
      <c r="J605" s="39" t="s">
        <v>1993</v>
      </c>
      <c r="K605" s="22"/>
      <c r="L605" s="22" t="str">
        <f t="shared" si="67"/>
        <v>Avenida 43 oeste #10a-54, Rural, Cali</v>
      </c>
      <c r="M605" s="22" t="s">
        <v>231</v>
      </c>
      <c r="N605" s="22" t="s">
        <v>233</v>
      </c>
      <c r="O605" s="22"/>
      <c r="P605" s="22"/>
      <c r="Q605" s="22"/>
      <c r="R605" s="122"/>
      <c r="S605" s="122"/>
      <c r="T605" s="122">
        <v>1.0</v>
      </c>
      <c r="U605" s="22"/>
      <c r="V605" s="22"/>
      <c r="W605" s="22"/>
      <c r="X605" s="22"/>
      <c r="Y605" s="22"/>
      <c r="Z605" s="22"/>
      <c r="AA605" s="22"/>
      <c r="AB605" s="22"/>
      <c r="AD605" s="22"/>
      <c r="AE605" s="22"/>
      <c r="AF605" s="22"/>
      <c r="AG605" s="22"/>
      <c r="AH605" s="22"/>
      <c r="AI605" s="22"/>
      <c r="AJ605" s="22"/>
      <c r="AK605" s="22"/>
      <c r="AL605" s="22"/>
      <c r="AM605" s="22"/>
      <c r="AN605" s="22"/>
      <c r="AO605" s="22"/>
      <c r="AP605" s="22"/>
    </row>
    <row r="606" ht="25.5" customHeight="1">
      <c r="A606" s="285">
        <f t="shared" si="3"/>
        <v>605</v>
      </c>
      <c r="B606" s="285" t="s">
        <v>61</v>
      </c>
      <c r="C606" s="39" t="s">
        <v>279</v>
      </c>
      <c r="D606" s="39" t="s">
        <v>515</v>
      </c>
      <c r="E606" s="22"/>
      <c r="F606" s="122" t="s">
        <v>60</v>
      </c>
      <c r="G606" s="204" t="s">
        <v>36</v>
      </c>
      <c r="H606" s="39" t="s">
        <v>167</v>
      </c>
      <c r="I606" s="39" t="s">
        <v>286</v>
      </c>
      <c r="J606" s="39" t="s">
        <v>1994</v>
      </c>
      <c r="K606" s="22"/>
      <c r="L606" s="22" t="str">
        <f t="shared" si="67"/>
        <v>Carrera 71A 10bis-19, Capri, Cali</v>
      </c>
      <c r="M606" s="22" t="s">
        <v>231</v>
      </c>
      <c r="N606" s="22" t="s">
        <v>233</v>
      </c>
      <c r="O606" s="22"/>
      <c r="P606" s="22"/>
      <c r="Q606" s="22"/>
      <c r="R606" s="122"/>
      <c r="S606" s="122"/>
      <c r="T606" s="122">
        <v>1.0</v>
      </c>
      <c r="U606" s="22"/>
      <c r="V606" s="22"/>
      <c r="W606" s="22"/>
      <c r="X606" s="22"/>
      <c r="Y606" s="22"/>
      <c r="Z606" s="22"/>
      <c r="AA606" s="22"/>
      <c r="AB606" s="22"/>
      <c r="AD606" s="22"/>
      <c r="AE606" s="22"/>
      <c r="AF606" s="22"/>
      <c r="AG606" s="22"/>
      <c r="AH606" s="22"/>
      <c r="AI606" s="22"/>
      <c r="AJ606" s="22"/>
      <c r="AK606" s="22"/>
      <c r="AL606" s="22"/>
      <c r="AM606" s="22"/>
      <c r="AN606" s="22"/>
      <c r="AO606" s="22"/>
      <c r="AP606" s="22"/>
    </row>
    <row r="607" ht="25.5" customHeight="1">
      <c r="A607" s="198">
        <f t="shared" si="3"/>
        <v>606</v>
      </c>
      <c r="B607" s="198" t="s">
        <v>61</v>
      </c>
      <c r="C607" s="27" t="s">
        <v>279</v>
      </c>
      <c r="D607" s="142" t="s">
        <v>64</v>
      </c>
      <c r="E607" s="33"/>
      <c r="F607" s="30" t="s">
        <v>116</v>
      </c>
      <c r="G607" s="30" t="s">
        <v>350</v>
      </c>
      <c r="H607" s="27" t="s">
        <v>1612</v>
      </c>
      <c r="I607" s="27" t="s">
        <v>38</v>
      </c>
      <c r="J607" s="27" t="s">
        <v>1995</v>
      </c>
      <c r="K607" s="33"/>
      <c r="L607" s="33" t="str">
        <f t="shared" si="67"/>
        <v>CAlle 51 Norte # 3 an 175, La flora, Cali</v>
      </c>
      <c r="M607" s="33" t="s">
        <v>231</v>
      </c>
      <c r="N607" s="33" t="s">
        <v>233</v>
      </c>
      <c r="O607" s="33"/>
      <c r="P607" s="33"/>
      <c r="Q607" s="33"/>
      <c r="R607" s="35"/>
      <c r="S607" s="35"/>
      <c r="T607" s="35">
        <v>1.0</v>
      </c>
      <c r="U607" s="33"/>
      <c r="V607" s="33"/>
      <c r="W607" s="33"/>
      <c r="X607" s="33"/>
      <c r="Y607" s="33"/>
      <c r="Z607" s="27" t="s">
        <v>1996</v>
      </c>
      <c r="AA607" s="27"/>
      <c r="AB607" s="27"/>
      <c r="AC607" s="98"/>
      <c r="AD607" s="33"/>
      <c r="AE607" s="33"/>
      <c r="AF607" s="33"/>
      <c r="AG607" s="33"/>
      <c r="AH607" s="33"/>
      <c r="AI607" s="33"/>
      <c r="AJ607" s="33"/>
      <c r="AK607" s="33"/>
      <c r="AL607" s="33"/>
      <c r="AM607" s="33"/>
      <c r="AN607" s="33"/>
      <c r="AO607" s="33"/>
      <c r="AP607" s="33"/>
    </row>
    <row r="608" ht="25.5" customHeight="1">
      <c r="A608" s="285">
        <f t="shared" si="3"/>
        <v>607</v>
      </c>
      <c r="B608" s="285" t="s">
        <v>61</v>
      </c>
      <c r="C608" s="39" t="s">
        <v>279</v>
      </c>
      <c r="D608" s="39" t="s">
        <v>515</v>
      </c>
      <c r="E608" s="22"/>
      <c r="F608" s="204" t="s">
        <v>121</v>
      </c>
      <c r="G608" s="204" t="s">
        <v>36</v>
      </c>
      <c r="H608" s="39" t="s">
        <v>269</v>
      </c>
      <c r="I608" s="39" t="s">
        <v>38</v>
      </c>
      <c r="J608" s="39" t="s">
        <v>1997</v>
      </c>
      <c r="K608" s="22"/>
      <c r="L608" s="22" t="str">
        <f t="shared" si="67"/>
        <v>Carrera 9c # 30 - 37, El troncal, Cali</v>
      </c>
      <c r="M608" s="22" t="s">
        <v>231</v>
      </c>
      <c r="N608" s="22" t="s">
        <v>233</v>
      </c>
      <c r="O608" s="22"/>
      <c r="P608" s="22"/>
      <c r="Q608" s="22"/>
      <c r="R608" s="122"/>
      <c r="S608" s="122"/>
      <c r="T608" s="122">
        <v>1.0</v>
      </c>
      <c r="U608" s="22"/>
      <c r="V608" s="22"/>
      <c r="W608" s="22"/>
      <c r="X608" s="22"/>
      <c r="Y608" s="22"/>
      <c r="Z608" s="22"/>
      <c r="AA608" s="22"/>
      <c r="AB608" s="22"/>
      <c r="AD608" s="22"/>
      <c r="AE608" s="22"/>
      <c r="AF608" s="22"/>
      <c r="AG608" s="22"/>
      <c r="AH608" s="22"/>
      <c r="AI608" s="22"/>
      <c r="AJ608" s="22"/>
      <c r="AK608" s="22"/>
      <c r="AL608" s="22"/>
      <c r="AM608" s="22"/>
      <c r="AN608" s="22"/>
      <c r="AO608" s="22"/>
      <c r="AP608" s="22"/>
    </row>
    <row r="609" ht="42.75" customHeight="1">
      <c r="A609" s="198">
        <f t="shared" si="3"/>
        <v>608</v>
      </c>
      <c r="B609" s="198" t="s">
        <v>61</v>
      </c>
      <c r="C609" s="27" t="s">
        <v>279</v>
      </c>
      <c r="D609" s="27" t="s">
        <v>515</v>
      </c>
      <c r="E609" s="33"/>
      <c r="F609" s="30" t="s">
        <v>76</v>
      </c>
      <c r="G609" s="30" t="s">
        <v>350</v>
      </c>
      <c r="H609" s="197" t="s">
        <v>1998</v>
      </c>
      <c r="I609" s="27" t="s">
        <v>38</v>
      </c>
      <c r="J609" s="27" t="s">
        <v>1999</v>
      </c>
      <c r="K609" s="27" t="s">
        <v>2000</v>
      </c>
      <c r="L609" s="27" t="str">
        <f t="shared" si="67"/>
        <v>Avenida 4 Norte # 7N-53 – Edificio/Torre de Consultorios, Centenario, Cali</v>
      </c>
      <c r="M609" s="27" t="s">
        <v>231</v>
      </c>
      <c r="N609" s="39" t="s">
        <v>233</v>
      </c>
      <c r="O609" s="22"/>
      <c r="P609" s="22"/>
      <c r="Q609" s="22"/>
      <c r="R609" s="122"/>
      <c r="S609" s="122"/>
      <c r="T609" s="122">
        <v>1.0</v>
      </c>
      <c r="U609" s="22"/>
      <c r="V609" s="22"/>
      <c r="W609" s="22"/>
      <c r="X609" s="22"/>
      <c r="Y609" s="22"/>
      <c r="Z609" s="39" t="s">
        <v>2001</v>
      </c>
      <c r="AA609" s="39"/>
      <c r="AB609" s="39"/>
      <c r="AD609" s="22"/>
      <c r="AE609" s="22"/>
      <c r="AF609" s="22"/>
      <c r="AG609" s="22"/>
      <c r="AH609" s="22"/>
      <c r="AI609" s="22"/>
      <c r="AJ609" s="22"/>
      <c r="AK609" s="22"/>
      <c r="AL609" s="22"/>
      <c r="AM609" s="22"/>
      <c r="AN609" s="22"/>
      <c r="AO609" s="22"/>
      <c r="AP609" s="22"/>
    </row>
    <row r="610" ht="25.5" customHeight="1">
      <c r="A610" s="285">
        <f t="shared" si="3"/>
        <v>609</v>
      </c>
      <c r="B610" s="285" t="s">
        <v>61</v>
      </c>
      <c r="C610" s="39" t="s">
        <v>279</v>
      </c>
      <c r="D610" s="39" t="s">
        <v>515</v>
      </c>
      <c r="E610" s="22"/>
      <c r="F610" s="204" t="s">
        <v>87</v>
      </c>
      <c r="G610" s="204" t="s">
        <v>36</v>
      </c>
      <c r="H610" s="39" t="s">
        <v>89</v>
      </c>
      <c r="I610" s="39" t="s">
        <v>286</v>
      </c>
      <c r="J610" s="39" t="s">
        <v>2002</v>
      </c>
      <c r="K610" s="22"/>
      <c r="L610" s="22" t="str">
        <f t="shared" si="67"/>
        <v>Cra 83 oeste # 1B - 04, Alto Nápoles, Cali</v>
      </c>
      <c r="M610" s="300" t="s">
        <v>2003</v>
      </c>
      <c r="N610" s="300" t="s">
        <v>233</v>
      </c>
      <c r="O610" s="22"/>
      <c r="P610" s="22"/>
      <c r="Q610" s="22"/>
      <c r="R610" s="122"/>
      <c r="S610" s="122"/>
      <c r="T610" s="122">
        <v>1.0</v>
      </c>
      <c r="U610" s="22"/>
      <c r="V610" s="22"/>
      <c r="W610" s="22"/>
      <c r="X610" s="22"/>
      <c r="Y610" s="22"/>
      <c r="Z610" s="39" t="s">
        <v>2004</v>
      </c>
      <c r="AA610" s="39"/>
      <c r="AB610" s="39"/>
      <c r="AD610" s="22"/>
      <c r="AE610" s="22"/>
      <c r="AF610" s="22"/>
      <c r="AG610" s="22"/>
      <c r="AH610" s="22"/>
      <c r="AI610" s="22"/>
      <c r="AJ610" s="22"/>
      <c r="AK610" s="22"/>
      <c r="AL610" s="22"/>
      <c r="AM610" s="22"/>
      <c r="AN610" s="22"/>
      <c r="AO610" s="22"/>
      <c r="AP610" s="22"/>
    </row>
    <row r="611" ht="25.5" customHeight="1">
      <c r="A611" s="198">
        <f t="shared" si="3"/>
        <v>610</v>
      </c>
      <c r="B611" s="198" t="s">
        <v>61</v>
      </c>
      <c r="C611" s="27" t="s">
        <v>279</v>
      </c>
      <c r="D611" s="142" t="s">
        <v>64</v>
      </c>
      <c r="E611" s="33"/>
      <c r="F611" s="30" t="s">
        <v>76</v>
      </c>
      <c r="G611" s="30" t="s">
        <v>350</v>
      </c>
      <c r="H611" s="27" t="s">
        <v>2005</v>
      </c>
      <c r="I611" s="27" t="s">
        <v>38</v>
      </c>
      <c r="J611" s="27" t="s">
        <v>2006</v>
      </c>
      <c r="K611" s="27" t="s">
        <v>2007</v>
      </c>
      <c r="L611" s="27" t="str">
        <f t="shared" si="67"/>
        <v>av 6 a norte # 38-60 Alameda de chipichape 3, chipichape, Cali</v>
      </c>
      <c r="M611" s="151" t="s">
        <v>2008</v>
      </c>
      <c r="N611" s="151" t="s">
        <v>233</v>
      </c>
      <c r="O611" s="33"/>
      <c r="P611" s="33"/>
      <c r="Q611" s="33"/>
      <c r="R611" s="35"/>
      <c r="S611" s="35"/>
      <c r="T611" s="35">
        <v>1.0</v>
      </c>
      <c r="U611" s="33"/>
      <c r="V611" s="33"/>
      <c r="W611" s="33"/>
      <c r="X611" s="33"/>
      <c r="Y611" s="33"/>
      <c r="Z611" s="33"/>
      <c r="AA611" s="33"/>
      <c r="AB611" s="33"/>
      <c r="AC611" s="98"/>
      <c r="AD611" s="33"/>
      <c r="AE611" s="33"/>
      <c r="AF611" s="33"/>
      <c r="AG611" s="33"/>
      <c r="AH611" s="33"/>
      <c r="AI611" s="33"/>
      <c r="AJ611" s="33"/>
      <c r="AK611" s="33"/>
      <c r="AL611" s="33"/>
      <c r="AM611" s="33"/>
      <c r="AN611" s="33"/>
      <c r="AO611" s="33"/>
      <c r="AP611" s="33"/>
    </row>
    <row r="612" ht="25.5" customHeight="1">
      <c r="A612" s="285">
        <f t="shared" si="3"/>
        <v>611</v>
      </c>
      <c r="B612" s="285" t="s">
        <v>61</v>
      </c>
      <c r="C612" s="39" t="s">
        <v>279</v>
      </c>
      <c r="D612" s="39" t="s">
        <v>515</v>
      </c>
      <c r="E612" s="22"/>
      <c r="F612" s="204" t="s">
        <v>60</v>
      </c>
      <c r="G612" s="204" t="s">
        <v>36</v>
      </c>
      <c r="H612" s="39" t="s">
        <v>434</v>
      </c>
      <c r="I612" s="39" t="s">
        <v>38</v>
      </c>
      <c r="J612" s="39" t="s">
        <v>2009</v>
      </c>
      <c r="K612" s="39" t="s">
        <v>2010</v>
      </c>
      <c r="L612" s="39" t="str">
        <f t="shared" si="67"/>
        <v>Calle 13 # 53-45 – Unidad Villa Marcela Revisar Aptos: 202 -201-102 B; 101- 102 A, Primero de mayo, Cali</v>
      </c>
      <c r="M612" s="39" t="s">
        <v>231</v>
      </c>
      <c r="N612" s="39" t="s">
        <v>233</v>
      </c>
      <c r="O612" s="22"/>
      <c r="P612" s="22"/>
      <c r="Q612" s="22"/>
      <c r="R612" s="122"/>
      <c r="S612" s="122"/>
      <c r="T612" s="122">
        <v>1.0</v>
      </c>
      <c r="U612" s="22"/>
      <c r="V612" s="22"/>
      <c r="W612" s="22"/>
      <c r="X612" s="22"/>
      <c r="Y612" s="22"/>
      <c r="Z612" s="22"/>
      <c r="AA612" s="22"/>
      <c r="AB612" s="22"/>
      <c r="AD612" s="22"/>
      <c r="AE612" s="22"/>
      <c r="AF612" s="22"/>
      <c r="AG612" s="22"/>
      <c r="AH612" s="22"/>
      <c r="AI612" s="22"/>
      <c r="AJ612" s="22"/>
      <c r="AK612" s="22"/>
      <c r="AL612" s="22"/>
      <c r="AM612" s="22"/>
      <c r="AN612" s="22"/>
      <c r="AO612" s="22"/>
      <c r="AP612" s="22"/>
    </row>
    <row r="613" ht="25.5" customHeight="1">
      <c r="A613" s="198">
        <f t="shared" si="3"/>
        <v>612</v>
      </c>
      <c r="B613" s="198" t="s">
        <v>61</v>
      </c>
      <c r="C613" s="27" t="s">
        <v>279</v>
      </c>
      <c r="D613" s="27" t="s">
        <v>515</v>
      </c>
      <c r="E613" s="33"/>
      <c r="F613" s="30" t="s">
        <v>121</v>
      </c>
      <c r="G613" s="30" t="s">
        <v>2011</v>
      </c>
      <c r="H613" s="27" t="s">
        <v>316</v>
      </c>
      <c r="I613" s="27" t="s">
        <v>286</v>
      </c>
      <c r="J613" s="27" t="s">
        <v>2012</v>
      </c>
      <c r="K613" s="33"/>
      <c r="L613" s="33" t="str">
        <f t="shared" si="67"/>
        <v>Calle 51 # 8-58, La base, Cali</v>
      </c>
      <c r="M613" s="33" t="s">
        <v>231</v>
      </c>
      <c r="N613" s="33" t="s">
        <v>233</v>
      </c>
      <c r="O613" s="33"/>
      <c r="P613" s="33"/>
      <c r="Q613" s="33"/>
      <c r="R613" s="35"/>
      <c r="S613" s="35"/>
      <c r="T613" s="35">
        <v>1.0</v>
      </c>
      <c r="U613" s="33"/>
      <c r="V613" s="33"/>
      <c r="W613" s="33"/>
      <c r="X613" s="33"/>
      <c r="Y613" s="33"/>
      <c r="Z613" s="27" t="s">
        <v>2013</v>
      </c>
      <c r="AA613" s="27"/>
      <c r="AB613" s="27"/>
      <c r="AC613" s="98"/>
      <c r="AD613" s="33"/>
      <c r="AE613" s="33"/>
      <c r="AF613" s="33"/>
      <c r="AG613" s="33"/>
      <c r="AH613" s="33"/>
      <c r="AI613" s="33"/>
      <c r="AJ613" s="33"/>
      <c r="AK613" s="33"/>
      <c r="AL613" s="33"/>
      <c r="AM613" s="33"/>
      <c r="AN613" s="33"/>
      <c r="AO613" s="33"/>
      <c r="AP613" s="33"/>
    </row>
    <row r="614" ht="25.5" customHeight="1">
      <c r="A614" s="285">
        <f t="shared" si="3"/>
        <v>613</v>
      </c>
      <c r="B614" s="285" t="s">
        <v>61</v>
      </c>
      <c r="C614" s="39" t="s">
        <v>279</v>
      </c>
      <c r="D614" s="39" t="s">
        <v>515</v>
      </c>
      <c r="E614" s="22"/>
      <c r="F614" s="204" t="s">
        <v>35</v>
      </c>
      <c r="G614" s="204" t="s">
        <v>36</v>
      </c>
      <c r="H614" s="39" t="s">
        <v>278</v>
      </c>
      <c r="I614" s="39" t="s">
        <v>286</v>
      </c>
      <c r="J614" s="39" t="s">
        <v>2014</v>
      </c>
      <c r="K614" s="22"/>
      <c r="L614" s="22" t="str">
        <f t="shared" si="67"/>
        <v>Calle 5B3 Bis # 38-25, San Fernando, Cali</v>
      </c>
      <c r="M614" s="22" t="s">
        <v>231</v>
      </c>
      <c r="N614" s="22" t="s">
        <v>233</v>
      </c>
      <c r="O614" s="22"/>
      <c r="P614" s="22"/>
      <c r="Q614" s="22"/>
      <c r="R614" s="122"/>
      <c r="S614" s="122"/>
      <c r="T614" s="122">
        <v>1.0</v>
      </c>
      <c r="U614" s="22"/>
      <c r="V614" s="22"/>
      <c r="W614" s="22"/>
      <c r="X614" s="22"/>
      <c r="Y614" s="22"/>
      <c r="Z614" s="22"/>
      <c r="AA614" s="22"/>
      <c r="AB614" s="22"/>
      <c r="AD614" s="22"/>
      <c r="AE614" s="22"/>
      <c r="AF614" s="22"/>
      <c r="AG614" s="22"/>
      <c r="AH614" s="22"/>
      <c r="AI614" s="22"/>
      <c r="AJ614" s="22"/>
      <c r="AK614" s="22"/>
      <c r="AL614" s="22"/>
      <c r="AM614" s="22"/>
      <c r="AN614" s="22"/>
      <c r="AO614" s="22"/>
      <c r="AP614" s="22"/>
    </row>
    <row r="615" ht="25.5" customHeight="1">
      <c r="A615" s="285">
        <f t="shared" si="3"/>
        <v>614</v>
      </c>
      <c r="B615" s="285" t="s">
        <v>61</v>
      </c>
      <c r="C615" s="39" t="s">
        <v>279</v>
      </c>
      <c r="D615" s="39" t="s">
        <v>515</v>
      </c>
      <c r="E615" s="22"/>
      <c r="F615" s="204" t="s">
        <v>35</v>
      </c>
      <c r="G615" s="204" t="s">
        <v>36</v>
      </c>
      <c r="H615" s="39" t="s">
        <v>278</v>
      </c>
      <c r="I615" s="39" t="s">
        <v>286</v>
      </c>
      <c r="J615" s="39" t="s">
        <v>2015</v>
      </c>
      <c r="K615" s="22"/>
      <c r="L615" s="22" t="str">
        <f t="shared" si="67"/>
        <v>Calle 5b3 bis # 31 21, San Fernando, Cali</v>
      </c>
      <c r="M615" s="22" t="s">
        <v>231</v>
      </c>
      <c r="N615" s="22" t="s">
        <v>233</v>
      </c>
      <c r="O615" s="22"/>
      <c r="P615" s="22"/>
      <c r="Q615" s="22"/>
      <c r="R615" s="122"/>
      <c r="S615" s="122"/>
      <c r="T615" s="122">
        <v>1.0</v>
      </c>
      <c r="U615" s="22"/>
      <c r="V615" s="22"/>
      <c r="W615" s="22"/>
      <c r="X615" s="22"/>
      <c r="Y615" s="22"/>
      <c r="Z615" s="22"/>
      <c r="AA615" s="22"/>
      <c r="AB615" s="22"/>
      <c r="AD615" s="22"/>
      <c r="AE615" s="22"/>
      <c r="AF615" s="22"/>
      <c r="AG615" s="22"/>
      <c r="AH615" s="22"/>
      <c r="AI615" s="22"/>
      <c r="AJ615" s="22"/>
      <c r="AK615" s="22"/>
      <c r="AL615" s="22"/>
      <c r="AM615" s="22"/>
      <c r="AN615" s="22"/>
      <c r="AO615" s="22"/>
      <c r="AP615" s="22"/>
    </row>
    <row r="616" ht="25.5" customHeight="1">
      <c r="A616" s="285">
        <f t="shared" si="3"/>
        <v>615</v>
      </c>
      <c r="B616" s="285" t="s">
        <v>61</v>
      </c>
      <c r="C616" s="39" t="s">
        <v>279</v>
      </c>
      <c r="D616" s="39" t="s">
        <v>515</v>
      </c>
      <c r="E616" s="22"/>
      <c r="F616" s="204" t="s">
        <v>60</v>
      </c>
      <c r="G616" s="204" t="s">
        <v>36</v>
      </c>
      <c r="H616" s="39" t="s">
        <v>138</v>
      </c>
      <c r="I616" s="39" t="s">
        <v>38</v>
      </c>
      <c r="J616" s="39" t="s">
        <v>2016</v>
      </c>
      <c r="K616" s="39" t="s">
        <v>2017</v>
      </c>
      <c r="L616" s="39" t="str">
        <f t="shared" si="67"/>
        <v>Carrera 1F # 58-50, Conjunto Punta del Este, Bochalema, Cali</v>
      </c>
      <c r="M616" s="39" t="s">
        <v>231</v>
      </c>
      <c r="N616" s="39" t="s">
        <v>233</v>
      </c>
      <c r="O616" s="22"/>
      <c r="P616" s="22"/>
      <c r="Q616" s="22"/>
      <c r="R616" s="122"/>
      <c r="S616" s="122"/>
      <c r="T616" s="122">
        <v>1.0</v>
      </c>
      <c r="U616" s="22"/>
      <c r="V616" s="22"/>
      <c r="W616" s="22"/>
      <c r="X616" s="22"/>
      <c r="Y616" s="22"/>
      <c r="Z616" s="22"/>
      <c r="AA616" s="22"/>
      <c r="AB616" s="22"/>
      <c r="AD616" s="22"/>
      <c r="AE616" s="22"/>
      <c r="AF616" s="22"/>
      <c r="AG616" s="22"/>
      <c r="AH616" s="22"/>
      <c r="AI616" s="22"/>
      <c r="AJ616" s="22"/>
      <c r="AK616" s="22"/>
      <c r="AL616" s="22"/>
      <c r="AM616" s="22"/>
      <c r="AN616" s="22"/>
      <c r="AO616" s="22"/>
      <c r="AP616" s="22"/>
    </row>
    <row r="617" ht="25.5" customHeight="1">
      <c r="A617" s="285">
        <f t="shared" si="3"/>
        <v>616</v>
      </c>
      <c r="B617" s="285" t="s">
        <v>61</v>
      </c>
      <c r="C617" s="39" t="s">
        <v>279</v>
      </c>
      <c r="D617" s="39" t="s">
        <v>515</v>
      </c>
      <c r="E617" s="22"/>
      <c r="F617" s="204" t="s">
        <v>35</v>
      </c>
      <c r="G617" s="204" t="s">
        <v>36</v>
      </c>
      <c r="H617" s="39" t="s">
        <v>278</v>
      </c>
      <c r="I617" s="39" t="s">
        <v>38</v>
      </c>
      <c r="J617" s="39" t="s">
        <v>2018</v>
      </c>
      <c r="K617" s="39" t="s">
        <v>2019</v>
      </c>
      <c r="L617" s="39" t="str">
        <f t="shared" si="67"/>
        <v>Calle 5b 3bis # 38 - 32, San Fernando, Cali</v>
      </c>
      <c r="M617" s="39" t="s">
        <v>231</v>
      </c>
      <c r="N617" s="39" t="s">
        <v>233</v>
      </c>
      <c r="O617" s="22"/>
      <c r="P617" s="22"/>
      <c r="Q617" s="22"/>
      <c r="R617" s="122"/>
      <c r="S617" s="122"/>
      <c r="T617" s="122">
        <v>1.0</v>
      </c>
      <c r="U617" s="22"/>
      <c r="V617" s="22"/>
      <c r="W617" s="22"/>
      <c r="X617" s="22"/>
      <c r="Y617" s="22"/>
      <c r="Z617" s="22"/>
      <c r="AA617" s="22"/>
      <c r="AB617" s="22"/>
      <c r="AD617" s="22"/>
      <c r="AE617" s="22"/>
      <c r="AF617" s="22"/>
      <c r="AG617" s="22"/>
      <c r="AH617" s="22"/>
      <c r="AI617" s="22"/>
      <c r="AJ617" s="22"/>
      <c r="AK617" s="22"/>
      <c r="AL617" s="22"/>
      <c r="AM617" s="22"/>
      <c r="AN617" s="22"/>
      <c r="AO617" s="22"/>
      <c r="AP617" s="22"/>
    </row>
    <row r="618" ht="25.5" customHeight="1">
      <c r="A618" s="198">
        <f t="shared" si="3"/>
        <v>617</v>
      </c>
      <c r="B618" s="198" t="s">
        <v>61</v>
      </c>
      <c r="C618" s="27" t="s">
        <v>279</v>
      </c>
      <c r="D618" s="27" t="s">
        <v>515</v>
      </c>
      <c r="E618" s="33"/>
      <c r="F618" s="30" t="s">
        <v>76</v>
      </c>
      <c r="G618" s="30" t="s">
        <v>350</v>
      </c>
      <c r="H618" s="27" t="s">
        <v>75</v>
      </c>
      <c r="I618" s="27" t="s">
        <v>38</v>
      </c>
      <c r="J618" s="301" t="s">
        <v>2020</v>
      </c>
      <c r="K618" s="27" t="s">
        <v>2021</v>
      </c>
      <c r="L618" s="27" t="str">
        <f t="shared" si="67"/>
        <v>Calle 55A Norte # 2AN-99 y # 2AN-107, Alamos, Cali</v>
      </c>
      <c r="M618" s="151" t="s">
        <v>2022</v>
      </c>
      <c r="N618" s="151" t="s">
        <v>233</v>
      </c>
      <c r="O618" s="22"/>
      <c r="P618" s="22"/>
      <c r="Q618" s="22"/>
      <c r="R618" s="122"/>
      <c r="S618" s="122"/>
      <c r="T618" s="122">
        <v>1.0</v>
      </c>
      <c r="U618" s="22"/>
      <c r="V618" s="22"/>
      <c r="W618" s="22"/>
      <c r="X618" s="22"/>
      <c r="Y618" s="22"/>
      <c r="Z618" s="39" t="s">
        <v>2023</v>
      </c>
      <c r="AA618" s="39"/>
      <c r="AB618" s="39"/>
      <c r="AD618" s="22"/>
      <c r="AE618" s="22"/>
      <c r="AF618" s="22"/>
      <c r="AG618" s="22"/>
      <c r="AH618" s="22"/>
      <c r="AI618" s="22"/>
      <c r="AJ618" s="22"/>
      <c r="AK618" s="22"/>
      <c r="AL618" s="22"/>
      <c r="AM618" s="22"/>
      <c r="AN618" s="22"/>
      <c r="AO618" s="22"/>
      <c r="AP618" s="22"/>
    </row>
    <row r="619" ht="25.5" customHeight="1">
      <c r="A619" s="27">
        <f t="shared" si="3"/>
        <v>618</v>
      </c>
      <c r="B619" s="27" t="s">
        <v>61</v>
      </c>
      <c r="C619" s="142" t="s">
        <v>63</v>
      </c>
      <c r="D619" s="142" t="s">
        <v>64</v>
      </c>
      <c r="E619" s="33"/>
      <c r="F619" s="30" t="s">
        <v>87</v>
      </c>
      <c r="G619" s="30" t="s">
        <v>36</v>
      </c>
      <c r="H619" s="27" t="s">
        <v>89</v>
      </c>
      <c r="I619" s="27" t="s">
        <v>286</v>
      </c>
      <c r="J619" s="301" t="s">
        <v>2024</v>
      </c>
      <c r="K619" s="33"/>
      <c r="L619" s="33" t="str">
        <f t="shared" si="67"/>
        <v>Calle 2A Bis # 82A-23, Alto Nápoles, Cali</v>
      </c>
      <c r="M619" s="33" t="s">
        <v>231</v>
      </c>
      <c r="N619" s="33" t="s">
        <v>233</v>
      </c>
      <c r="O619" s="33"/>
      <c r="P619" s="33"/>
      <c r="Q619" s="27" t="s">
        <v>81</v>
      </c>
      <c r="R619" s="30"/>
      <c r="S619" s="30"/>
      <c r="T619" s="30">
        <v>1.0</v>
      </c>
      <c r="U619" s="33"/>
      <c r="V619" s="33"/>
      <c r="W619" s="33"/>
      <c r="X619" s="33"/>
      <c r="Y619" s="27" t="s">
        <v>2025</v>
      </c>
      <c r="Z619" s="27" t="s">
        <v>2026</v>
      </c>
      <c r="AA619" s="33"/>
      <c r="AB619" s="33"/>
      <c r="AD619" s="22"/>
      <c r="AE619" s="22"/>
      <c r="AF619" s="22"/>
      <c r="AG619" s="22"/>
      <c r="AH619" s="22"/>
      <c r="AI619" s="22"/>
      <c r="AJ619" s="22"/>
      <c r="AK619" s="22"/>
      <c r="AL619" s="22"/>
      <c r="AM619" s="22"/>
      <c r="AN619" s="22"/>
      <c r="AO619" s="22"/>
      <c r="AP619" s="22"/>
    </row>
    <row r="620" ht="25.5" customHeight="1">
      <c r="A620" s="302">
        <f t="shared" si="3"/>
        <v>619</v>
      </c>
      <c r="B620" s="302" t="s">
        <v>61</v>
      </c>
      <c r="C620" s="276" t="s">
        <v>279</v>
      </c>
      <c r="D620" s="276" t="s">
        <v>515</v>
      </c>
      <c r="E620" s="277"/>
      <c r="F620" s="278" t="s">
        <v>80</v>
      </c>
      <c r="G620" s="278" t="s">
        <v>426</v>
      </c>
      <c r="H620" s="303" t="s">
        <v>383</v>
      </c>
      <c r="I620" s="276" t="s">
        <v>286</v>
      </c>
      <c r="J620" s="304" t="s">
        <v>2027</v>
      </c>
      <c r="K620" s="277"/>
      <c r="L620" s="277" t="str">
        <f t="shared" si="67"/>
        <v>Carrera 26P # 103D-17, Marroquín I, Cali</v>
      </c>
      <c r="M620" s="277" t="s">
        <v>231</v>
      </c>
      <c r="N620" s="277" t="s">
        <v>233</v>
      </c>
      <c r="O620" s="277"/>
      <c r="P620" s="277"/>
      <c r="Q620" s="277"/>
      <c r="R620" s="305"/>
      <c r="S620" s="305"/>
      <c r="T620" s="305">
        <v>1.0</v>
      </c>
      <c r="U620" s="277"/>
      <c r="V620" s="277"/>
      <c r="W620" s="277"/>
      <c r="X620" s="277"/>
      <c r="Y620" s="277"/>
      <c r="Z620" s="276" t="s">
        <v>2028</v>
      </c>
      <c r="AA620" s="277"/>
      <c r="AB620" s="277"/>
      <c r="AD620" s="22"/>
      <c r="AE620" s="22"/>
      <c r="AF620" s="22"/>
      <c r="AG620" s="22"/>
      <c r="AH620" s="22"/>
      <c r="AI620" s="22"/>
      <c r="AJ620" s="22"/>
      <c r="AK620" s="22"/>
      <c r="AL620" s="22"/>
      <c r="AM620" s="22"/>
      <c r="AN620" s="22"/>
      <c r="AO620" s="22"/>
      <c r="AP620" s="22"/>
    </row>
    <row r="621" ht="25.5" customHeight="1">
      <c r="A621" s="285">
        <f t="shared" si="3"/>
        <v>620</v>
      </c>
      <c r="B621" s="285" t="s">
        <v>61</v>
      </c>
      <c r="C621" s="39" t="s">
        <v>279</v>
      </c>
      <c r="D621" s="39" t="s">
        <v>515</v>
      </c>
      <c r="E621" s="22"/>
      <c r="F621" s="204" t="s">
        <v>85</v>
      </c>
      <c r="G621" s="204" t="s">
        <v>1837</v>
      </c>
      <c r="H621" s="39" t="s">
        <v>84</v>
      </c>
      <c r="I621" s="39" t="s">
        <v>38</v>
      </c>
      <c r="J621" s="39" t="s">
        <v>2029</v>
      </c>
      <c r="K621" s="22"/>
      <c r="L621" s="22" t="str">
        <f t="shared" si="67"/>
        <v>Calle 82 # 7b bis-12 - unidad atalaya, Alfonso López, Cali</v>
      </c>
      <c r="M621" s="22" t="s">
        <v>231</v>
      </c>
      <c r="N621" s="22" t="s">
        <v>233</v>
      </c>
      <c r="O621" s="22"/>
      <c r="P621" s="22"/>
      <c r="Q621" s="22"/>
      <c r="R621" s="122"/>
      <c r="S621" s="122"/>
      <c r="T621" s="122">
        <v>1.0</v>
      </c>
      <c r="U621" s="22"/>
      <c r="V621" s="22"/>
      <c r="W621" s="22"/>
      <c r="X621" s="22"/>
      <c r="Y621" s="22"/>
      <c r="Z621" s="39" t="s">
        <v>2030</v>
      </c>
      <c r="AA621" s="39"/>
      <c r="AB621" s="39"/>
      <c r="AD621" s="22"/>
      <c r="AE621" s="22"/>
      <c r="AF621" s="22"/>
      <c r="AG621" s="22"/>
      <c r="AH621" s="22"/>
      <c r="AI621" s="22"/>
      <c r="AJ621" s="22"/>
      <c r="AK621" s="22"/>
      <c r="AL621" s="22"/>
      <c r="AM621" s="22"/>
      <c r="AN621" s="22"/>
      <c r="AO621" s="22"/>
      <c r="AP621" s="22"/>
    </row>
    <row r="622" ht="25.5" customHeight="1">
      <c r="A622" s="198">
        <f t="shared" si="3"/>
        <v>621</v>
      </c>
      <c r="B622" s="198" t="s">
        <v>61</v>
      </c>
      <c r="C622" s="27" t="s">
        <v>279</v>
      </c>
      <c r="D622" s="27" t="s">
        <v>515</v>
      </c>
      <c r="E622" s="33"/>
      <c r="F622" s="30" t="s">
        <v>76</v>
      </c>
      <c r="G622" s="30" t="s">
        <v>350</v>
      </c>
      <c r="H622" s="27" t="s">
        <v>1095</v>
      </c>
      <c r="I622" s="27" t="s">
        <v>1715</v>
      </c>
      <c r="J622" s="27" t="s">
        <v>2031</v>
      </c>
      <c r="K622" s="27" t="s">
        <v>2032</v>
      </c>
      <c r="L622" s="39" t="str">
        <f t="shared" si="67"/>
        <v>Calle 64N #4-35. Apto 1001C Paseo real 3, la flora, Cali</v>
      </c>
      <c r="M622" s="39" t="s">
        <v>231</v>
      </c>
      <c r="N622" s="39" t="s">
        <v>233</v>
      </c>
      <c r="O622" s="22"/>
      <c r="P622" s="22"/>
      <c r="Q622" s="22"/>
      <c r="R622" s="122"/>
      <c r="S622" s="122"/>
      <c r="T622" s="122">
        <v>1.0</v>
      </c>
      <c r="U622" s="22"/>
      <c r="V622" s="22"/>
      <c r="W622" s="22"/>
      <c r="X622" s="22"/>
      <c r="Y622" s="22"/>
      <c r="Z622" s="22"/>
      <c r="AA622" s="22"/>
      <c r="AB622" s="22"/>
      <c r="AD622" s="22"/>
      <c r="AE622" s="22"/>
      <c r="AF622" s="22"/>
      <c r="AG622" s="22"/>
      <c r="AH622" s="22"/>
      <c r="AI622" s="22"/>
      <c r="AJ622" s="22"/>
      <c r="AK622" s="22"/>
      <c r="AL622" s="22"/>
      <c r="AM622" s="22"/>
      <c r="AN622" s="22"/>
      <c r="AO622" s="22"/>
      <c r="AP622" s="22"/>
    </row>
    <row r="623" ht="25.5" customHeight="1">
      <c r="A623" s="63">
        <f t="shared" si="3"/>
        <v>622</v>
      </c>
      <c r="B623" s="63" t="s">
        <v>62</v>
      </c>
      <c r="C623" s="65" t="s">
        <v>133</v>
      </c>
      <c r="D623" s="108" t="s">
        <v>515</v>
      </c>
      <c r="E623" s="68" t="s">
        <v>62</v>
      </c>
      <c r="F623" s="70" t="s">
        <v>62</v>
      </c>
      <c r="G623" s="70" t="s">
        <v>62</v>
      </c>
      <c r="H623" s="71" t="s">
        <v>62</v>
      </c>
      <c r="I623" s="71" t="s">
        <v>62</v>
      </c>
      <c r="J623" s="68" t="s">
        <v>62</v>
      </c>
      <c r="K623" s="68" t="s">
        <v>62</v>
      </c>
      <c r="L623" s="68" t="s">
        <v>62</v>
      </c>
      <c r="M623" s="68" t="s">
        <v>62</v>
      </c>
      <c r="N623" s="68" t="s">
        <v>62</v>
      </c>
      <c r="O623" s="68" t="s">
        <v>62</v>
      </c>
      <c r="P623" s="68" t="s">
        <v>62</v>
      </c>
      <c r="Q623" s="68" t="s">
        <v>62</v>
      </c>
      <c r="R623" s="68" t="s">
        <v>62</v>
      </c>
      <c r="S623" s="68"/>
      <c r="T623" s="68" t="s">
        <v>62</v>
      </c>
      <c r="U623" s="68" t="s">
        <v>62</v>
      </c>
      <c r="V623" s="68" t="s">
        <v>62</v>
      </c>
      <c r="W623" s="68" t="s">
        <v>62</v>
      </c>
      <c r="X623" s="68" t="s">
        <v>62</v>
      </c>
      <c r="Y623" s="68" t="s">
        <v>62</v>
      </c>
      <c r="Z623" s="68" t="s">
        <v>62</v>
      </c>
      <c r="AA623" s="68" t="s">
        <v>62</v>
      </c>
      <c r="AB623" s="68" t="s">
        <v>62</v>
      </c>
      <c r="AD623" s="22"/>
      <c r="AE623" s="22"/>
      <c r="AF623" s="22"/>
      <c r="AG623" s="22"/>
      <c r="AH623" s="22"/>
      <c r="AI623" s="22"/>
      <c r="AJ623" s="22"/>
      <c r="AK623" s="22"/>
      <c r="AL623" s="22"/>
      <c r="AM623" s="22"/>
      <c r="AN623" s="22"/>
      <c r="AO623" s="22"/>
      <c r="AP623" s="22"/>
    </row>
    <row r="624" ht="25.5" customHeight="1">
      <c r="A624" s="306">
        <f t="shared" si="3"/>
        <v>623</v>
      </c>
      <c r="B624" s="306" t="s">
        <v>61</v>
      </c>
      <c r="C624" s="39" t="s">
        <v>279</v>
      </c>
      <c r="D624" s="39" t="s">
        <v>515</v>
      </c>
      <c r="E624" s="307"/>
      <c r="F624" s="204" t="s">
        <v>116</v>
      </c>
      <c r="G624" s="204" t="s">
        <v>350</v>
      </c>
      <c r="H624" s="285" t="s">
        <v>1750</v>
      </c>
      <c r="I624" s="285" t="s">
        <v>38</v>
      </c>
      <c r="J624" s="285" t="s">
        <v>2033</v>
      </c>
      <c r="K624" s="308" t="s">
        <v>2034</v>
      </c>
      <c r="L624" s="306" t="str">
        <f t="shared" ref="L624:L627" si="68">CONCATENATE(J624,", ",H624,", Cali")</f>
        <v>los andes calle 56 con carrea 1d2 Edificio portal del encinar, los andes, Cali</v>
      </c>
      <c r="M624" s="306" t="s">
        <v>231</v>
      </c>
      <c r="N624" s="306" t="s">
        <v>233</v>
      </c>
      <c r="O624" s="22"/>
      <c r="P624" s="22"/>
      <c r="Q624" s="22"/>
      <c r="R624" s="122"/>
      <c r="S624" s="122"/>
      <c r="T624" s="122">
        <v>1.0</v>
      </c>
      <c r="U624" s="22"/>
      <c r="V624" s="22"/>
      <c r="W624" s="22"/>
      <c r="X624" s="22"/>
      <c r="Y624" s="22"/>
      <c r="Z624" s="306" t="s">
        <v>2035</v>
      </c>
      <c r="AA624" s="306"/>
      <c r="AB624" s="306"/>
      <c r="AD624" s="22"/>
      <c r="AE624" s="22"/>
      <c r="AF624" s="22"/>
      <c r="AG624" s="22"/>
      <c r="AH624" s="22"/>
      <c r="AI624" s="22"/>
      <c r="AJ624" s="22"/>
      <c r="AK624" s="22"/>
      <c r="AL624" s="22"/>
      <c r="AM624" s="22"/>
      <c r="AN624" s="22"/>
      <c r="AO624" s="22"/>
      <c r="AP624" s="22"/>
    </row>
    <row r="625" ht="25.5" customHeight="1">
      <c r="A625" s="306">
        <f t="shared" si="3"/>
        <v>624</v>
      </c>
      <c r="B625" s="306" t="s">
        <v>307</v>
      </c>
      <c r="C625" s="39" t="s">
        <v>279</v>
      </c>
      <c r="D625" s="39" t="s">
        <v>515</v>
      </c>
      <c r="E625" s="307"/>
      <c r="F625" s="204" t="s">
        <v>35</v>
      </c>
      <c r="G625" s="309" t="s">
        <v>176</v>
      </c>
      <c r="H625" s="285" t="s">
        <v>1818</v>
      </c>
      <c r="I625" s="285" t="s">
        <v>286</v>
      </c>
      <c r="J625" s="285" t="s">
        <v>2036</v>
      </c>
      <c r="K625" s="310"/>
      <c r="L625" s="307" t="str">
        <f t="shared" si="68"/>
        <v>carrera 41 con roosvelt, los cambulos, Cali</v>
      </c>
      <c r="M625" s="307" t="s">
        <v>41</v>
      </c>
      <c r="N625" s="307" t="s">
        <v>41</v>
      </c>
      <c r="O625" s="22"/>
      <c r="P625" s="22"/>
      <c r="Q625" s="22"/>
      <c r="R625" s="122">
        <v>1.0</v>
      </c>
      <c r="S625" s="122"/>
      <c r="T625" s="122"/>
      <c r="U625" s="22"/>
      <c r="V625" s="22"/>
      <c r="W625" s="22"/>
      <c r="X625" s="22"/>
      <c r="Y625" s="22"/>
      <c r="Z625" s="306" t="s">
        <v>2037</v>
      </c>
      <c r="AA625" s="306"/>
      <c r="AB625" s="306"/>
      <c r="AD625" s="22"/>
      <c r="AE625" s="22"/>
      <c r="AF625" s="22"/>
      <c r="AG625" s="22"/>
      <c r="AH625" s="22"/>
      <c r="AI625" s="22"/>
      <c r="AJ625" s="22"/>
      <c r="AK625" s="22"/>
      <c r="AL625" s="22"/>
      <c r="AM625" s="22"/>
      <c r="AN625" s="22"/>
      <c r="AO625" s="22"/>
      <c r="AP625" s="22"/>
    </row>
    <row r="626" ht="25.5" customHeight="1">
      <c r="A626" s="306">
        <f t="shared" si="3"/>
        <v>625</v>
      </c>
      <c r="B626" s="306" t="s">
        <v>307</v>
      </c>
      <c r="C626" s="39" t="s">
        <v>279</v>
      </c>
      <c r="D626" s="39" t="s">
        <v>515</v>
      </c>
      <c r="E626" s="307"/>
      <c r="F626" s="204" t="s">
        <v>35</v>
      </c>
      <c r="G626" s="309" t="s">
        <v>176</v>
      </c>
      <c r="H626" s="285" t="s">
        <v>1818</v>
      </c>
      <c r="I626" s="285" t="s">
        <v>38</v>
      </c>
      <c r="J626" s="285" t="s">
        <v>2038</v>
      </c>
      <c r="K626" s="310"/>
      <c r="L626" s="307" t="str">
        <f t="shared" si="68"/>
        <v>Calle 41 con Carrera 7, los cambulos, Cali</v>
      </c>
      <c r="M626" s="307" t="s">
        <v>41</v>
      </c>
      <c r="N626" s="307" t="s">
        <v>41</v>
      </c>
      <c r="O626" s="22"/>
      <c r="P626" s="22"/>
      <c r="Q626" s="22"/>
      <c r="R626" s="122">
        <v>1.0</v>
      </c>
      <c r="S626" s="122"/>
      <c r="T626" s="122"/>
      <c r="U626" s="22"/>
      <c r="V626" s="22"/>
      <c r="W626" s="22"/>
      <c r="X626" s="22"/>
      <c r="Y626" s="22"/>
      <c r="Z626" s="306" t="s">
        <v>2039</v>
      </c>
      <c r="AA626" s="306"/>
      <c r="AB626" s="306"/>
      <c r="AD626" s="22"/>
      <c r="AE626" s="22"/>
      <c r="AF626" s="22"/>
      <c r="AG626" s="22"/>
      <c r="AH626" s="22"/>
      <c r="AI626" s="22"/>
      <c r="AJ626" s="22"/>
      <c r="AK626" s="22"/>
      <c r="AL626" s="22"/>
      <c r="AM626" s="22"/>
      <c r="AN626" s="22"/>
      <c r="AO626" s="22"/>
      <c r="AP626" s="22"/>
    </row>
    <row r="627" ht="25.5" customHeight="1">
      <c r="A627" s="306">
        <f t="shared" si="3"/>
        <v>626</v>
      </c>
      <c r="B627" s="306" t="s">
        <v>61</v>
      </c>
      <c r="C627" s="39" t="s">
        <v>279</v>
      </c>
      <c r="D627" s="39" t="s">
        <v>515</v>
      </c>
      <c r="E627" s="307"/>
      <c r="F627" s="204" t="s">
        <v>35</v>
      </c>
      <c r="G627" s="309" t="s">
        <v>176</v>
      </c>
      <c r="H627" s="285" t="s">
        <v>275</v>
      </c>
      <c r="I627" s="285" t="s">
        <v>38</v>
      </c>
      <c r="J627" s="285" t="s">
        <v>2040</v>
      </c>
      <c r="K627" s="308" t="s">
        <v>2041</v>
      </c>
      <c r="L627" s="306" t="str">
        <f t="shared" si="68"/>
        <v>carrera 38a # 7 - 5 , hotel flamingo, Eucarístico, Cali</v>
      </c>
      <c r="M627" s="311" t="s">
        <v>2042</v>
      </c>
      <c r="N627" s="311" t="s">
        <v>233</v>
      </c>
      <c r="O627" s="22"/>
      <c r="P627" s="22"/>
      <c r="Q627" s="22"/>
      <c r="R627" s="122"/>
      <c r="S627" s="122"/>
      <c r="T627" s="122">
        <v>1.0</v>
      </c>
      <c r="U627" s="22"/>
      <c r="V627" s="22"/>
      <c r="W627" s="22"/>
      <c r="X627" s="22"/>
      <c r="Y627" s="22"/>
      <c r="Z627" s="306" t="s">
        <v>2043</v>
      </c>
      <c r="AA627" s="306"/>
      <c r="AB627" s="306"/>
      <c r="AD627" s="22"/>
      <c r="AE627" s="22"/>
      <c r="AF627" s="22"/>
      <c r="AG627" s="22"/>
      <c r="AH627" s="22"/>
      <c r="AI627" s="22"/>
      <c r="AJ627" s="22"/>
      <c r="AK627" s="22"/>
      <c r="AL627" s="22"/>
      <c r="AM627" s="22"/>
      <c r="AN627" s="22"/>
      <c r="AO627" s="22"/>
      <c r="AP627" s="22"/>
    </row>
    <row r="628" ht="25.5" customHeight="1">
      <c r="A628" s="63">
        <f t="shared" si="3"/>
        <v>627</v>
      </c>
      <c r="B628" s="63" t="s">
        <v>62</v>
      </c>
      <c r="C628" s="65" t="s">
        <v>133</v>
      </c>
      <c r="D628" s="108" t="s">
        <v>515</v>
      </c>
      <c r="E628" s="68" t="s">
        <v>62</v>
      </c>
      <c r="F628" s="70" t="s">
        <v>62</v>
      </c>
      <c r="G628" s="70" t="s">
        <v>62</v>
      </c>
      <c r="H628" s="71" t="s">
        <v>62</v>
      </c>
      <c r="I628" s="71" t="s">
        <v>62</v>
      </c>
      <c r="J628" s="68" t="s">
        <v>62</v>
      </c>
      <c r="K628" s="68" t="s">
        <v>62</v>
      </c>
      <c r="L628" s="68" t="s">
        <v>62</v>
      </c>
      <c r="M628" s="68" t="s">
        <v>62</v>
      </c>
      <c r="N628" s="68" t="s">
        <v>62</v>
      </c>
      <c r="O628" s="68" t="s">
        <v>62</v>
      </c>
      <c r="P628" s="68" t="s">
        <v>62</v>
      </c>
      <c r="Q628" s="68" t="s">
        <v>62</v>
      </c>
      <c r="R628" s="68" t="s">
        <v>62</v>
      </c>
      <c r="S628" s="68"/>
      <c r="T628" s="68" t="s">
        <v>62</v>
      </c>
      <c r="U628" s="68" t="s">
        <v>62</v>
      </c>
      <c r="V628" s="68" t="s">
        <v>62</v>
      </c>
      <c r="W628" s="68" t="s">
        <v>62</v>
      </c>
      <c r="X628" s="68" t="s">
        <v>62</v>
      </c>
      <c r="Y628" s="68" t="s">
        <v>62</v>
      </c>
      <c r="Z628" s="68" t="s">
        <v>62</v>
      </c>
      <c r="AA628" s="68" t="s">
        <v>62</v>
      </c>
      <c r="AB628" s="68" t="s">
        <v>62</v>
      </c>
      <c r="AD628" s="22"/>
      <c r="AE628" s="22"/>
      <c r="AF628" s="22"/>
      <c r="AG628" s="22"/>
      <c r="AH628" s="22"/>
      <c r="AI628" s="22"/>
      <c r="AJ628" s="22"/>
      <c r="AK628" s="22"/>
      <c r="AL628" s="22"/>
      <c r="AM628" s="22"/>
      <c r="AN628" s="22"/>
      <c r="AO628" s="22"/>
      <c r="AP628" s="22"/>
    </row>
    <row r="629" ht="25.5" customHeight="1">
      <c r="A629" s="306">
        <f t="shared" si="3"/>
        <v>628</v>
      </c>
      <c r="B629" s="306" t="s">
        <v>61</v>
      </c>
      <c r="C629" s="39" t="s">
        <v>279</v>
      </c>
      <c r="D629" s="39" t="s">
        <v>515</v>
      </c>
      <c r="E629" s="307"/>
      <c r="F629" s="204" t="s">
        <v>110</v>
      </c>
      <c r="G629" s="204" t="s">
        <v>176</v>
      </c>
      <c r="H629" s="285" t="s">
        <v>451</v>
      </c>
      <c r="I629" s="285" t="s">
        <v>38</v>
      </c>
      <c r="J629" s="285" t="s">
        <v>2044</v>
      </c>
      <c r="K629" s="310"/>
      <c r="L629" s="307" t="str">
        <f t="shared" ref="L629:L644" si="69">CONCATENATE(J629,", ",H629,", Cali")</f>
        <v>calle 5# 13-58, san cayetano, Cali</v>
      </c>
      <c r="M629" s="311" t="s">
        <v>2042</v>
      </c>
      <c r="N629" s="311" t="s">
        <v>233</v>
      </c>
      <c r="O629" s="22"/>
      <c r="P629" s="22"/>
      <c r="Q629" s="22"/>
      <c r="R629" s="122"/>
      <c r="S629" s="122"/>
      <c r="T629" s="122">
        <v>1.0</v>
      </c>
      <c r="U629" s="22"/>
      <c r="V629" s="22"/>
      <c r="W629" s="22"/>
      <c r="X629" s="22"/>
      <c r="Y629" s="22"/>
      <c r="Z629" s="306" t="s">
        <v>2043</v>
      </c>
      <c r="AA629" s="306"/>
      <c r="AB629" s="306"/>
      <c r="AD629" s="22"/>
      <c r="AE629" s="22"/>
      <c r="AF629" s="22"/>
      <c r="AG629" s="22"/>
      <c r="AH629" s="22"/>
      <c r="AI629" s="22"/>
      <c r="AJ629" s="22"/>
      <c r="AK629" s="22"/>
      <c r="AL629" s="22"/>
      <c r="AM629" s="22"/>
      <c r="AN629" s="22"/>
      <c r="AO629" s="22"/>
      <c r="AP629" s="22"/>
    </row>
    <row r="630" ht="25.5" customHeight="1">
      <c r="A630" s="306">
        <f t="shared" si="3"/>
        <v>629</v>
      </c>
      <c r="B630" s="306" t="s">
        <v>61</v>
      </c>
      <c r="C630" s="39" t="s">
        <v>279</v>
      </c>
      <c r="D630" s="39" t="s">
        <v>515</v>
      </c>
      <c r="E630" s="307"/>
      <c r="F630" s="204" t="s">
        <v>35</v>
      </c>
      <c r="G630" s="309" t="s">
        <v>36</v>
      </c>
      <c r="H630" s="285" t="s">
        <v>2045</v>
      </c>
      <c r="I630" s="285" t="s">
        <v>38</v>
      </c>
      <c r="J630" s="285" t="s">
        <v>2046</v>
      </c>
      <c r="K630" s="308" t="s">
        <v>2047</v>
      </c>
      <c r="L630" s="306" t="str">
        <f t="shared" si="69"/>
        <v>Edificio afectado Calle 8c #47-35 barrio nueva tequendama, edificio cerca a Palmetto, nueva tequendama, Cali</v>
      </c>
      <c r="M630" s="306" t="s">
        <v>231</v>
      </c>
      <c r="N630" s="306" t="s">
        <v>233</v>
      </c>
      <c r="O630" s="22"/>
      <c r="P630" s="22"/>
      <c r="Q630" s="22"/>
      <c r="R630" s="122"/>
      <c r="S630" s="122"/>
      <c r="T630" s="122">
        <v>1.0</v>
      </c>
      <c r="U630" s="22"/>
      <c r="V630" s="22"/>
      <c r="W630" s="22"/>
      <c r="X630" s="22"/>
      <c r="Y630" s="22"/>
      <c r="Z630" s="306" t="s">
        <v>2048</v>
      </c>
      <c r="AA630" s="306"/>
      <c r="AB630" s="306"/>
      <c r="AD630" s="22"/>
      <c r="AE630" s="22"/>
      <c r="AF630" s="22"/>
      <c r="AG630" s="22"/>
      <c r="AH630" s="22"/>
      <c r="AI630" s="22"/>
      <c r="AJ630" s="22"/>
      <c r="AK630" s="22"/>
      <c r="AL630" s="22"/>
      <c r="AM630" s="22"/>
      <c r="AN630" s="22"/>
      <c r="AO630" s="22"/>
      <c r="AP630" s="22"/>
    </row>
    <row r="631" ht="25.5" customHeight="1">
      <c r="A631" s="306">
        <f t="shared" si="3"/>
        <v>630</v>
      </c>
      <c r="B631" s="306" t="s">
        <v>307</v>
      </c>
      <c r="C631" s="39" t="s">
        <v>279</v>
      </c>
      <c r="D631" s="39" t="s">
        <v>515</v>
      </c>
      <c r="E631" s="307"/>
      <c r="F631" s="204" t="s">
        <v>35</v>
      </c>
      <c r="G631" s="309" t="s">
        <v>36</v>
      </c>
      <c r="H631" s="285" t="s">
        <v>1316</v>
      </c>
      <c r="I631" s="285" t="s">
        <v>286</v>
      </c>
      <c r="J631" s="285" t="s">
        <v>2049</v>
      </c>
      <c r="K631" s="308" t="s">
        <v>2050</v>
      </c>
      <c r="L631" s="306" t="str">
        <f t="shared" si="69"/>
        <v>calle 5 #23-33 2do piso---- colapso de teccho en tres hacbitaciones , 5 familias en la edificacion----, san fernando, Cali</v>
      </c>
      <c r="M631" s="306" t="s">
        <v>2051</v>
      </c>
      <c r="N631" s="306" t="s">
        <v>233</v>
      </c>
      <c r="O631" s="22"/>
      <c r="P631" s="22"/>
      <c r="Q631" s="22"/>
      <c r="R631" s="122"/>
      <c r="S631" s="122"/>
      <c r="T631" s="122">
        <v>1.0</v>
      </c>
      <c r="U631" s="22"/>
      <c r="V631" s="22"/>
      <c r="W631" s="22"/>
      <c r="X631" s="22"/>
      <c r="Y631" s="22"/>
      <c r="Z631" s="306" t="s">
        <v>2052</v>
      </c>
      <c r="AA631" s="306"/>
      <c r="AB631" s="306"/>
      <c r="AD631" s="22"/>
      <c r="AE631" s="22"/>
      <c r="AF631" s="22"/>
      <c r="AG631" s="22"/>
      <c r="AH631" s="22"/>
      <c r="AI631" s="22"/>
      <c r="AJ631" s="22"/>
      <c r="AK631" s="22"/>
      <c r="AL631" s="22"/>
      <c r="AM631" s="22"/>
      <c r="AN631" s="22"/>
      <c r="AO631" s="22"/>
      <c r="AP631" s="22"/>
    </row>
    <row r="632" ht="25.5" customHeight="1">
      <c r="A632" s="312">
        <f t="shared" si="3"/>
        <v>631</v>
      </c>
      <c r="B632" s="27" t="s">
        <v>32</v>
      </c>
      <c r="C632" s="27" t="s">
        <v>279</v>
      </c>
      <c r="D632" s="27" t="s">
        <v>515</v>
      </c>
      <c r="E632" s="312" t="s">
        <v>46</v>
      </c>
      <c r="F632" s="30" t="s">
        <v>76</v>
      </c>
      <c r="G632" s="30" t="s">
        <v>350</v>
      </c>
      <c r="H632" s="198" t="s">
        <v>1095</v>
      </c>
      <c r="I632" s="198" t="s">
        <v>639</v>
      </c>
      <c r="J632" s="198" t="s">
        <v>2053</v>
      </c>
      <c r="K632" s="313" t="s">
        <v>2054</v>
      </c>
      <c r="L632" s="306" t="str">
        <f t="shared" si="69"/>
        <v>Reporta persona atrapada en el apartamento, la puerta se dañó y no ha podido evacuar, Calle 58 Nte #5b N - 62, @sebas.avila.cabal, la flora, Cali</v>
      </c>
      <c r="M632" s="311" t="s">
        <v>2055</v>
      </c>
      <c r="N632" s="311" t="s">
        <v>233</v>
      </c>
      <c r="O632" s="22"/>
      <c r="P632" s="22"/>
      <c r="Q632" s="22"/>
      <c r="R632" s="122"/>
      <c r="S632" s="122"/>
      <c r="T632" s="122">
        <v>1.0</v>
      </c>
      <c r="U632" s="22"/>
      <c r="V632" s="22"/>
      <c r="W632" s="22"/>
      <c r="X632" s="22"/>
      <c r="Y632" s="22"/>
      <c r="Z632" s="306" t="s">
        <v>2056</v>
      </c>
      <c r="AA632" s="306"/>
      <c r="AB632" s="306"/>
      <c r="AD632" s="22"/>
      <c r="AE632" s="22"/>
      <c r="AF632" s="22"/>
      <c r="AG632" s="22"/>
      <c r="AH632" s="22"/>
      <c r="AI632" s="22"/>
      <c r="AJ632" s="22"/>
      <c r="AK632" s="22"/>
      <c r="AL632" s="22"/>
      <c r="AM632" s="22"/>
      <c r="AN632" s="22"/>
      <c r="AO632" s="22"/>
      <c r="AP632" s="22"/>
    </row>
    <row r="633" ht="25.5" customHeight="1">
      <c r="A633" s="306">
        <f t="shared" si="3"/>
        <v>632</v>
      </c>
      <c r="B633" s="306" t="s">
        <v>61</v>
      </c>
      <c r="C633" s="39" t="s">
        <v>279</v>
      </c>
      <c r="D633" s="39" t="s">
        <v>515</v>
      </c>
      <c r="E633" s="307"/>
      <c r="F633" s="204" t="s">
        <v>87</v>
      </c>
      <c r="G633" s="309" t="s">
        <v>36</v>
      </c>
      <c r="H633" s="285" t="s">
        <v>1301</v>
      </c>
      <c r="I633" s="285" t="s">
        <v>38</v>
      </c>
      <c r="J633" s="285" t="s">
        <v>2057</v>
      </c>
      <c r="K633" s="310"/>
      <c r="L633" s="307" t="str">
        <f t="shared" si="69"/>
        <v>Daños en Carrera 96 #2a-11, reenvía Catherine de CITEL, melendez, Cali</v>
      </c>
      <c r="M633" s="311" t="s">
        <v>2058</v>
      </c>
      <c r="N633" s="311" t="s">
        <v>233</v>
      </c>
      <c r="O633" s="22"/>
      <c r="P633" s="22"/>
      <c r="Q633" s="22"/>
      <c r="R633" s="122"/>
      <c r="S633" s="122"/>
      <c r="T633" s="122">
        <v>1.0</v>
      </c>
      <c r="U633" s="22"/>
      <c r="V633" s="22"/>
      <c r="W633" s="22"/>
      <c r="X633" s="22"/>
      <c r="Y633" s="22"/>
      <c r="Z633" s="306" t="s">
        <v>2059</v>
      </c>
      <c r="AA633" s="306"/>
      <c r="AB633" s="306"/>
      <c r="AD633" s="22"/>
      <c r="AE633" s="22"/>
      <c r="AF633" s="22"/>
      <c r="AG633" s="22"/>
      <c r="AH633" s="22"/>
      <c r="AI633" s="22"/>
      <c r="AJ633" s="22"/>
      <c r="AK633" s="22"/>
      <c r="AL633" s="22"/>
      <c r="AM633" s="22"/>
      <c r="AN633" s="22"/>
      <c r="AO633" s="22"/>
      <c r="AP633" s="22"/>
    </row>
    <row r="634" ht="25.5" customHeight="1">
      <c r="A634" s="306">
        <f t="shared" si="3"/>
        <v>633</v>
      </c>
      <c r="B634" s="306" t="s">
        <v>61</v>
      </c>
      <c r="C634" s="39" t="s">
        <v>279</v>
      </c>
      <c r="D634" s="39" t="s">
        <v>515</v>
      </c>
      <c r="E634" s="307"/>
      <c r="F634" s="204" t="s">
        <v>116</v>
      </c>
      <c r="G634" s="204" t="s">
        <v>350</v>
      </c>
      <c r="H634" s="285" t="s">
        <v>417</v>
      </c>
      <c r="I634" s="285" t="s">
        <v>38</v>
      </c>
      <c r="J634" s="285" t="s">
        <v>2060</v>
      </c>
      <c r="K634" s="310"/>
      <c r="L634" s="307" t="str">
        <f t="shared" si="69"/>
        <v>Carrera 1 G # 59 - 04, en el barrio Paseo de los Almendros, frente al Polideportivo Dakota., paseo los almendros, Cali</v>
      </c>
      <c r="M634" s="311" t="s">
        <v>2058</v>
      </c>
      <c r="N634" s="311" t="s">
        <v>233</v>
      </c>
      <c r="O634" s="22"/>
      <c r="P634" s="22"/>
      <c r="Q634" s="22"/>
      <c r="R634" s="122"/>
      <c r="S634" s="122"/>
      <c r="T634" s="122">
        <v>1.0</v>
      </c>
      <c r="U634" s="22"/>
      <c r="V634" s="22"/>
      <c r="W634" s="22"/>
      <c r="X634" s="22"/>
      <c r="Y634" s="22"/>
      <c r="Z634" s="306" t="s">
        <v>2061</v>
      </c>
      <c r="AA634" s="306"/>
      <c r="AB634" s="306"/>
      <c r="AD634" s="22"/>
      <c r="AE634" s="22"/>
      <c r="AF634" s="22"/>
      <c r="AG634" s="22"/>
      <c r="AH634" s="22"/>
      <c r="AI634" s="22"/>
      <c r="AJ634" s="22"/>
      <c r="AK634" s="22"/>
      <c r="AL634" s="22"/>
      <c r="AM634" s="22"/>
      <c r="AN634" s="22"/>
      <c r="AO634" s="22"/>
      <c r="AP634" s="22"/>
    </row>
    <row r="635" ht="25.5" customHeight="1">
      <c r="A635" s="306">
        <f t="shared" si="3"/>
        <v>634</v>
      </c>
      <c r="B635" s="306" t="s">
        <v>61</v>
      </c>
      <c r="C635" s="39" t="s">
        <v>279</v>
      </c>
      <c r="D635" s="39" t="s">
        <v>515</v>
      </c>
      <c r="E635" s="307"/>
      <c r="F635" s="314" t="s">
        <v>60</v>
      </c>
      <c r="G635" s="309" t="s">
        <v>36</v>
      </c>
      <c r="H635" s="285" t="s">
        <v>65</v>
      </c>
      <c r="I635" s="285" t="s">
        <v>38</v>
      </c>
      <c r="J635" s="285" t="s">
        <v>2062</v>
      </c>
      <c r="K635" s="308" t="s">
        <v>2063</v>
      </c>
      <c r="L635" s="306" t="str">
        <f t="shared" si="69"/>
        <v>Para reportar que se cayó 2 edificios en el conjunto residencial bariloche carrera 53 # 13-65 bloque 7 - 102 hay personas de la tercera edad en silla de ruedas, barrio Primero de Mayo., 1 de mayo, Cali</v>
      </c>
      <c r="M635" s="306" t="s">
        <v>231</v>
      </c>
      <c r="N635" s="306" t="s">
        <v>233</v>
      </c>
      <c r="O635" s="22"/>
      <c r="P635" s="22"/>
      <c r="Q635" s="22"/>
      <c r="R635" s="122"/>
      <c r="S635" s="122"/>
      <c r="T635" s="122">
        <v>1.0</v>
      </c>
      <c r="U635" s="22"/>
      <c r="V635" s="22"/>
      <c r="W635" s="22"/>
      <c r="X635" s="22"/>
      <c r="Y635" s="22"/>
      <c r="Z635" s="306" t="s">
        <v>2064</v>
      </c>
      <c r="AA635" s="306"/>
      <c r="AB635" s="306"/>
      <c r="AD635" s="22"/>
      <c r="AE635" s="22"/>
      <c r="AF635" s="22"/>
      <c r="AG635" s="22"/>
      <c r="AH635" s="22"/>
      <c r="AI635" s="22"/>
      <c r="AJ635" s="22"/>
      <c r="AK635" s="22"/>
      <c r="AL635" s="22"/>
      <c r="AM635" s="22"/>
      <c r="AN635" s="22"/>
      <c r="AO635" s="22"/>
      <c r="AP635" s="22"/>
    </row>
    <row r="636" ht="25.5" customHeight="1">
      <c r="A636" s="306">
        <f t="shared" si="3"/>
        <v>635</v>
      </c>
      <c r="B636" s="306" t="s">
        <v>61</v>
      </c>
      <c r="C636" s="39" t="s">
        <v>279</v>
      </c>
      <c r="D636" s="39" t="s">
        <v>515</v>
      </c>
      <c r="E636" s="307"/>
      <c r="F636" s="204" t="s">
        <v>110</v>
      </c>
      <c r="G636" s="204" t="s">
        <v>176</v>
      </c>
      <c r="H636" s="285" t="s">
        <v>1403</v>
      </c>
      <c r="I636" s="285" t="s">
        <v>38</v>
      </c>
      <c r="J636" s="285" t="s">
        <v>2065</v>
      </c>
      <c r="K636" s="308" t="s">
        <v>2065</v>
      </c>
      <c r="L636" s="306" t="str">
        <f t="shared" si="69"/>
        <v>edificio frente a la DIAN antiguo colpátria, san pedro, Cali</v>
      </c>
      <c r="M636" s="306" t="s">
        <v>231</v>
      </c>
      <c r="N636" s="306" t="s">
        <v>233</v>
      </c>
      <c r="O636" s="22"/>
      <c r="P636" s="22"/>
      <c r="Q636" s="22"/>
      <c r="R636" s="122"/>
      <c r="S636" s="122"/>
      <c r="T636" s="122">
        <v>1.0</v>
      </c>
      <c r="U636" s="22"/>
      <c r="V636" s="22"/>
      <c r="W636" s="22"/>
      <c r="X636" s="22"/>
      <c r="Y636" s="22"/>
      <c r="Z636" s="306" t="s">
        <v>2066</v>
      </c>
      <c r="AA636" s="306"/>
      <c r="AB636" s="306"/>
      <c r="AD636" s="22"/>
      <c r="AE636" s="22"/>
      <c r="AF636" s="22"/>
      <c r="AG636" s="22"/>
      <c r="AH636" s="22"/>
      <c r="AI636" s="22"/>
      <c r="AJ636" s="22"/>
      <c r="AK636" s="22"/>
      <c r="AL636" s="22"/>
      <c r="AM636" s="22"/>
      <c r="AN636" s="22"/>
      <c r="AO636" s="22"/>
      <c r="AP636" s="22"/>
    </row>
    <row r="637" ht="25.5" customHeight="1">
      <c r="A637" s="306">
        <f t="shared" si="3"/>
        <v>636</v>
      </c>
      <c r="B637" s="306" t="s">
        <v>61</v>
      </c>
      <c r="C637" s="39" t="s">
        <v>279</v>
      </c>
      <c r="D637" s="39" t="s">
        <v>515</v>
      </c>
      <c r="E637" s="307"/>
      <c r="F637" s="204" t="s">
        <v>116</v>
      </c>
      <c r="G637" s="204" t="s">
        <v>350</v>
      </c>
      <c r="H637" s="285" t="s">
        <v>242</v>
      </c>
      <c r="I637" s="285" t="s">
        <v>38</v>
      </c>
      <c r="J637" s="285" t="s">
        <v>2067</v>
      </c>
      <c r="K637" s="308" t="s">
        <v>2068</v>
      </c>
      <c r="L637" s="306" t="str">
        <f t="shared" si="69"/>
        <v>Afectaciones en unidad residencial, Calle 69 # 5-85, Johana Tovar, @kennyjohanatovar, el guabito, Cali</v>
      </c>
      <c r="M637" s="306" t="s">
        <v>231</v>
      </c>
      <c r="N637" s="306" t="s">
        <v>233</v>
      </c>
      <c r="O637" s="22"/>
      <c r="P637" s="22"/>
      <c r="Q637" s="22"/>
      <c r="R637" s="122"/>
      <c r="S637" s="122"/>
      <c r="T637" s="122">
        <v>1.0</v>
      </c>
      <c r="U637" s="22"/>
      <c r="V637" s="22"/>
      <c r="W637" s="22"/>
      <c r="X637" s="22"/>
      <c r="Y637" s="22"/>
      <c r="Z637" s="306" t="s">
        <v>2069</v>
      </c>
      <c r="AA637" s="306"/>
      <c r="AB637" s="306"/>
      <c r="AD637" s="22"/>
      <c r="AE637" s="22"/>
      <c r="AF637" s="22"/>
      <c r="AG637" s="22"/>
      <c r="AH637" s="22"/>
      <c r="AI637" s="22"/>
      <c r="AJ637" s="22"/>
      <c r="AK637" s="22"/>
      <c r="AL637" s="22"/>
      <c r="AM637" s="22"/>
      <c r="AN637" s="22"/>
      <c r="AO637" s="22"/>
      <c r="AP637" s="22"/>
    </row>
    <row r="638" ht="25.5" customHeight="1">
      <c r="A638" s="306">
        <f t="shared" si="3"/>
        <v>637</v>
      </c>
      <c r="B638" s="306" t="s">
        <v>61</v>
      </c>
      <c r="C638" s="39" t="s">
        <v>279</v>
      </c>
      <c r="D638" s="39" t="s">
        <v>515</v>
      </c>
      <c r="E638" s="307"/>
      <c r="F638" s="204" t="s">
        <v>110</v>
      </c>
      <c r="G638" s="204" t="s">
        <v>176</v>
      </c>
      <c r="H638" s="285" t="s">
        <v>1403</v>
      </c>
      <c r="I638" s="285" t="s">
        <v>38</v>
      </c>
      <c r="J638" s="285" t="s">
        <v>2070</v>
      </c>
      <c r="K638" s="310"/>
      <c r="L638" s="307" t="str">
        <f t="shared" si="69"/>
        <v>teatro municipal Carrera 5 # 6-64, san pedro, Cali</v>
      </c>
      <c r="M638" s="307" t="s">
        <v>231</v>
      </c>
      <c r="N638" s="307" t="s">
        <v>233</v>
      </c>
      <c r="O638" s="22"/>
      <c r="P638" s="22"/>
      <c r="Q638" s="22"/>
      <c r="R638" s="122"/>
      <c r="S638" s="122"/>
      <c r="T638" s="122">
        <v>1.0</v>
      </c>
      <c r="U638" s="22"/>
      <c r="V638" s="22"/>
      <c r="W638" s="22"/>
      <c r="X638" s="22"/>
      <c r="Y638" s="22"/>
      <c r="Z638" s="306" t="s">
        <v>2071</v>
      </c>
      <c r="AA638" s="306"/>
      <c r="AB638" s="306"/>
      <c r="AD638" s="22"/>
      <c r="AE638" s="22"/>
      <c r="AF638" s="22"/>
      <c r="AG638" s="22"/>
      <c r="AH638" s="22"/>
      <c r="AI638" s="22"/>
      <c r="AJ638" s="22"/>
      <c r="AK638" s="22"/>
      <c r="AL638" s="22"/>
      <c r="AM638" s="22"/>
      <c r="AN638" s="22"/>
      <c r="AO638" s="22"/>
      <c r="AP638" s="22"/>
    </row>
    <row r="639" ht="25.5" customHeight="1">
      <c r="A639" s="315">
        <f t="shared" si="3"/>
        <v>638</v>
      </c>
      <c r="B639" s="315" t="s">
        <v>61</v>
      </c>
      <c r="C639" s="276" t="s">
        <v>279</v>
      </c>
      <c r="D639" s="276" t="s">
        <v>515</v>
      </c>
      <c r="E639" s="316"/>
      <c r="F639" s="317" t="s">
        <v>60</v>
      </c>
      <c r="G639" s="318" t="s">
        <v>36</v>
      </c>
      <c r="H639" s="302" t="s">
        <v>202</v>
      </c>
      <c r="I639" s="285" t="s">
        <v>38</v>
      </c>
      <c r="J639" s="302" t="s">
        <v>2072</v>
      </c>
      <c r="K639" s="319" t="s">
        <v>2073</v>
      </c>
      <c r="L639" s="316" t="str">
        <f t="shared" si="69"/>
        <v>Carrera 61A # 3-114 Edificio San Antonio, Pampalinda, Cali</v>
      </c>
      <c r="M639" s="320" t="s">
        <v>2074</v>
      </c>
      <c r="N639" s="320" t="s">
        <v>233</v>
      </c>
      <c r="O639" s="277"/>
      <c r="P639" s="277"/>
      <c r="Q639" s="277"/>
      <c r="R639" s="305"/>
      <c r="S639" s="305"/>
      <c r="T639" s="305">
        <v>1.0</v>
      </c>
      <c r="U639" s="277"/>
      <c r="V639" s="277"/>
      <c r="W639" s="277"/>
      <c r="X639" s="277"/>
      <c r="Y639" s="277"/>
      <c r="Z639" s="315" t="s">
        <v>2075</v>
      </c>
      <c r="AA639" s="315"/>
      <c r="AB639" s="315"/>
      <c r="AD639" s="22"/>
      <c r="AE639" s="22"/>
      <c r="AF639" s="22"/>
      <c r="AG639" s="22"/>
      <c r="AH639" s="22"/>
      <c r="AI639" s="22"/>
      <c r="AJ639" s="22"/>
      <c r="AK639" s="22"/>
      <c r="AL639" s="22"/>
      <c r="AM639" s="22"/>
      <c r="AN639" s="22"/>
      <c r="AO639" s="22"/>
      <c r="AP639" s="22"/>
    </row>
    <row r="640" ht="25.5" customHeight="1">
      <c r="A640" s="306">
        <f t="shared" si="3"/>
        <v>639</v>
      </c>
      <c r="B640" s="306" t="s">
        <v>307</v>
      </c>
      <c r="C640" s="39" t="s">
        <v>279</v>
      </c>
      <c r="D640" s="39" t="s">
        <v>515</v>
      </c>
      <c r="E640" s="307"/>
      <c r="F640" s="321" t="s">
        <v>128</v>
      </c>
      <c r="G640" s="309" t="s">
        <v>176</v>
      </c>
      <c r="H640" s="285" t="s">
        <v>2076</v>
      </c>
      <c r="I640" s="285" t="s">
        <v>38</v>
      </c>
      <c r="J640" s="285" t="s">
        <v>2077</v>
      </c>
      <c r="K640" s="308" t="s">
        <v>2078</v>
      </c>
      <c r="L640" s="306" t="str">
        <f t="shared" si="69"/>
        <v>Hotel la luna, calle 13 con autopista suroriental, junin, Cali</v>
      </c>
      <c r="M640" s="306" t="s">
        <v>2051</v>
      </c>
      <c r="N640" s="306" t="s">
        <v>233</v>
      </c>
      <c r="O640" s="22"/>
      <c r="P640" s="22"/>
      <c r="Q640" s="22"/>
      <c r="R640" s="122"/>
      <c r="S640" s="122"/>
      <c r="T640" s="122">
        <v>1.0</v>
      </c>
      <c r="U640" s="22"/>
      <c r="V640" s="22"/>
      <c r="W640" s="22"/>
      <c r="X640" s="22"/>
      <c r="Y640" s="22"/>
      <c r="Z640" s="306" t="s">
        <v>2079</v>
      </c>
      <c r="AA640" s="306"/>
      <c r="AB640" s="306"/>
      <c r="AD640" s="22"/>
      <c r="AE640" s="22"/>
      <c r="AF640" s="22"/>
      <c r="AG640" s="22"/>
      <c r="AH640" s="22"/>
      <c r="AI640" s="22"/>
      <c r="AJ640" s="22"/>
      <c r="AK640" s="22"/>
      <c r="AL640" s="22"/>
      <c r="AM640" s="22"/>
      <c r="AN640" s="22"/>
      <c r="AO640" s="22"/>
      <c r="AP640" s="22"/>
    </row>
    <row r="641" ht="25.5" customHeight="1">
      <c r="A641" s="306">
        <f t="shared" si="3"/>
        <v>640</v>
      </c>
      <c r="B641" s="306" t="s">
        <v>307</v>
      </c>
      <c r="C641" s="39" t="s">
        <v>279</v>
      </c>
      <c r="D641" s="39" t="s">
        <v>515</v>
      </c>
      <c r="E641" s="307"/>
      <c r="F641" s="204" t="s">
        <v>110</v>
      </c>
      <c r="G641" s="204" t="s">
        <v>176</v>
      </c>
      <c r="H641" s="285" t="s">
        <v>1403</v>
      </c>
      <c r="I641" s="285" t="s">
        <v>38</v>
      </c>
      <c r="J641" s="285" t="s">
        <v>2080</v>
      </c>
      <c r="K641" s="310"/>
      <c r="L641" s="307" t="str">
        <f t="shared" si="69"/>
        <v>Carrera 4 con calle 10- Casinno aladdin, san pedro, Cali</v>
      </c>
      <c r="M641" s="307" t="s">
        <v>2081</v>
      </c>
      <c r="N641" s="307" t="s">
        <v>41</v>
      </c>
      <c r="O641" s="22"/>
      <c r="P641" s="22"/>
      <c r="Q641" s="22"/>
      <c r="R641" s="122">
        <v>1.0</v>
      </c>
      <c r="S641" s="122"/>
      <c r="T641" s="122"/>
      <c r="U641" s="22"/>
      <c r="V641" s="22"/>
      <c r="W641" s="22"/>
      <c r="X641" s="22"/>
      <c r="Y641" s="22"/>
      <c r="Z641" s="306" t="s">
        <v>2082</v>
      </c>
      <c r="AA641" s="306"/>
      <c r="AB641" s="306"/>
      <c r="AD641" s="22"/>
      <c r="AE641" s="22"/>
      <c r="AF641" s="22"/>
      <c r="AG641" s="22"/>
      <c r="AH641" s="22"/>
      <c r="AI641" s="22"/>
      <c r="AJ641" s="22"/>
      <c r="AK641" s="22"/>
      <c r="AL641" s="22"/>
      <c r="AM641" s="22"/>
      <c r="AN641" s="22"/>
      <c r="AO641" s="22"/>
      <c r="AP641" s="22"/>
    </row>
    <row r="642" ht="25.5" customHeight="1">
      <c r="A642" s="306">
        <f t="shared" si="3"/>
        <v>641</v>
      </c>
      <c r="B642" s="306" t="s">
        <v>307</v>
      </c>
      <c r="C642" s="39" t="s">
        <v>279</v>
      </c>
      <c r="D642" s="39" t="s">
        <v>515</v>
      </c>
      <c r="E642" s="307"/>
      <c r="F642" s="321" t="s">
        <v>139</v>
      </c>
      <c r="G642" s="309" t="s">
        <v>350</v>
      </c>
      <c r="H642" s="285" t="s">
        <v>303</v>
      </c>
      <c r="I642" s="285" t="s">
        <v>38</v>
      </c>
      <c r="J642" s="285" t="s">
        <v>2083</v>
      </c>
      <c r="K642" s="310"/>
      <c r="L642" s="307" t="str">
        <f t="shared" si="69"/>
        <v>DOLLAR CITYD Carrera 3 # 69-59, jorge eliecer gaitan, Cali</v>
      </c>
      <c r="M642" s="307" t="s">
        <v>2084</v>
      </c>
      <c r="N642" s="307" t="s">
        <v>233</v>
      </c>
      <c r="O642" s="22"/>
      <c r="P642" s="22"/>
      <c r="Q642" s="22"/>
      <c r="R642" s="122"/>
      <c r="S642" s="122"/>
      <c r="T642" s="122">
        <v>1.0</v>
      </c>
      <c r="U642" s="22"/>
      <c r="V642" s="22"/>
      <c r="W642" s="22"/>
      <c r="X642" s="22"/>
      <c r="Y642" s="22"/>
      <c r="Z642" s="306" t="s">
        <v>2085</v>
      </c>
      <c r="AA642" s="306"/>
      <c r="AB642" s="306"/>
      <c r="AD642" s="22"/>
      <c r="AE642" s="22"/>
      <c r="AF642" s="22"/>
      <c r="AG642" s="22"/>
      <c r="AH642" s="22"/>
      <c r="AI642" s="22"/>
      <c r="AJ642" s="22"/>
      <c r="AK642" s="22"/>
      <c r="AL642" s="22"/>
      <c r="AM642" s="22"/>
      <c r="AN642" s="22"/>
      <c r="AO642" s="22"/>
      <c r="AP642" s="22"/>
    </row>
    <row r="643" ht="25.5" customHeight="1">
      <c r="A643" s="306">
        <f t="shared" si="3"/>
        <v>642</v>
      </c>
      <c r="B643" s="306" t="s">
        <v>61</v>
      </c>
      <c r="C643" s="39" t="s">
        <v>279</v>
      </c>
      <c r="D643" s="39" t="s">
        <v>515</v>
      </c>
      <c r="E643" s="307"/>
      <c r="F643" s="321" t="s">
        <v>128</v>
      </c>
      <c r="G643" s="309" t="s">
        <v>176</v>
      </c>
      <c r="H643" s="285" t="s">
        <v>2086</v>
      </c>
      <c r="I643" s="285" t="s">
        <v>38</v>
      </c>
      <c r="J643" s="285" t="s">
        <v>2087</v>
      </c>
      <c r="K643" s="310"/>
      <c r="L643" s="307" t="str">
        <f t="shared" si="69"/>
        <v>carrera 9 #19-20 barrio sucre, sucre, Cali</v>
      </c>
      <c r="M643" s="311" t="s">
        <v>2088</v>
      </c>
      <c r="N643" s="311" t="s">
        <v>233</v>
      </c>
      <c r="O643" s="22"/>
      <c r="P643" s="22"/>
      <c r="Q643" s="22"/>
      <c r="R643" s="122"/>
      <c r="S643" s="122"/>
      <c r="T643" s="122">
        <v>1.0</v>
      </c>
      <c r="U643" s="22"/>
      <c r="V643" s="22"/>
      <c r="W643" s="22"/>
      <c r="X643" s="22"/>
      <c r="Y643" s="22"/>
      <c r="Z643" s="306" t="s">
        <v>2089</v>
      </c>
      <c r="AA643" s="306"/>
      <c r="AB643" s="306"/>
      <c r="AD643" s="22"/>
      <c r="AE643" s="22"/>
      <c r="AF643" s="22"/>
      <c r="AG643" s="22"/>
      <c r="AH643" s="22"/>
      <c r="AI643" s="22"/>
      <c r="AJ643" s="22"/>
      <c r="AK643" s="22"/>
      <c r="AL643" s="22"/>
      <c r="AM643" s="22"/>
      <c r="AN643" s="22"/>
      <c r="AO643" s="22"/>
      <c r="AP643" s="22"/>
    </row>
    <row r="644" ht="25.5" customHeight="1">
      <c r="A644" s="306">
        <f t="shared" si="3"/>
        <v>643</v>
      </c>
      <c r="B644" s="306" t="s">
        <v>307</v>
      </c>
      <c r="C644" s="39" t="s">
        <v>279</v>
      </c>
      <c r="D644" s="39" t="s">
        <v>515</v>
      </c>
      <c r="E644" s="307"/>
      <c r="F644" s="204" t="s">
        <v>110</v>
      </c>
      <c r="G644" s="204" t="s">
        <v>176</v>
      </c>
      <c r="H644" s="285" t="s">
        <v>252</v>
      </c>
      <c r="I644" s="285" t="s">
        <v>286</v>
      </c>
      <c r="J644" s="285" t="s">
        <v>2090</v>
      </c>
      <c r="K644" s="310"/>
      <c r="L644" s="307" t="str">
        <f t="shared" si="69"/>
        <v>Carrera 3N #24-58, El piloto, Cali</v>
      </c>
      <c r="M644" s="307" t="s">
        <v>2091</v>
      </c>
      <c r="N644" s="307" t="s">
        <v>233</v>
      </c>
      <c r="O644" s="22"/>
      <c r="P644" s="22"/>
      <c r="Q644" s="22"/>
      <c r="R644" s="122"/>
      <c r="S644" s="122"/>
      <c r="T644" s="122">
        <v>1.0</v>
      </c>
      <c r="U644" s="22"/>
      <c r="V644" s="22"/>
      <c r="W644" s="22"/>
      <c r="X644" s="22"/>
      <c r="Y644" s="22"/>
      <c r="Z644" s="306" t="s">
        <v>2092</v>
      </c>
      <c r="AA644" s="306"/>
      <c r="AB644" s="306"/>
      <c r="AD644" s="22"/>
      <c r="AE644" s="22"/>
      <c r="AF644" s="22"/>
      <c r="AG644" s="22"/>
      <c r="AH644" s="22"/>
      <c r="AI644" s="22"/>
      <c r="AJ644" s="22"/>
      <c r="AK644" s="22"/>
      <c r="AL644" s="22"/>
      <c r="AM644" s="22"/>
      <c r="AN644" s="22"/>
      <c r="AO644" s="22"/>
      <c r="AP644" s="22"/>
    </row>
    <row r="645" ht="25.5" customHeight="1">
      <c r="A645" s="63">
        <f t="shared" si="3"/>
        <v>644</v>
      </c>
      <c r="B645" s="63" t="s">
        <v>62</v>
      </c>
      <c r="C645" s="65" t="s">
        <v>133</v>
      </c>
      <c r="D645" s="108" t="s">
        <v>515</v>
      </c>
      <c r="E645" s="68" t="s">
        <v>62</v>
      </c>
      <c r="F645" s="70" t="s">
        <v>62</v>
      </c>
      <c r="G645" s="70" t="s">
        <v>62</v>
      </c>
      <c r="H645" s="71" t="s">
        <v>62</v>
      </c>
      <c r="I645" s="71" t="s">
        <v>62</v>
      </c>
      <c r="J645" s="68" t="s">
        <v>62</v>
      </c>
      <c r="K645" s="68" t="s">
        <v>62</v>
      </c>
      <c r="L645" s="68" t="s">
        <v>62</v>
      </c>
      <c r="M645" s="68" t="s">
        <v>62</v>
      </c>
      <c r="N645" s="68" t="s">
        <v>62</v>
      </c>
      <c r="O645" s="68" t="s">
        <v>62</v>
      </c>
      <c r="P645" s="68" t="s">
        <v>62</v>
      </c>
      <c r="Q645" s="68" t="s">
        <v>62</v>
      </c>
      <c r="R645" s="68" t="s">
        <v>62</v>
      </c>
      <c r="S645" s="68"/>
      <c r="T645" s="68" t="s">
        <v>62</v>
      </c>
      <c r="U645" s="68" t="s">
        <v>62</v>
      </c>
      <c r="V645" s="68" t="s">
        <v>62</v>
      </c>
      <c r="W645" s="68" t="s">
        <v>62</v>
      </c>
      <c r="X645" s="68" t="s">
        <v>62</v>
      </c>
      <c r="Y645" s="68" t="s">
        <v>62</v>
      </c>
      <c r="Z645" s="68" t="s">
        <v>62</v>
      </c>
      <c r="AA645" s="68" t="s">
        <v>62</v>
      </c>
      <c r="AB645" s="68" t="s">
        <v>62</v>
      </c>
      <c r="AD645" s="22"/>
      <c r="AE645" s="22"/>
      <c r="AF645" s="22"/>
      <c r="AG645" s="22"/>
      <c r="AH645" s="22"/>
      <c r="AI645" s="22"/>
      <c r="AJ645" s="22"/>
      <c r="AK645" s="22"/>
      <c r="AL645" s="22"/>
      <c r="AM645" s="22"/>
      <c r="AN645" s="22"/>
      <c r="AO645" s="22"/>
      <c r="AP645" s="22"/>
    </row>
    <row r="646" ht="25.5" customHeight="1">
      <c r="A646" s="306">
        <f t="shared" si="3"/>
        <v>645</v>
      </c>
      <c r="B646" s="306" t="s">
        <v>61</v>
      </c>
      <c r="C646" s="39" t="s">
        <v>279</v>
      </c>
      <c r="D646" s="39" t="s">
        <v>515</v>
      </c>
      <c r="E646" s="307"/>
      <c r="F646" s="204" t="s">
        <v>110</v>
      </c>
      <c r="G646" s="204" t="s">
        <v>176</v>
      </c>
      <c r="H646" s="285" t="s">
        <v>1060</v>
      </c>
      <c r="I646" s="285" t="s">
        <v>286</v>
      </c>
      <c r="J646" s="285" t="s">
        <v>2093</v>
      </c>
      <c r="K646" s="310"/>
      <c r="L646" s="307" t="str">
        <f t="shared" ref="L646:L667" si="70">CONCATENATE(J646,", ",H646,", Cali")</f>
        <v>Carrera 12 #9-55, san bosco, Cali</v>
      </c>
      <c r="M646" s="311" t="s">
        <v>2094</v>
      </c>
      <c r="N646" s="311" t="s">
        <v>233</v>
      </c>
      <c r="O646" s="22"/>
      <c r="P646" s="22"/>
      <c r="Q646" s="22"/>
      <c r="R646" s="122"/>
      <c r="S646" s="122"/>
      <c r="T646" s="122">
        <v>1.0</v>
      </c>
      <c r="U646" s="22"/>
      <c r="V646" s="22"/>
      <c r="W646" s="22"/>
      <c r="X646" s="22"/>
      <c r="Y646" s="22"/>
      <c r="Z646" s="306" t="s">
        <v>2095</v>
      </c>
      <c r="AA646" s="306"/>
      <c r="AB646" s="306"/>
      <c r="AD646" s="22"/>
      <c r="AE646" s="22"/>
      <c r="AF646" s="22"/>
      <c r="AG646" s="22"/>
      <c r="AH646" s="22"/>
      <c r="AI646" s="22"/>
      <c r="AJ646" s="22"/>
      <c r="AK646" s="22"/>
      <c r="AL646" s="22"/>
      <c r="AM646" s="22"/>
      <c r="AN646" s="22"/>
      <c r="AO646" s="22"/>
      <c r="AP646" s="22"/>
    </row>
    <row r="647" ht="25.5" customHeight="1">
      <c r="A647" s="306">
        <f t="shared" si="3"/>
        <v>646</v>
      </c>
      <c r="B647" s="39" t="s">
        <v>32</v>
      </c>
      <c r="C647" s="39" t="s">
        <v>279</v>
      </c>
      <c r="D647" s="39" t="s">
        <v>515</v>
      </c>
      <c r="E647" s="306" t="s">
        <v>46</v>
      </c>
      <c r="F647" s="204" t="s">
        <v>35</v>
      </c>
      <c r="G647" s="309" t="s">
        <v>36</v>
      </c>
      <c r="H647" s="285" t="s">
        <v>222</v>
      </c>
      <c r="I647" s="285" t="s">
        <v>38</v>
      </c>
      <c r="J647" s="285" t="s">
        <v>2096</v>
      </c>
      <c r="K647" s="310"/>
      <c r="L647" s="307" t="str">
        <f t="shared" si="70"/>
        <v>calle 5 con 57, Cuarto De Legua - Guadalupe, Cali</v>
      </c>
      <c r="M647" s="311" t="s">
        <v>2097</v>
      </c>
      <c r="N647" s="311" t="s">
        <v>233</v>
      </c>
      <c r="O647" s="22"/>
      <c r="P647" s="22"/>
      <c r="Q647" s="22"/>
      <c r="R647" s="122"/>
      <c r="S647" s="122"/>
      <c r="T647" s="122">
        <v>1.0</v>
      </c>
      <c r="U647" s="22"/>
      <c r="V647" s="22"/>
      <c r="W647" s="22"/>
      <c r="X647" s="22"/>
      <c r="Y647" s="22"/>
      <c r="Z647" s="306" t="s">
        <v>2098</v>
      </c>
      <c r="AA647" s="306"/>
      <c r="AB647" s="306"/>
      <c r="AD647" s="22"/>
      <c r="AE647" s="22"/>
      <c r="AF647" s="22"/>
      <c r="AG647" s="22"/>
      <c r="AH647" s="22"/>
      <c r="AI647" s="22"/>
      <c r="AJ647" s="22"/>
      <c r="AK647" s="22"/>
      <c r="AL647" s="22"/>
      <c r="AM647" s="22"/>
      <c r="AN647" s="22"/>
      <c r="AO647" s="22"/>
      <c r="AP647" s="22"/>
    </row>
    <row r="648" ht="25.5" customHeight="1">
      <c r="A648" s="306">
        <f t="shared" si="3"/>
        <v>647</v>
      </c>
      <c r="B648" s="306" t="s">
        <v>61</v>
      </c>
      <c r="C648" s="39" t="s">
        <v>279</v>
      </c>
      <c r="D648" s="39" t="s">
        <v>515</v>
      </c>
      <c r="E648" s="307"/>
      <c r="F648" s="204" t="s">
        <v>110</v>
      </c>
      <c r="G648" s="204" t="s">
        <v>176</v>
      </c>
      <c r="H648" s="285" t="s">
        <v>1403</v>
      </c>
      <c r="I648" s="285" t="s">
        <v>38</v>
      </c>
      <c r="J648" s="285" t="s">
        <v>2099</v>
      </c>
      <c r="K648" s="308" t="s">
        <v>2099</v>
      </c>
      <c r="L648" s="306" t="str">
        <f t="shared" si="70"/>
        <v>edificio contiguoa a la iglesia de la Ermita, san pedro, Cali</v>
      </c>
      <c r="M648" s="311" t="s">
        <v>2100</v>
      </c>
      <c r="N648" s="311" t="s">
        <v>233</v>
      </c>
      <c r="O648" s="22"/>
      <c r="P648" s="22"/>
      <c r="Q648" s="22"/>
      <c r="R648" s="122"/>
      <c r="S648" s="122"/>
      <c r="T648" s="122">
        <v>1.0</v>
      </c>
      <c r="U648" s="22"/>
      <c r="V648" s="22"/>
      <c r="W648" s="22"/>
      <c r="X648" s="22"/>
      <c r="Y648" s="22"/>
      <c r="Z648" s="306" t="s">
        <v>2101</v>
      </c>
      <c r="AA648" s="306"/>
      <c r="AB648" s="306"/>
      <c r="AD648" s="22"/>
      <c r="AE648" s="22"/>
      <c r="AF648" s="22"/>
      <c r="AG648" s="22"/>
      <c r="AH648" s="22"/>
      <c r="AI648" s="22"/>
      <c r="AJ648" s="22"/>
      <c r="AK648" s="22"/>
      <c r="AL648" s="22"/>
      <c r="AM648" s="22"/>
      <c r="AN648" s="22"/>
      <c r="AO648" s="22"/>
      <c r="AP648" s="22"/>
    </row>
    <row r="649" ht="25.5" customHeight="1">
      <c r="A649" s="306">
        <f t="shared" si="3"/>
        <v>648</v>
      </c>
      <c r="B649" s="306" t="s">
        <v>61</v>
      </c>
      <c r="C649" s="39" t="s">
        <v>279</v>
      </c>
      <c r="D649" s="39" t="s">
        <v>515</v>
      </c>
      <c r="E649" s="307"/>
      <c r="F649" s="314" t="s">
        <v>60</v>
      </c>
      <c r="G649" s="309" t="s">
        <v>36</v>
      </c>
      <c r="H649" s="285" t="s">
        <v>165</v>
      </c>
      <c r="I649" s="285" t="s">
        <v>38</v>
      </c>
      <c r="J649" s="285" t="s">
        <v>2102</v>
      </c>
      <c r="K649" s="310"/>
      <c r="L649" s="307" t="str">
        <f t="shared" si="70"/>
        <v>Calle 18a #55-105 Samanes de Guadalupe, Cañaverales, Cali</v>
      </c>
      <c r="M649" s="311" t="s">
        <v>2103</v>
      </c>
      <c r="N649" s="311" t="s">
        <v>233</v>
      </c>
      <c r="O649" s="22"/>
      <c r="P649" s="22"/>
      <c r="Q649" s="22"/>
      <c r="R649" s="122"/>
      <c r="S649" s="122"/>
      <c r="T649" s="122">
        <v>1.0</v>
      </c>
      <c r="U649" s="22"/>
      <c r="V649" s="22"/>
      <c r="W649" s="22"/>
      <c r="X649" s="22"/>
      <c r="Y649" s="22"/>
      <c r="Z649" s="306" t="s">
        <v>2104</v>
      </c>
      <c r="AA649" s="306"/>
      <c r="AB649" s="306"/>
      <c r="AD649" s="22"/>
      <c r="AE649" s="22"/>
      <c r="AF649" s="22"/>
      <c r="AG649" s="22"/>
      <c r="AH649" s="22"/>
      <c r="AI649" s="22"/>
      <c r="AJ649" s="22"/>
      <c r="AK649" s="22"/>
      <c r="AL649" s="22"/>
      <c r="AM649" s="22"/>
      <c r="AN649" s="22"/>
      <c r="AO649" s="22"/>
      <c r="AP649" s="22"/>
    </row>
    <row r="650" ht="25.5" customHeight="1">
      <c r="A650" s="322">
        <f t="shared" si="3"/>
        <v>649</v>
      </c>
      <c r="B650" s="322" t="s">
        <v>307</v>
      </c>
      <c r="C650" s="323" t="s">
        <v>279</v>
      </c>
      <c r="D650" s="323" t="s">
        <v>515</v>
      </c>
      <c r="E650" s="324"/>
      <c r="F650" s="325" t="s">
        <v>60</v>
      </c>
      <c r="G650" s="326" t="s">
        <v>36</v>
      </c>
      <c r="H650" s="327" t="s">
        <v>2105</v>
      </c>
      <c r="I650" s="327" t="s">
        <v>38</v>
      </c>
      <c r="J650" s="327" t="s">
        <v>2106</v>
      </c>
      <c r="K650" s="328"/>
      <c r="L650" s="324" t="str">
        <f t="shared" si="70"/>
        <v>carrera 66 con 13, bosques del limonar, Cali</v>
      </c>
      <c r="M650" s="324" t="s">
        <v>2107</v>
      </c>
      <c r="N650" s="324" t="s">
        <v>41</v>
      </c>
      <c r="O650" s="329"/>
      <c r="P650" s="329"/>
      <c r="Q650" s="329"/>
      <c r="R650" s="330">
        <v>1.0</v>
      </c>
      <c r="S650" s="330"/>
      <c r="T650" s="330"/>
      <c r="U650" s="329"/>
      <c r="V650" s="329"/>
      <c r="W650" s="329"/>
      <c r="X650" s="329"/>
      <c r="Y650" s="329"/>
      <c r="Z650" s="322" t="s">
        <v>2108</v>
      </c>
      <c r="AA650" s="322"/>
      <c r="AB650" s="322"/>
      <c r="AD650" s="22"/>
      <c r="AE650" s="22"/>
      <c r="AF650" s="22"/>
      <c r="AG650" s="22"/>
      <c r="AH650" s="22"/>
      <c r="AI650" s="22"/>
      <c r="AJ650" s="22"/>
      <c r="AK650" s="22"/>
      <c r="AL650" s="22"/>
      <c r="AM650" s="22"/>
      <c r="AN650" s="22"/>
      <c r="AO650" s="22"/>
      <c r="AP650" s="22"/>
    </row>
    <row r="651" ht="25.5" customHeight="1">
      <c r="A651" s="306">
        <f t="shared" si="3"/>
        <v>650</v>
      </c>
      <c r="B651" s="306" t="s">
        <v>61</v>
      </c>
      <c r="C651" s="39" t="s">
        <v>279</v>
      </c>
      <c r="D651" s="39" t="s">
        <v>515</v>
      </c>
      <c r="E651" s="307"/>
      <c r="F651" s="204" t="s">
        <v>35</v>
      </c>
      <c r="G651" s="309" t="s">
        <v>36</v>
      </c>
      <c r="H651" s="285" t="s">
        <v>2109</v>
      </c>
      <c r="I651" s="285" t="s">
        <v>38</v>
      </c>
      <c r="J651" s="285" t="s">
        <v>2110</v>
      </c>
      <c r="K651" s="310"/>
      <c r="L651" s="307" t="str">
        <f t="shared" si="70"/>
        <v>calle 9 con 45, urbanizacion militar, Cali</v>
      </c>
      <c r="M651" s="311" t="s">
        <v>2111</v>
      </c>
      <c r="N651" s="311" t="s">
        <v>233</v>
      </c>
      <c r="O651" s="22"/>
      <c r="P651" s="22"/>
      <c r="Q651" s="22"/>
      <c r="R651" s="122"/>
      <c r="S651" s="122"/>
      <c r="T651" s="122">
        <v>1.0</v>
      </c>
      <c r="U651" s="22"/>
      <c r="V651" s="22"/>
      <c r="W651" s="22"/>
      <c r="X651" s="22"/>
      <c r="Y651" s="22"/>
      <c r="Z651" s="306" t="s">
        <v>2112</v>
      </c>
      <c r="AA651" s="306"/>
      <c r="AB651" s="306"/>
      <c r="AD651" s="22"/>
      <c r="AE651" s="22"/>
      <c r="AF651" s="22"/>
      <c r="AG651" s="22"/>
      <c r="AH651" s="22"/>
      <c r="AI651" s="22"/>
      <c r="AJ651" s="22"/>
      <c r="AK651" s="22"/>
      <c r="AL651" s="22"/>
      <c r="AM651" s="22"/>
      <c r="AN651" s="22"/>
      <c r="AO651" s="22"/>
      <c r="AP651" s="22"/>
    </row>
    <row r="652" ht="25.5" customHeight="1">
      <c r="A652" s="306">
        <f t="shared" si="3"/>
        <v>651</v>
      </c>
      <c r="B652" s="306" t="s">
        <v>61</v>
      </c>
      <c r="C652" s="39" t="s">
        <v>279</v>
      </c>
      <c r="D652" s="39" t="s">
        <v>515</v>
      </c>
      <c r="E652" s="307"/>
      <c r="F652" s="204" t="s">
        <v>35</v>
      </c>
      <c r="G652" s="309" t="s">
        <v>36</v>
      </c>
      <c r="H652" s="285" t="s">
        <v>2109</v>
      </c>
      <c r="I652" s="285" t="s">
        <v>38</v>
      </c>
      <c r="J652" s="285" t="s">
        <v>2113</v>
      </c>
      <c r="K652" s="310"/>
      <c r="L652" s="307" t="str">
        <f t="shared" si="70"/>
        <v>calle 9 con 44, urbanizacion militar, Cali</v>
      </c>
      <c r="M652" s="311" t="s">
        <v>2114</v>
      </c>
      <c r="N652" s="311" t="s">
        <v>233</v>
      </c>
      <c r="O652" s="22"/>
      <c r="P652" s="22"/>
      <c r="Q652" s="22"/>
      <c r="R652" s="122"/>
      <c r="S652" s="122"/>
      <c r="T652" s="122">
        <v>1.0</v>
      </c>
      <c r="U652" s="22"/>
      <c r="V652" s="22"/>
      <c r="W652" s="22"/>
      <c r="X652" s="22"/>
      <c r="Y652" s="22"/>
      <c r="Z652" s="306" t="s">
        <v>2115</v>
      </c>
      <c r="AA652" s="306"/>
      <c r="AB652" s="306"/>
      <c r="AD652" s="22"/>
      <c r="AE652" s="22"/>
      <c r="AF652" s="22"/>
      <c r="AG652" s="22"/>
      <c r="AH652" s="22"/>
      <c r="AI652" s="22"/>
      <c r="AJ652" s="22"/>
      <c r="AK652" s="22"/>
      <c r="AL652" s="22"/>
      <c r="AM652" s="22"/>
      <c r="AN652" s="22"/>
      <c r="AO652" s="22"/>
      <c r="AP652" s="22"/>
    </row>
    <row r="653" ht="25.5" customHeight="1">
      <c r="A653" s="306">
        <f t="shared" si="3"/>
        <v>652</v>
      </c>
      <c r="B653" s="306" t="s">
        <v>61</v>
      </c>
      <c r="C653" s="39" t="s">
        <v>279</v>
      </c>
      <c r="D653" s="39" t="s">
        <v>515</v>
      </c>
      <c r="E653" s="307"/>
      <c r="F653" s="204" t="s">
        <v>35</v>
      </c>
      <c r="G653" s="309" t="s">
        <v>176</v>
      </c>
      <c r="H653" s="285" t="s">
        <v>1316</v>
      </c>
      <c r="I653" s="285" t="s">
        <v>286</v>
      </c>
      <c r="J653" s="285" t="s">
        <v>2116</v>
      </c>
      <c r="K653" s="310"/>
      <c r="L653" s="307" t="str">
        <f t="shared" si="70"/>
        <v>Carrera 25 # 3- 51 Oeste San Fernando, san fernando, Cali</v>
      </c>
      <c r="M653" s="311" t="s">
        <v>2117</v>
      </c>
      <c r="N653" s="311" t="s">
        <v>233</v>
      </c>
      <c r="O653" s="22"/>
      <c r="P653" s="22"/>
      <c r="Q653" s="22"/>
      <c r="R653" s="122"/>
      <c r="S653" s="122"/>
      <c r="T653" s="122">
        <v>1.0</v>
      </c>
      <c r="U653" s="22"/>
      <c r="V653" s="22"/>
      <c r="W653" s="22"/>
      <c r="X653" s="22"/>
      <c r="Y653" s="22"/>
      <c r="Z653" s="306" t="s">
        <v>2118</v>
      </c>
      <c r="AA653" s="306"/>
      <c r="AB653" s="306"/>
      <c r="AD653" s="22"/>
      <c r="AE653" s="22"/>
      <c r="AF653" s="22"/>
      <c r="AG653" s="22"/>
      <c r="AH653" s="22"/>
      <c r="AI653" s="22"/>
      <c r="AJ653" s="22"/>
      <c r="AK653" s="22"/>
      <c r="AL653" s="22"/>
      <c r="AM653" s="22"/>
      <c r="AN653" s="22"/>
      <c r="AO653" s="22"/>
      <c r="AP653" s="22"/>
    </row>
    <row r="654" ht="25.5" customHeight="1">
      <c r="A654" s="306">
        <f t="shared" si="3"/>
        <v>653</v>
      </c>
      <c r="B654" s="306" t="s">
        <v>61</v>
      </c>
      <c r="C654" s="39" t="s">
        <v>279</v>
      </c>
      <c r="D654" s="39" t="s">
        <v>515</v>
      </c>
      <c r="E654" s="307"/>
      <c r="F654" s="314" t="s">
        <v>60</v>
      </c>
      <c r="G654" s="309" t="s">
        <v>36</v>
      </c>
      <c r="H654" s="285" t="s">
        <v>2119</v>
      </c>
      <c r="I654" s="285" t="s">
        <v>38</v>
      </c>
      <c r="J654" s="285" t="s">
        <v>2120</v>
      </c>
      <c r="K654" s="310"/>
      <c r="L654" s="307" t="str">
        <f t="shared" si="70"/>
        <v>Calle 13A#85C -27, el ingenio, Cali</v>
      </c>
      <c r="M654" s="311" t="s">
        <v>2121</v>
      </c>
      <c r="N654" s="311" t="s">
        <v>233</v>
      </c>
      <c r="O654" s="22"/>
      <c r="P654" s="22"/>
      <c r="Q654" s="22"/>
      <c r="R654" s="122"/>
      <c r="S654" s="122"/>
      <c r="T654" s="122">
        <v>1.0</v>
      </c>
      <c r="U654" s="22"/>
      <c r="V654" s="22"/>
      <c r="W654" s="22"/>
      <c r="X654" s="22"/>
      <c r="Y654" s="22"/>
      <c r="Z654" s="306" t="s">
        <v>2122</v>
      </c>
      <c r="AA654" s="306"/>
      <c r="AB654" s="306"/>
      <c r="AD654" s="22"/>
      <c r="AE654" s="22"/>
      <c r="AF654" s="22"/>
      <c r="AG654" s="22"/>
      <c r="AH654" s="22"/>
      <c r="AI654" s="22"/>
      <c r="AJ654" s="22"/>
      <c r="AK654" s="22"/>
      <c r="AL654" s="22"/>
      <c r="AM654" s="22"/>
      <c r="AN654" s="22"/>
      <c r="AO654" s="22"/>
      <c r="AP654" s="22"/>
    </row>
    <row r="655" ht="25.5" customHeight="1">
      <c r="A655" s="306">
        <f t="shared" si="3"/>
        <v>654</v>
      </c>
      <c r="B655" s="306" t="s">
        <v>61</v>
      </c>
      <c r="C655" s="39" t="s">
        <v>279</v>
      </c>
      <c r="D655" s="39" t="s">
        <v>515</v>
      </c>
      <c r="E655" s="307"/>
      <c r="F655" s="314" t="s">
        <v>60</v>
      </c>
      <c r="G655" s="309" t="s">
        <v>36</v>
      </c>
      <c r="H655" s="285" t="s">
        <v>283</v>
      </c>
      <c r="I655" s="285" t="s">
        <v>38</v>
      </c>
      <c r="J655" s="285" t="s">
        <v>2123</v>
      </c>
      <c r="K655" s="308" t="s">
        <v>2123</v>
      </c>
      <c r="L655" s="306" t="str">
        <f t="shared" si="70"/>
        <v>edificio capitolio 5 con 66, gran limonar, Cali</v>
      </c>
      <c r="M655" s="311" t="s">
        <v>2124</v>
      </c>
      <c r="N655" s="311" t="s">
        <v>233</v>
      </c>
      <c r="O655" s="22"/>
      <c r="P655" s="22"/>
      <c r="Q655" s="22"/>
      <c r="R655" s="122"/>
      <c r="S655" s="122"/>
      <c r="T655" s="122">
        <v>1.0</v>
      </c>
      <c r="U655" s="22"/>
      <c r="V655" s="22"/>
      <c r="W655" s="22"/>
      <c r="X655" s="22"/>
      <c r="Y655" s="22"/>
      <c r="Z655" s="306" t="s">
        <v>2125</v>
      </c>
      <c r="AA655" s="306"/>
      <c r="AB655" s="306"/>
      <c r="AD655" s="22"/>
      <c r="AE655" s="22"/>
      <c r="AF655" s="22"/>
      <c r="AG655" s="22"/>
      <c r="AH655" s="22"/>
      <c r="AI655" s="22"/>
      <c r="AJ655" s="22"/>
      <c r="AK655" s="22"/>
      <c r="AL655" s="22"/>
      <c r="AM655" s="22"/>
      <c r="AN655" s="22"/>
      <c r="AO655" s="22"/>
      <c r="AP655" s="22"/>
    </row>
    <row r="656" ht="25.5" customHeight="1">
      <c r="A656" s="306">
        <f t="shared" si="3"/>
        <v>655</v>
      </c>
      <c r="B656" s="306" t="s">
        <v>61</v>
      </c>
      <c r="C656" s="39" t="s">
        <v>279</v>
      </c>
      <c r="D656" s="39" t="s">
        <v>515</v>
      </c>
      <c r="E656" s="307"/>
      <c r="F656" s="204" t="s">
        <v>110</v>
      </c>
      <c r="G656" s="204" t="s">
        <v>176</v>
      </c>
      <c r="H656" s="285" t="s">
        <v>1403</v>
      </c>
      <c r="I656" s="285" t="s">
        <v>38</v>
      </c>
      <c r="J656" s="285" t="s">
        <v>2126</v>
      </c>
      <c r="K656" s="310"/>
      <c r="L656" s="307" t="str">
        <f t="shared" si="70"/>
        <v>palacio de justicia en plaza de caycedo, san pedro, Cali</v>
      </c>
      <c r="M656" s="311" t="s">
        <v>2127</v>
      </c>
      <c r="N656" s="311" t="s">
        <v>233</v>
      </c>
      <c r="O656" s="22"/>
      <c r="P656" s="22"/>
      <c r="Q656" s="22"/>
      <c r="R656" s="122"/>
      <c r="S656" s="122"/>
      <c r="T656" s="122">
        <v>1.0</v>
      </c>
      <c r="U656" s="22"/>
      <c r="V656" s="22"/>
      <c r="W656" s="22"/>
      <c r="X656" s="22"/>
      <c r="Y656" s="22"/>
      <c r="Z656" s="306" t="s">
        <v>2128</v>
      </c>
      <c r="AA656" s="306"/>
      <c r="AB656" s="306"/>
      <c r="AD656" s="22"/>
      <c r="AE656" s="22"/>
      <c r="AF656" s="22"/>
      <c r="AG656" s="22"/>
      <c r="AH656" s="22"/>
      <c r="AI656" s="22"/>
      <c r="AJ656" s="22"/>
      <c r="AK656" s="22"/>
      <c r="AL656" s="22"/>
      <c r="AM656" s="22"/>
      <c r="AN656" s="22"/>
      <c r="AO656" s="22"/>
      <c r="AP656" s="22"/>
    </row>
    <row r="657" ht="25.5" customHeight="1">
      <c r="A657" s="306">
        <f t="shared" si="3"/>
        <v>656</v>
      </c>
      <c r="B657" s="306" t="s">
        <v>61</v>
      </c>
      <c r="C657" s="39" t="s">
        <v>279</v>
      </c>
      <c r="D657" s="39" t="s">
        <v>515</v>
      </c>
      <c r="E657" s="307"/>
      <c r="F657" s="314" t="s">
        <v>60</v>
      </c>
      <c r="G657" s="309" t="s">
        <v>36</v>
      </c>
      <c r="H657" s="285" t="s">
        <v>2105</v>
      </c>
      <c r="I657" s="285" t="s">
        <v>38</v>
      </c>
      <c r="J657" s="285" t="s">
        <v>2129</v>
      </c>
      <c r="K657" s="308" t="s">
        <v>2130</v>
      </c>
      <c r="L657" s="306" t="str">
        <f t="shared" si="70"/>
        <v>Calle 14 con Carrera 66 – Edificio Parques de la Fontana, bosques del limonar, Cali</v>
      </c>
      <c r="M657" s="311" t="s">
        <v>2131</v>
      </c>
      <c r="N657" s="311" t="s">
        <v>233</v>
      </c>
      <c r="O657" s="22"/>
      <c r="P657" s="22"/>
      <c r="Q657" s="22"/>
      <c r="R657" s="122"/>
      <c r="S657" s="122"/>
      <c r="T657" s="122">
        <v>1.0</v>
      </c>
      <c r="U657" s="22"/>
      <c r="V657" s="22"/>
      <c r="W657" s="22"/>
      <c r="X657" s="22"/>
      <c r="Y657" s="22"/>
      <c r="Z657" s="306" t="s">
        <v>2132</v>
      </c>
      <c r="AA657" s="306"/>
      <c r="AB657" s="306"/>
      <c r="AD657" s="22"/>
      <c r="AE657" s="22"/>
      <c r="AF657" s="22"/>
      <c r="AG657" s="22"/>
      <c r="AH657" s="22"/>
      <c r="AI657" s="22"/>
      <c r="AJ657" s="22"/>
      <c r="AK657" s="22"/>
      <c r="AL657" s="22"/>
      <c r="AM657" s="22"/>
      <c r="AN657" s="22"/>
      <c r="AO657" s="22"/>
      <c r="AP657" s="22"/>
    </row>
    <row r="658" ht="25.5" customHeight="1">
      <c r="A658" s="306">
        <f t="shared" si="3"/>
        <v>657</v>
      </c>
      <c r="B658" s="306" t="s">
        <v>61</v>
      </c>
      <c r="C658" s="39" t="s">
        <v>279</v>
      </c>
      <c r="D658" s="39" t="s">
        <v>515</v>
      </c>
      <c r="E658" s="307"/>
      <c r="F658" s="314" t="s">
        <v>60</v>
      </c>
      <c r="G658" s="309" t="s">
        <v>36</v>
      </c>
      <c r="H658" s="285" t="s">
        <v>1269</v>
      </c>
      <c r="I658" s="285" t="s">
        <v>38</v>
      </c>
      <c r="J658" s="285" t="s">
        <v>2133</v>
      </c>
      <c r="K658" s="308" t="s">
        <v>2134</v>
      </c>
      <c r="L658" s="306" t="str">
        <f t="shared" si="70"/>
        <v>Unidad residencial Villa Marcela calle 13#53-45, primero de mayo, Cali</v>
      </c>
      <c r="M658" s="311" t="s">
        <v>2135</v>
      </c>
      <c r="N658" s="311" t="s">
        <v>233</v>
      </c>
      <c r="O658" s="22"/>
      <c r="P658" s="22"/>
      <c r="Q658" s="22"/>
      <c r="R658" s="122"/>
      <c r="S658" s="122"/>
      <c r="T658" s="122">
        <v>1.0</v>
      </c>
      <c r="U658" s="22"/>
      <c r="V658" s="22"/>
      <c r="W658" s="22"/>
      <c r="X658" s="22"/>
      <c r="Y658" s="22"/>
      <c r="Z658" s="306" t="s">
        <v>2136</v>
      </c>
      <c r="AA658" s="306"/>
      <c r="AB658" s="306"/>
      <c r="AD658" s="22"/>
      <c r="AE658" s="22"/>
      <c r="AF658" s="22"/>
      <c r="AG658" s="22"/>
      <c r="AH658" s="22"/>
      <c r="AI658" s="22"/>
      <c r="AJ658" s="22"/>
      <c r="AK658" s="22"/>
      <c r="AL658" s="22"/>
      <c r="AM658" s="22"/>
      <c r="AN658" s="22"/>
      <c r="AO658" s="22"/>
      <c r="AP658" s="22"/>
    </row>
    <row r="659" ht="25.5" customHeight="1">
      <c r="A659" s="306">
        <f t="shared" si="3"/>
        <v>658</v>
      </c>
      <c r="B659" s="306" t="s">
        <v>61</v>
      </c>
      <c r="C659" s="39" t="s">
        <v>279</v>
      </c>
      <c r="D659" s="39" t="s">
        <v>515</v>
      </c>
      <c r="E659" s="307"/>
      <c r="F659" s="204" t="s">
        <v>35</v>
      </c>
      <c r="G659" s="309" t="s">
        <v>176</v>
      </c>
      <c r="H659" s="285" t="s">
        <v>404</v>
      </c>
      <c r="I659" s="285" t="s">
        <v>38</v>
      </c>
      <c r="J659" s="285" t="s">
        <v>2137</v>
      </c>
      <c r="K659" s="310"/>
      <c r="L659" s="307" t="str">
        <f t="shared" si="70"/>
        <v>calle 5 #40-90 edi., nueva granada, Cali</v>
      </c>
      <c r="M659" s="311" t="s">
        <v>2138</v>
      </c>
      <c r="N659" s="311" t="s">
        <v>233</v>
      </c>
      <c r="O659" s="22"/>
      <c r="P659" s="22"/>
      <c r="Q659" s="22"/>
      <c r="R659" s="122"/>
      <c r="S659" s="122"/>
      <c r="T659" s="122">
        <v>1.0</v>
      </c>
      <c r="U659" s="22"/>
      <c r="V659" s="22"/>
      <c r="W659" s="22"/>
      <c r="X659" s="22"/>
      <c r="Y659" s="22"/>
      <c r="Z659" s="306" t="s">
        <v>2139</v>
      </c>
      <c r="AA659" s="306"/>
      <c r="AB659" s="306"/>
      <c r="AD659" s="22"/>
      <c r="AE659" s="22"/>
      <c r="AF659" s="22"/>
      <c r="AG659" s="22"/>
      <c r="AH659" s="22"/>
      <c r="AI659" s="22"/>
      <c r="AJ659" s="22"/>
      <c r="AK659" s="22"/>
      <c r="AL659" s="22"/>
      <c r="AM659" s="22"/>
      <c r="AN659" s="22"/>
      <c r="AO659" s="22"/>
      <c r="AP659" s="22"/>
    </row>
    <row r="660" ht="25.5" customHeight="1">
      <c r="A660" s="306">
        <f t="shared" si="3"/>
        <v>659</v>
      </c>
      <c r="B660" s="306" t="s">
        <v>61</v>
      </c>
      <c r="C660" s="39" t="s">
        <v>279</v>
      </c>
      <c r="D660" s="39" t="s">
        <v>515</v>
      </c>
      <c r="E660" s="307"/>
      <c r="F660" s="204" t="s">
        <v>76</v>
      </c>
      <c r="G660" s="204" t="s">
        <v>350</v>
      </c>
      <c r="H660" s="285" t="s">
        <v>306</v>
      </c>
      <c r="I660" s="285" t="s">
        <v>38</v>
      </c>
      <c r="J660" s="285" t="s">
        <v>2140</v>
      </c>
      <c r="K660" s="308" t="s">
        <v>2141</v>
      </c>
      <c r="L660" s="306" t="str">
        <f t="shared" si="70"/>
        <v>Avenida 10 Norte # 7N-130, Edificio Colinas de Juanambu, Juanambú, Cali</v>
      </c>
      <c r="M660" s="311" t="s">
        <v>2142</v>
      </c>
      <c r="N660" s="311" t="s">
        <v>233</v>
      </c>
      <c r="O660" s="22"/>
      <c r="P660" s="22"/>
      <c r="Q660" s="22"/>
      <c r="R660" s="122"/>
      <c r="S660" s="122"/>
      <c r="T660" s="122">
        <v>1.0</v>
      </c>
      <c r="U660" s="22"/>
      <c r="V660" s="22"/>
      <c r="W660" s="22"/>
      <c r="X660" s="22"/>
      <c r="Y660" s="22"/>
      <c r="Z660" s="306" t="s">
        <v>2143</v>
      </c>
      <c r="AA660" s="306"/>
      <c r="AB660" s="306"/>
      <c r="AD660" s="22"/>
      <c r="AE660" s="22"/>
      <c r="AF660" s="22"/>
      <c r="AG660" s="22"/>
      <c r="AH660" s="22"/>
      <c r="AI660" s="22"/>
      <c r="AJ660" s="22"/>
      <c r="AK660" s="22"/>
      <c r="AL660" s="22"/>
      <c r="AM660" s="22"/>
      <c r="AN660" s="22"/>
      <c r="AO660" s="22"/>
      <c r="AP660" s="22"/>
    </row>
    <row r="661" ht="25.5" customHeight="1">
      <c r="A661" s="322">
        <f t="shared" si="3"/>
        <v>660</v>
      </c>
      <c r="B661" s="322" t="s">
        <v>307</v>
      </c>
      <c r="C661" s="323" t="s">
        <v>279</v>
      </c>
      <c r="D661" s="323" t="s">
        <v>515</v>
      </c>
      <c r="E661" s="324"/>
      <c r="F661" s="325" t="s">
        <v>60</v>
      </c>
      <c r="G661" s="326" t="s">
        <v>36</v>
      </c>
      <c r="H661" s="327" t="s">
        <v>2144</v>
      </c>
      <c r="I661" s="327" t="s">
        <v>38</v>
      </c>
      <c r="J661" s="327" t="s">
        <v>2145</v>
      </c>
      <c r="K661" s="328"/>
      <c r="L661" s="324" t="str">
        <f t="shared" si="70"/>
        <v>carrera 72 con 7bis capri, capri, Cali</v>
      </c>
      <c r="M661" s="324" t="s">
        <v>2146</v>
      </c>
      <c r="N661" s="324" t="s">
        <v>41</v>
      </c>
      <c r="O661" s="329"/>
      <c r="P661" s="329"/>
      <c r="Q661" s="329"/>
      <c r="R661" s="330">
        <v>1.0</v>
      </c>
      <c r="S661" s="330"/>
      <c r="T661" s="330"/>
      <c r="U661" s="329"/>
      <c r="V661" s="329"/>
      <c r="W661" s="329"/>
      <c r="X661" s="329"/>
      <c r="Y661" s="329"/>
      <c r="Z661" s="322" t="s">
        <v>2147</v>
      </c>
      <c r="AA661" s="322"/>
      <c r="AB661" s="322"/>
      <c r="AD661" s="22"/>
      <c r="AE661" s="22"/>
      <c r="AF661" s="22"/>
      <c r="AG661" s="22"/>
      <c r="AH661" s="22"/>
      <c r="AI661" s="22"/>
      <c r="AJ661" s="22"/>
      <c r="AK661" s="22"/>
      <c r="AL661" s="22"/>
      <c r="AM661" s="22"/>
      <c r="AN661" s="22"/>
      <c r="AO661" s="22"/>
      <c r="AP661" s="22"/>
    </row>
    <row r="662" ht="25.5" customHeight="1">
      <c r="A662" s="306">
        <f t="shared" si="3"/>
        <v>661</v>
      </c>
      <c r="B662" s="306" t="s">
        <v>307</v>
      </c>
      <c r="C662" s="39" t="s">
        <v>279</v>
      </c>
      <c r="D662" s="39" t="s">
        <v>515</v>
      </c>
      <c r="E662" s="307"/>
      <c r="F662" s="204" t="s">
        <v>35</v>
      </c>
      <c r="G662" s="309" t="s">
        <v>36</v>
      </c>
      <c r="H662" s="285" t="s">
        <v>1396</v>
      </c>
      <c r="I662" s="285" t="s">
        <v>38</v>
      </c>
      <c r="J662" s="285" t="s">
        <v>2148</v>
      </c>
      <c r="K662" s="308" t="s">
        <v>2149</v>
      </c>
      <c r="L662" s="306" t="str">
        <f t="shared" si="70"/>
        <v>calle 5B con carrera 42a parroquia la asencion-, tequendama, Cali</v>
      </c>
      <c r="M662" s="306" t="s">
        <v>2150</v>
      </c>
      <c r="N662" s="306" t="s">
        <v>18</v>
      </c>
      <c r="O662" s="22"/>
      <c r="P662" s="22"/>
      <c r="Q662" s="22"/>
      <c r="R662" s="122"/>
      <c r="S662" s="122">
        <v>1.0</v>
      </c>
      <c r="T662" s="122"/>
      <c r="U662" s="22"/>
      <c r="V662" s="22"/>
      <c r="W662" s="22"/>
      <c r="X662" s="22"/>
      <c r="Y662" s="22"/>
      <c r="Z662" s="306" t="s">
        <v>2151</v>
      </c>
      <c r="AA662" s="306"/>
      <c r="AB662" s="306"/>
      <c r="AD662" s="22"/>
      <c r="AE662" s="22"/>
      <c r="AF662" s="22"/>
      <c r="AG662" s="22"/>
      <c r="AH662" s="22"/>
      <c r="AI662" s="22"/>
      <c r="AJ662" s="22"/>
      <c r="AK662" s="22"/>
      <c r="AL662" s="22"/>
      <c r="AM662" s="22"/>
      <c r="AN662" s="22"/>
      <c r="AO662" s="22"/>
      <c r="AP662" s="22"/>
    </row>
    <row r="663" ht="25.5" customHeight="1">
      <c r="A663" s="306">
        <f t="shared" si="3"/>
        <v>662</v>
      </c>
      <c r="B663" s="306" t="s">
        <v>61</v>
      </c>
      <c r="C663" s="39" t="s">
        <v>279</v>
      </c>
      <c r="D663" s="39" t="s">
        <v>515</v>
      </c>
      <c r="E663" s="307"/>
      <c r="F663" s="321" t="s">
        <v>73</v>
      </c>
      <c r="G663" s="309" t="s">
        <v>176</v>
      </c>
      <c r="H663" s="285" t="s">
        <v>72</v>
      </c>
      <c r="I663" s="285" t="s">
        <v>286</v>
      </c>
      <c r="J663" s="285" t="s">
        <v>2152</v>
      </c>
      <c r="K663" s="310"/>
      <c r="L663" s="307" t="str">
        <f t="shared" si="70"/>
        <v>Calle 7 #19 -74, Alameda, Alameda, Cali</v>
      </c>
      <c r="M663" s="311" t="s">
        <v>2153</v>
      </c>
      <c r="N663" s="311" t="s">
        <v>233</v>
      </c>
      <c r="O663" s="22"/>
      <c r="P663" s="22"/>
      <c r="Q663" s="22"/>
      <c r="R663" s="122"/>
      <c r="S663" s="122"/>
      <c r="T663" s="122">
        <v>1.0</v>
      </c>
      <c r="U663" s="22"/>
      <c r="V663" s="22"/>
      <c r="W663" s="22"/>
      <c r="X663" s="22"/>
      <c r="Y663" s="22"/>
      <c r="Z663" s="306" t="s">
        <v>2154</v>
      </c>
      <c r="AA663" s="306"/>
      <c r="AB663" s="306"/>
      <c r="AD663" s="22"/>
      <c r="AE663" s="22"/>
      <c r="AF663" s="22"/>
      <c r="AG663" s="22"/>
      <c r="AH663" s="22"/>
      <c r="AI663" s="22"/>
      <c r="AJ663" s="22"/>
      <c r="AK663" s="22"/>
      <c r="AL663" s="22"/>
      <c r="AM663" s="22"/>
      <c r="AN663" s="22"/>
      <c r="AO663" s="22"/>
      <c r="AP663" s="22"/>
    </row>
    <row r="664" ht="25.5" customHeight="1">
      <c r="A664" s="306">
        <f t="shared" si="3"/>
        <v>663</v>
      </c>
      <c r="B664" s="306" t="s">
        <v>61</v>
      </c>
      <c r="C664" s="39" t="s">
        <v>279</v>
      </c>
      <c r="D664" s="39" t="s">
        <v>515</v>
      </c>
      <c r="E664" s="307"/>
      <c r="F664" s="204" t="s">
        <v>110</v>
      </c>
      <c r="G664" s="204" t="s">
        <v>176</v>
      </c>
      <c r="H664" s="285" t="s">
        <v>451</v>
      </c>
      <c r="I664" s="285" t="s">
        <v>38</v>
      </c>
      <c r="J664" s="285" t="s">
        <v>2155</v>
      </c>
      <c r="K664" s="308" t="s">
        <v>2156</v>
      </c>
      <c r="L664" s="306" t="str">
        <f t="shared" si="70"/>
        <v>Carrera 12 #4-10 edificio esquina, San Cayetano, san cayetano, Cali</v>
      </c>
      <c r="M664" s="311" t="s">
        <v>2157</v>
      </c>
      <c r="N664" s="311" t="s">
        <v>233</v>
      </c>
      <c r="O664" s="22"/>
      <c r="P664" s="22"/>
      <c r="Q664" s="22"/>
      <c r="R664" s="122"/>
      <c r="S664" s="122"/>
      <c r="T664" s="122">
        <v>1.0</v>
      </c>
      <c r="U664" s="22"/>
      <c r="V664" s="22"/>
      <c r="W664" s="22"/>
      <c r="X664" s="22"/>
      <c r="Y664" s="22"/>
      <c r="Z664" s="306" t="s">
        <v>2158</v>
      </c>
      <c r="AA664" s="306"/>
      <c r="AB664" s="306"/>
      <c r="AD664" s="22"/>
      <c r="AE664" s="22"/>
      <c r="AF664" s="22"/>
      <c r="AG664" s="22"/>
      <c r="AH664" s="22"/>
      <c r="AI664" s="22"/>
      <c r="AJ664" s="22"/>
      <c r="AK664" s="22"/>
      <c r="AL664" s="22"/>
      <c r="AM664" s="22"/>
      <c r="AN664" s="22"/>
      <c r="AO664" s="22"/>
      <c r="AP664" s="22"/>
    </row>
    <row r="665" ht="25.5" customHeight="1">
      <c r="A665" s="306">
        <f t="shared" si="3"/>
        <v>664</v>
      </c>
      <c r="B665" s="306" t="s">
        <v>61</v>
      </c>
      <c r="C665" s="39" t="s">
        <v>279</v>
      </c>
      <c r="D665" s="39" t="s">
        <v>515</v>
      </c>
      <c r="E665" s="307"/>
      <c r="F665" s="204" t="s">
        <v>35</v>
      </c>
      <c r="G665" s="309" t="s">
        <v>36</v>
      </c>
      <c r="H665" s="285" t="s">
        <v>222</v>
      </c>
      <c r="I665" s="285" t="s">
        <v>38</v>
      </c>
      <c r="J665" s="285" t="s">
        <v>2159</v>
      </c>
      <c r="K665" s="310"/>
      <c r="L665" s="307" t="str">
        <f t="shared" si="70"/>
        <v>Avenida guadalupe con 3a-, Cuarto De Legua - Guadalupe, Cali</v>
      </c>
      <c r="M665" s="311" t="s">
        <v>2160</v>
      </c>
      <c r="N665" s="311" t="s">
        <v>233</v>
      </c>
      <c r="O665" s="22"/>
      <c r="P665" s="22"/>
      <c r="Q665" s="22"/>
      <c r="R665" s="122"/>
      <c r="S665" s="122"/>
      <c r="T665" s="122">
        <v>1.0</v>
      </c>
      <c r="U665" s="22"/>
      <c r="V665" s="22"/>
      <c r="W665" s="22"/>
      <c r="X665" s="22"/>
      <c r="Y665" s="22"/>
      <c r="Z665" s="306" t="s">
        <v>2161</v>
      </c>
      <c r="AA665" s="306"/>
      <c r="AB665" s="306"/>
      <c r="AD665" s="22"/>
      <c r="AE665" s="22"/>
      <c r="AF665" s="22"/>
      <c r="AG665" s="22"/>
      <c r="AH665" s="22"/>
      <c r="AI665" s="22"/>
      <c r="AJ665" s="22"/>
      <c r="AK665" s="22"/>
      <c r="AL665" s="22"/>
      <c r="AM665" s="22"/>
      <c r="AN665" s="22"/>
      <c r="AO665" s="22"/>
      <c r="AP665" s="22"/>
    </row>
    <row r="666" ht="25.5" customHeight="1">
      <c r="A666" s="306">
        <f t="shared" si="3"/>
        <v>665</v>
      </c>
      <c r="B666" s="306" t="s">
        <v>61</v>
      </c>
      <c r="C666" s="39" t="s">
        <v>279</v>
      </c>
      <c r="D666" s="39" t="s">
        <v>515</v>
      </c>
      <c r="E666" s="307"/>
      <c r="F666" s="321" t="s">
        <v>139</v>
      </c>
      <c r="G666" s="309" t="s">
        <v>2162</v>
      </c>
      <c r="H666" s="285" t="s">
        <v>201</v>
      </c>
      <c r="I666" s="285" t="s">
        <v>286</v>
      </c>
      <c r="J666" s="285" t="s">
        <v>2163</v>
      </c>
      <c r="K666" s="310"/>
      <c r="L666" s="307" t="str">
        <f t="shared" si="70"/>
        <v>Carrera 2bn 72d04 floralia, ciudadela floralia, Cali</v>
      </c>
      <c r="M666" s="311" t="s">
        <v>2164</v>
      </c>
      <c r="N666" s="311" t="s">
        <v>233</v>
      </c>
      <c r="O666" s="22"/>
      <c r="P666" s="22"/>
      <c r="Q666" s="22"/>
      <c r="R666" s="122"/>
      <c r="S666" s="122"/>
      <c r="T666" s="122">
        <v>1.0</v>
      </c>
      <c r="U666" s="22"/>
      <c r="V666" s="22"/>
      <c r="W666" s="22"/>
      <c r="X666" s="22"/>
      <c r="Y666" s="22"/>
      <c r="Z666" s="306" t="s">
        <v>2165</v>
      </c>
      <c r="AA666" s="306"/>
      <c r="AB666" s="306"/>
      <c r="AD666" s="22"/>
      <c r="AE666" s="22"/>
      <c r="AF666" s="22"/>
      <c r="AG666" s="22"/>
      <c r="AH666" s="22"/>
      <c r="AI666" s="22"/>
      <c r="AJ666" s="22"/>
      <c r="AK666" s="22"/>
      <c r="AL666" s="22"/>
      <c r="AM666" s="22"/>
      <c r="AN666" s="22"/>
      <c r="AO666" s="22"/>
      <c r="AP666" s="22"/>
    </row>
    <row r="667" ht="25.5" customHeight="1">
      <c r="A667" s="306">
        <f t="shared" si="3"/>
        <v>666</v>
      </c>
      <c r="B667" s="306" t="s">
        <v>61</v>
      </c>
      <c r="C667" s="39" t="s">
        <v>279</v>
      </c>
      <c r="D667" s="39" t="s">
        <v>515</v>
      </c>
      <c r="E667" s="307"/>
      <c r="F667" s="321" t="s">
        <v>121</v>
      </c>
      <c r="G667" s="309" t="s">
        <v>426</v>
      </c>
      <c r="H667" s="285" t="s">
        <v>2166</v>
      </c>
      <c r="I667" s="285" t="s">
        <v>38</v>
      </c>
      <c r="J667" s="285" t="s">
        <v>2167</v>
      </c>
      <c r="K667" s="308" t="s">
        <v>2168</v>
      </c>
      <c r="L667" s="306" t="str">
        <f t="shared" si="70"/>
        <v>calle 59 y 62 #8-100 barrio la base unidad marco fidel suarez, la base, Cali</v>
      </c>
      <c r="M667" s="311" t="s">
        <v>2169</v>
      </c>
      <c r="N667" s="311" t="s">
        <v>233</v>
      </c>
      <c r="O667" s="22"/>
      <c r="P667" s="22"/>
      <c r="Q667" s="22"/>
      <c r="R667" s="122"/>
      <c r="S667" s="122"/>
      <c r="T667" s="122">
        <v>1.0</v>
      </c>
      <c r="U667" s="22"/>
      <c r="V667" s="22"/>
      <c r="W667" s="22"/>
      <c r="X667" s="22"/>
      <c r="Y667" s="22"/>
      <c r="Z667" s="306" t="s">
        <v>2170</v>
      </c>
      <c r="AA667" s="306"/>
      <c r="AB667" s="306"/>
      <c r="AD667" s="22"/>
      <c r="AE667" s="22"/>
      <c r="AF667" s="22"/>
      <c r="AG667" s="22"/>
      <c r="AH667" s="22"/>
      <c r="AI667" s="22"/>
      <c r="AJ667" s="22"/>
      <c r="AK667" s="22"/>
      <c r="AL667" s="22"/>
      <c r="AM667" s="22"/>
      <c r="AN667" s="22"/>
      <c r="AO667" s="22"/>
      <c r="AP667" s="22"/>
    </row>
    <row r="668" ht="25.5" customHeight="1">
      <c r="A668" s="63">
        <f t="shared" si="3"/>
        <v>667</v>
      </c>
      <c r="B668" s="63" t="s">
        <v>62</v>
      </c>
      <c r="C668" s="65" t="s">
        <v>133</v>
      </c>
      <c r="D668" s="108" t="s">
        <v>515</v>
      </c>
      <c r="E668" s="68" t="s">
        <v>62</v>
      </c>
      <c r="F668" s="70" t="s">
        <v>62</v>
      </c>
      <c r="G668" s="70" t="s">
        <v>62</v>
      </c>
      <c r="H668" s="71" t="s">
        <v>62</v>
      </c>
      <c r="I668" s="71" t="s">
        <v>62</v>
      </c>
      <c r="J668" s="68" t="s">
        <v>62</v>
      </c>
      <c r="K668" s="68" t="s">
        <v>62</v>
      </c>
      <c r="L668" s="68" t="s">
        <v>62</v>
      </c>
      <c r="M668" s="68" t="s">
        <v>62</v>
      </c>
      <c r="N668" s="68" t="s">
        <v>62</v>
      </c>
      <c r="O668" s="68" t="s">
        <v>62</v>
      </c>
      <c r="P668" s="68" t="s">
        <v>62</v>
      </c>
      <c r="Q668" s="68" t="s">
        <v>62</v>
      </c>
      <c r="R668" s="68" t="s">
        <v>62</v>
      </c>
      <c r="S668" s="68"/>
      <c r="T668" s="68" t="s">
        <v>62</v>
      </c>
      <c r="U668" s="68" t="s">
        <v>62</v>
      </c>
      <c r="V668" s="68" t="s">
        <v>62</v>
      </c>
      <c r="W668" s="68" t="s">
        <v>62</v>
      </c>
      <c r="X668" s="68" t="s">
        <v>62</v>
      </c>
      <c r="Y668" s="68" t="s">
        <v>62</v>
      </c>
      <c r="Z668" s="68" t="s">
        <v>62</v>
      </c>
      <c r="AA668" s="68" t="s">
        <v>62</v>
      </c>
      <c r="AB668" s="68" t="s">
        <v>62</v>
      </c>
      <c r="AD668" s="22"/>
      <c r="AE668" s="22"/>
      <c r="AF668" s="22"/>
      <c r="AG668" s="22"/>
      <c r="AH668" s="22"/>
      <c r="AI668" s="22"/>
      <c r="AJ668" s="22"/>
      <c r="AK668" s="22"/>
      <c r="AL668" s="22"/>
      <c r="AM668" s="22"/>
      <c r="AN668" s="22"/>
      <c r="AO668" s="22"/>
      <c r="AP668" s="22"/>
    </row>
    <row r="669" ht="25.5" customHeight="1">
      <c r="A669" s="306">
        <f t="shared" si="3"/>
        <v>668</v>
      </c>
      <c r="B669" s="306" t="s">
        <v>307</v>
      </c>
      <c r="C669" s="39" t="s">
        <v>279</v>
      </c>
      <c r="D669" s="39" t="s">
        <v>515</v>
      </c>
      <c r="E669" s="307"/>
      <c r="F669" s="314" t="s">
        <v>60</v>
      </c>
      <c r="G669" s="309" t="s">
        <v>36</v>
      </c>
      <c r="H669" s="285" t="s">
        <v>375</v>
      </c>
      <c r="I669" s="285" t="s">
        <v>38</v>
      </c>
      <c r="J669" s="285" t="s">
        <v>2171</v>
      </c>
      <c r="K669" s="308" t="s">
        <v>2172</v>
      </c>
      <c r="L669" s="306" t="str">
        <f t="shared" ref="L669:L683" si="71">CONCATENATE(J669,", ",H669,", Cali")</f>
        <v>Carrera 72 #10bis-21 torre b comuna 17, los portales - nuevo rey, Cali</v>
      </c>
      <c r="M669" s="306" t="s">
        <v>2173</v>
      </c>
      <c r="N669" s="306" t="s">
        <v>41</v>
      </c>
      <c r="O669" s="22"/>
      <c r="P669" s="22"/>
      <c r="Q669" s="22"/>
      <c r="R669" s="122">
        <v>1.0</v>
      </c>
      <c r="S669" s="122"/>
      <c r="T669" s="122"/>
      <c r="U669" s="22"/>
      <c r="V669" s="22"/>
      <c r="W669" s="22"/>
      <c r="X669" s="22"/>
      <c r="Y669" s="22"/>
      <c r="Z669" s="306" t="s">
        <v>2174</v>
      </c>
      <c r="AA669" s="306"/>
      <c r="AB669" s="306"/>
      <c r="AD669" s="22"/>
      <c r="AE669" s="22"/>
      <c r="AF669" s="22"/>
      <c r="AG669" s="22"/>
      <c r="AH669" s="22"/>
      <c r="AI669" s="22"/>
      <c r="AJ669" s="22"/>
      <c r="AK669" s="22"/>
      <c r="AL669" s="22"/>
      <c r="AM669" s="22"/>
      <c r="AN669" s="22"/>
      <c r="AO669" s="22"/>
      <c r="AP669" s="22"/>
    </row>
    <row r="670" ht="25.5" customHeight="1">
      <c r="A670" s="306">
        <f t="shared" si="3"/>
        <v>669</v>
      </c>
      <c r="B670" s="306" t="s">
        <v>307</v>
      </c>
      <c r="C670" s="39" t="s">
        <v>279</v>
      </c>
      <c r="D670" s="39" t="s">
        <v>515</v>
      </c>
      <c r="E670" s="307"/>
      <c r="F670" s="204" t="s">
        <v>87</v>
      </c>
      <c r="G670" s="309" t="s">
        <v>36</v>
      </c>
      <c r="H670" s="285" t="s">
        <v>210</v>
      </c>
      <c r="I670" s="285" t="s">
        <v>286</v>
      </c>
      <c r="J670" s="285" t="s">
        <v>2175</v>
      </c>
      <c r="K670" s="310"/>
      <c r="L670" s="307" t="str">
        <f t="shared" si="71"/>
        <v>calle 2bis #76-09 barrio colinas del sur, colinas del sur, Cali</v>
      </c>
      <c r="M670" s="307" t="s">
        <v>2176</v>
      </c>
      <c r="N670" s="307" t="s">
        <v>41</v>
      </c>
      <c r="O670" s="22"/>
      <c r="P670" s="22"/>
      <c r="Q670" s="22"/>
      <c r="R670" s="122">
        <v>1.0</v>
      </c>
      <c r="S670" s="122"/>
      <c r="T670" s="122"/>
      <c r="U670" s="22"/>
      <c r="V670" s="22"/>
      <c r="W670" s="22"/>
      <c r="X670" s="22"/>
      <c r="Y670" s="22"/>
      <c r="Z670" s="306" t="s">
        <v>2177</v>
      </c>
      <c r="AA670" s="306"/>
      <c r="AB670" s="306"/>
      <c r="AD670" s="22"/>
      <c r="AE670" s="22"/>
      <c r="AF670" s="22"/>
      <c r="AG670" s="22"/>
      <c r="AH670" s="22"/>
      <c r="AI670" s="22"/>
      <c r="AJ670" s="22"/>
      <c r="AK670" s="22"/>
      <c r="AL670" s="22"/>
      <c r="AM670" s="22"/>
      <c r="AN670" s="22"/>
      <c r="AO670" s="22"/>
      <c r="AP670" s="22"/>
    </row>
    <row r="671" ht="25.5" customHeight="1">
      <c r="A671" s="306">
        <f t="shared" si="3"/>
        <v>670</v>
      </c>
      <c r="B671" s="306" t="s">
        <v>61</v>
      </c>
      <c r="C671" s="39" t="s">
        <v>279</v>
      </c>
      <c r="D671" s="39" t="s">
        <v>515</v>
      </c>
      <c r="E671" s="307"/>
      <c r="F671" s="204" t="s">
        <v>59</v>
      </c>
      <c r="G671" s="204" t="s">
        <v>939</v>
      </c>
      <c r="H671" s="285" t="s">
        <v>1642</v>
      </c>
      <c r="I671" s="285" t="s">
        <v>286</v>
      </c>
      <c r="J671" s="285" t="s">
        <v>2178</v>
      </c>
      <c r="K671" s="310"/>
      <c r="L671" s="307" t="str">
        <f t="shared" si="71"/>
        <v>Avenida 7b oeste 19a56, Terrón Colorado, terron colorado, Cali</v>
      </c>
      <c r="M671" s="311" t="s">
        <v>2179</v>
      </c>
      <c r="N671" s="311" t="s">
        <v>233</v>
      </c>
      <c r="O671" s="22"/>
      <c r="P671" s="22"/>
      <c r="Q671" s="22"/>
      <c r="R671" s="122"/>
      <c r="S671" s="122"/>
      <c r="T671" s="122">
        <v>1.0</v>
      </c>
      <c r="U671" s="22"/>
      <c r="V671" s="22"/>
      <c r="W671" s="22"/>
      <c r="X671" s="22"/>
      <c r="Y671" s="22"/>
      <c r="Z671" s="306" t="s">
        <v>2180</v>
      </c>
      <c r="AA671" s="306"/>
      <c r="AB671" s="306"/>
      <c r="AD671" s="22"/>
      <c r="AE671" s="22"/>
      <c r="AF671" s="22"/>
      <c r="AG671" s="22"/>
      <c r="AH671" s="22"/>
      <c r="AI671" s="22"/>
      <c r="AJ671" s="22"/>
      <c r="AK671" s="22"/>
      <c r="AL671" s="22"/>
      <c r="AM671" s="22"/>
      <c r="AN671" s="22"/>
      <c r="AO671" s="22"/>
      <c r="AP671" s="22"/>
    </row>
    <row r="672" ht="25.5" customHeight="1">
      <c r="A672" s="306">
        <f t="shared" si="3"/>
        <v>671</v>
      </c>
      <c r="B672" s="306" t="s">
        <v>61</v>
      </c>
      <c r="C672" s="39" t="s">
        <v>279</v>
      </c>
      <c r="D672" s="39" t="s">
        <v>515</v>
      </c>
      <c r="E672" s="307"/>
      <c r="F672" s="314" t="s">
        <v>60</v>
      </c>
      <c r="G672" s="309" t="s">
        <v>36</v>
      </c>
      <c r="H672" s="285" t="s">
        <v>2119</v>
      </c>
      <c r="I672" s="285" t="s">
        <v>38</v>
      </c>
      <c r="J672" s="285" t="s">
        <v>2181</v>
      </c>
      <c r="K672" s="308" t="s">
        <v>2182</v>
      </c>
      <c r="L672" s="306" t="str">
        <f t="shared" si="71"/>
        <v>calle 18 #85c-47 edificio la zafra, el ingenio, Cali</v>
      </c>
      <c r="M672" s="311" t="s">
        <v>2183</v>
      </c>
      <c r="N672" s="311" t="s">
        <v>233</v>
      </c>
      <c r="O672" s="22"/>
      <c r="P672" s="22"/>
      <c r="Q672" s="22"/>
      <c r="R672" s="122"/>
      <c r="S672" s="122"/>
      <c r="T672" s="122">
        <v>1.0</v>
      </c>
      <c r="U672" s="22"/>
      <c r="V672" s="22"/>
      <c r="W672" s="22"/>
      <c r="X672" s="22"/>
      <c r="Y672" s="22"/>
      <c r="Z672" s="306" t="s">
        <v>2184</v>
      </c>
      <c r="AA672" s="306"/>
      <c r="AB672" s="306"/>
      <c r="AD672" s="22"/>
      <c r="AE672" s="22"/>
      <c r="AF672" s="22"/>
      <c r="AG672" s="22"/>
      <c r="AH672" s="22"/>
      <c r="AI672" s="22"/>
      <c r="AJ672" s="22"/>
      <c r="AK672" s="22"/>
      <c r="AL672" s="22"/>
      <c r="AM672" s="22"/>
      <c r="AN672" s="22"/>
      <c r="AO672" s="22"/>
      <c r="AP672" s="22"/>
    </row>
    <row r="673" ht="25.5" customHeight="1">
      <c r="A673" s="306">
        <f t="shared" si="3"/>
        <v>672</v>
      </c>
      <c r="B673" s="306" t="s">
        <v>307</v>
      </c>
      <c r="C673" s="39" t="s">
        <v>279</v>
      </c>
      <c r="D673" s="39" t="s">
        <v>515</v>
      </c>
      <c r="E673" s="307"/>
      <c r="F673" s="204" t="s">
        <v>192</v>
      </c>
      <c r="G673" s="204" t="s">
        <v>426</v>
      </c>
      <c r="H673" s="285" t="s">
        <v>217</v>
      </c>
      <c r="I673" s="285" t="s">
        <v>38</v>
      </c>
      <c r="J673" s="285" t="s">
        <v>2185</v>
      </c>
      <c r="K673" s="310"/>
      <c r="L673" s="307" t="str">
        <f t="shared" si="71"/>
        <v>calle 77 #28f-95, comuneros 1, Cali</v>
      </c>
      <c r="M673" s="307" t="s">
        <v>2186</v>
      </c>
      <c r="N673" s="307" t="s">
        <v>233</v>
      </c>
      <c r="O673" s="22"/>
      <c r="P673" s="22"/>
      <c r="Q673" s="22"/>
      <c r="S673" s="122"/>
      <c r="T673" s="122">
        <v>1.0</v>
      </c>
      <c r="U673" s="22"/>
      <c r="V673" s="22"/>
      <c r="W673" s="22"/>
      <c r="X673" s="22"/>
      <c r="Y673" s="22"/>
      <c r="Z673" s="306" t="s">
        <v>2187</v>
      </c>
      <c r="AA673" s="306"/>
      <c r="AB673" s="306"/>
      <c r="AD673" s="22"/>
      <c r="AE673" s="22"/>
      <c r="AF673" s="22"/>
      <c r="AG673" s="22"/>
      <c r="AH673" s="22"/>
      <c r="AI673" s="22"/>
      <c r="AJ673" s="22"/>
      <c r="AK673" s="22"/>
      <c r="AL673" s="22"/>
      <c r="AM673" s="22"/>
      <c r="AN673" s="22"/>
      <c r="AO673" s="22"/>
      <c r="AP673" s="22"/>
    </row>
    <row r="674" ht="25.5" customHeight="1">
      <c r="A674" s="306">
        <f t="shared" si="3"/>
        <v>673</v>
      </c>
      <c r="B674" s="306" t="s">
        <v>61</v>
      </c>
      <c r="C674" s="39" t="s">
        <v>279</v>
      </c>
      <c r="D674" s="39" t="s">
        <v>515</v>
      </c>
      <c r="E674" s="307"/>
      <c r="F674" s="204" t="s">
        <v>35</v>
      </c>
      <c r="G674" s="309" t="s">
        <v>2188</v>
      </c>
      <c r="H674" s="285" t="s">
        <v>1452</v>
      </c>
      <c r="I674" s="285" t="s">
        <v>38</v>
      </c>
      <c r="J674" s="285" t="s">
        <v>2189</v>
      </c>
      <c r="K674" s="308" t="s">
        <v>2190</v>
      </c>
      <c r="L674" s="306" t="str">
        <f t="shared" si="71"/>
        <v>Calle 2 B # 66 A 46, Colegio San José Refugio, el refugio, Cali</v>
      </c>
      <c r="M674" s="311" t="s">
        <v>2191</v>
      </c>
      <c r="N674" s="311" t="s">
        <v>233</v>
      </c>
      <c r="O674" s="22"/>
      <c r="P674" s="22"/>
      <c r="Q674" s="22"/>
      <c r="R674" s="122"/>
      <c r="S674" s="122"/>
      <c r="T674" s="122">
        <v>1.0</v>
      </c>
      <c r="U674" s="22"/>
      <c r="V674" s="22"/>
      <c r="W674" s="22"/>
      <c r="X674" s="22"/>
      <c r="Y674" s="22"/>
      <c r="Z674" s="306" t="s">
        <v>2192</v>
      </c>
      <c r="AA674" s="306"/>
      <c r="AB674" s="306"/>
      <c r="AD674" s="22"/>
      <c r="AE674" s="22"/>
      <c r="AF674" s="22"/>
      <c r="AG674" s="22"/>
      <c r="AH674" s="22"/>
      <c r="AI674" s="22"/>
      <c r="AJ674" s="22"/>
      <c r="AK674" s="22"/>
      <c r="AL674" s="22"/>
      <c r="AM674" s="22"/>
      <c r="AN674" s="22"/>
      <c r="AO674" s="22"/>
      <c r="AP674" s="22"/>
    </row>
    <row r="675" ht="25.5" customHeight="1">
      <c r="A675" s="306">
        <f t="shared" si="3"/>
        <v>674</v>
      </c>
      <c r="B675" s="306" t="s">
        <v>61</v>
      </c>
      <c r="C675" s="39" t="s">
        <v>279</v>
      </c>
      <c r="D675" s="39" t="s">
        <v>515</v>
      </c>
      <c r="E675" s="307"/>
      <c r="F675" s="204" t="s">
        <v>35</v>
      </c>
      <c r="G675" s="309" t="s">
        <v>176</v>
      </c>
      <c r="H675" s="285" t="s">
        <v>1316</v>
      </c>
      <c r="I675" s="285" t="s">
        <v>286</v>
      </c>
      <c r="J675" s="285" t="s">
        <v>2193</v>
      </c>
      <c r="K675" s="310"/>
      <c r="L675" s="307" t="str">
        <f t="shared" si="71"/>
        <v>Carrera 34 #5b-77 san fernando, san fernando, Cali</v>
      </c>
      <c r="M675" s="311" t="s">
        <v>2194</v>
      </c>
      <c r="N675" s="311" t="s">
        <v>233</v>
      </c>
      <c r="O675" s="22"/>
      <c r="P675" s="22"/>
      <c r="Q675" s="22"/>
      <c r="R675" s="122"/>
      <c r="S675" s="122"/>
      <c r="T675" s="122">
        <v>1.0</v>
      </c>
      <c r="U675" s="22"/>
      <c r="V675" s="22"/>
      <c r="W675" s="22"/>
      <c r="X675" s="22"/>
      <c r="Y675" s="22"/>
      <c r="Z675" s="306" t="s">
        <v>2195</v>
      </c>
      <c r="AA675" s="306"/>
      <c r="AB675" s="306"/>
      <c r="AD675" s="22"/>
      <c r="AE675" s="22"/>
      <c r="AF675" s="22"/>
      <c r="AG675" s="22"/>
      <c r="AH675" s="22"/>
      <c r="AI675" s="22"/>
      <c r="AJ675" s="22"/>
      <c r="AK675" s="22"/>
      <c r="AL675" s="22"/>
      <c r="AM675" s="22"/>
      <c r="AN675" s="22"/>
      <c r="AO675" s="22"/>
      <c r="AP675" s="22"/>
    </row>
    <row r="676" ht="25.5" customHeight="1">
      <c r="A676" s="306">
        <f t="shared" si="3"/>
        <v>675</v>
      </c>
      <c r="B676" s="306" t="s">
        <v>307</v>
      </c>
      <c r="C676" s="39" t="s">
        <v>279</v>
      </c>
      <c r="D676" s="39" t="s">
        <v>515</v>
      </c>
      <c r="E676" s="307"/>
      <c r="F676" s="204" t="s">
        <v>35</v>
      </c>
      <c r="G676" s="309" t="s">
        <v>176</v>
      </c>
      <c r="H676" s="285" t="s">
        <v>275</v>
      </c>
      <c r="I676" s="285" t="s">
        <v>38</v>
      </c>
      <c r="J676" s="285" t="s">
        <v>2196</v>
      </c>
      <c r="K676" s="308" t="s">
        <v>2196</v>
      </c>
      <c r="L676" s="306" t="str">
        <f t="shared" si="71"/>
        <v>universidad UNAD- roosvelt, Eucarístico, Cali</v>
      </c>
      <c r="M676" s="306" t="s">
        <v>2197</v>
      </c>
      <c r="N676" s="306" t="s">
        <v>233</v>
      </c>
      <c r="O676" s="22"/>
      <c r="P676" s="22"/>
      <c r="Q676" s="22"/>
      <c r="S676" s="122"/>
      <c r="T676" s="122">
        <v>1.0</v>
      </c>
      <c r="U676" s="22"/>
      <c r="V676" s="22"/>
      <c r="W676" s="22"/>
      <c r="X676" s="22"/>
      <c r="Y676" s="22"/>
      <c r="Z676" s="306" t="s">
        <v>2198</v>
      </c>
      <c r="AA676" s="306"/>
      <c r="AB676" s="306"/>
      <c r="AD676" s="22"/>
      <c r="AE676" s="22"/>
      <c r="AF676" s="22"/>
      <c r="AG676" s="22"/>
      <c r="AH676" s="22"/>
      <c r="AI676" s="22"/>
      <c r="AJ676" s="22"/>
      <c r="AK676" s="22"/>
      <c r="AL676" s="22"/>
      <c r="AM676" s="22"/>
      <c r="AN676" s="22"/>
      <c r="AO676" s="22"/>
      <c r="AP676" s="22"/>
    </row>
    <row r="677" ht="25.5" customHeight="1">
      <c r="A677" s="306">
        <f t="shared" si="3"/>
        <v>676</v>
      </c>
      <c r="B677" s="39" t="s">
        <v>32</v>
      </c>
      <c r="C677" s="39" t="s">
        <v>33</v>
      </c>
      <c r="D677" s="39" t="s">
        <v>515</v>
      </c>
      <c r="E677" s="307"/>
      <c r="F677" s="321" t="s">
        <v>102</v>
      </c>
      <c r="G677" s="309" t="s">
        <v>350</v>
      </c>
      <c r="H677" s="285" t="s">
        <v>512</v>
      </c>
      <c r="I677" s="285" t="s">
        <v>286</v>
      </c>
      <c r="J677" s="331" t="s">
        <v>2199</v>
      </c>
      <c r="K677" s="310"/>
      <c r="L677" s="307" t="str">
        <f t="shared" si="71"/>
        <v>Av. 5 Nte. #22 Norte-2 a 22 Norte-100, Versalles, Cali</v>
      </c>
      <c r="M677" s="311" t="s">
        <v>2200</v>
      </c>
      <c r="N677" s="311" t="s">
        <v>642</v>
      </c>
      <c r="O677" s="22"/>
      <c r="P677" s="22"/>
      <c r="Q677" s="332" t="s">
        <v>81</v>
      </c>
      <c r="R677" s="122"/>
      <c r="S677" s="122"/>
      <c r="T677" s="122">
        <v>1.0</v>
      </c>
      <c r="U677" s="22"/>
      <c r="V677" s="22"/>
      <c r="W677" s="22"/>
      <c r="X677" s="22"/>
      <c r="Y677" s="333" t="s">
        <v>2201</v>
      </c>
      <c r="Z677" s="332" t="s">
        <v>2202</v>
      </c>
      <c r="AA677" s="306"/>
      <c r="AB677" s="306"/>
      <c r="AD677" s="22"/>
      <c r="AE677" s="22"/>
      <c r="AF677" s="22"/>
      <c r="AG677" s="22"/>
      <c r="AH677" s="22"/>
      <c r="AI677" s="22"/>
      <c r="AJ677" s="22"/>
      <c r="AK677" s="22"/>
      <c r="AL677" s="22"/>
      <c r="AM677" s="22"/>
      <c r="AN677" s="22"/>
      <c r="AO677" s="22"/>
      <c r="AP677" s="22"/>
    </row>
    <row r="678" ht="25.5" customHeight="1">
      <c r="A678" s="306">
        <f t="shared" si="3"/>
        <v>677</v>
      </c>
      <c r="B678" s="306" t="s">
        <v>61</v>
      </c>
      <c r="C678" s="39" t="s">
        <v>279</v>
      </c>
      <c r="D678" s="39" t="s">
        <v>515</v>
      </c>
      <c r="E678" s="307"/>
      <c r="F678" s="321" t="s">
        <v>95</v>
      </c>
      <c r="G678" s="309" t="s">
        <v>426</v>
      </c>
      <c r="H678" s="285" t="s">
        <v>2203</v>
      </c>
      <c r="I678" s="285" t="s">
        <v>286</v>
      </c>
      <c r="J678" s="285" t="s">
        <v>2204</v>
      </c>
      <c r="K678" s="310"/>
      <c r="L678" s="307" t="str">
        <f t="shared" si="71"/>
        <v>Calle 79e casa 2010, valle grande, Cali</v>
      </c>
      <c r="M678" s="311" t="s">
        <v>2205</v>
      </c>
      <c r="N678" s="311" t="s">
        <v>233</v>
      </c>
      <c r="O678" s="22"/>
      <c r="P678" s="22"/>
      <c r="Q678" s="22"/>
      <c r="R678" s="122"/>
      <c r="S678" s="122"/>
      <c r="T678" s="122">
        <v>1.0</v>
      </c>
      <c r="U678" s="22"/>
      <c r="V678" s="22"/>
      <c r="W678" s="22"/>
      <c r="X678" s="22"/>
      <c r="Y678" s="22"/>
      <c r="Z678" s="306" t="s">
        <v>2206</v>
      </c>
      <c r="AA678" s="306"/>
      <c r="AB678" s="306"/>
      <c r="AD678" s="22"/>
      <c r="AE678" s="22"/>
      <c r="AF678" s="22"/>
      <c r="AG678" s="22"/>
      <c r="AH678" s="22"/>
      <c r="AI678" s="22"/>
      <c r="AJ678" s="22"/>
      <c r="AK678" s="22"/>
      <c r="AL678" s="22"/>
      <c r="AM678" s="22"/>
      <c r="AN678" s="22"/>
      <c r="AO678" s="22"/>
      <c r="AP678" s="22"/>
    </row>
    <row r="679" ht="25.5" customHeight="1">
      <c r="A679" s="306">
        <f t="shared" si="3"/>
        <v>678</v>
      </c>
      <c r="B679" s="306" t="s">
        <v>61</v>
      </c>
      <c r="C679" s="39" t="s">
        <v>279</v>
      </c>
      <c r="D679" s="39" t="s">
        <v>515</v>
      </c>
      <c r="E679" s="307"/>
      <c r="F679" s="204" t="s">
        <v>116</v>
      </c>
      <c r="G679" s="204" t="s">
        <v>350</v>
      </c>
      <c r="H679" s="285" t="s">
        <v>115</v>
      </c>
      <c r="I679" s="285" t="s">
        <v>286</v>
      </c>
      <c r="J679" s="285" t="s">
        <v>2207</v>
      </c>
      <c r="K679" s="308" t="s">
        <v>2208</v>
      </c>
      <c r="L679" s="306" t="str">
        <f t="shared" si="71"/>
        <v>Calle 59 #1C-73 Torres de comfandi conjunto B, Barranquilla, Cali</v>
      </c>
      <c r="M679" s="311" t="s">
        <v>2209</v>
      </c>
      <c r="N679" s="311" t="s">
        <v>233</v>
      </c>
      <c r="O679" s="22"/>
      <c r="P679" s="22"/>
      <c r="Q679" s="22"/>
      <c r="R679" s="122"/>
      <c r="S679" s="122"/>
      <c r="T679" s="122">
        <v>1.0</v>
      </c>
      <c r="U679" s="22"/>
      <c r="V679" s="22"/>
      <c r="W679" s="22"/>
      <c r="X679" s="22"/>
      <c r="Y679" s="22"/>
      <c r="Z679" s="306" t="s">
        <v>2210</v>
      </c>
      <c r="AA679" s="306"/>
      <c r="AB679" s="306"/>
      <c r="AD679" s="22"/>
      <c r="AE679" s="22"/>
      <c r="AF679" s="22"/>
      <c r="AG679" s="22"/>
      <c r="AH679" s="22"/>
      <c r="AI679" s="22"/>
      <c r="AJ679" s="22"/>
      <c r="AK679" s="22"/>
      <c r="AL679" s="22"/>
      <c r="AM679" s="22"/>
      <c r="AN679" s="22"/>
      <c r="AO679" s="22"/>
      <c r="AP679" s="22"/>
    </row>
    <row r="680" ht="25.5" customHeight="1">
      <c r="A680" s="306">
        <f t="shared" si="3"/>
        <v>679</v>
      </c>
      <c r="B680" s="306" t="s">
        <v>307</v>
      </c>
      <c r="C680" s="39" t="s">
        <v>279</v>
      </c>
      <c r="D680" s="39" t="s">
        <v>515</v>
      </c>
      <c r="E680" s="307"/>
      <c r="F680" s="321" t="s">
        <v>128</v>
      </c>
      <c r="G680" s="309" t="s">
        <v>176</v>
      </c>
      <c r="H680" s="285" t="s">
        <v>178</v>
      </c>
      <c r="I680" s="285" t="s">
        <v>639</v>
      </c>
      <c r="J680" s="285" t="s">
        <v>2211</v>
      </c>
      <c r="K680" s="308" t="s">
        <v>2212</v>
      </c>
      <c r="L680" s="306" t="str">
        <f t="shared" si="71"/>
        <v>antigua clinica saludcop Calle 9 # 29 (Calle 9 con Carrera 30, barrio Champagnat / La Alameda)., Champagnat, Cali</v>
      </c>
      <c r="M680" s="306" t="s">
        <v>2213</v>
      </c>
      <c r="N680" s="306" t="s">
        <v>18</v>
      </c>
      <c r="O680" s="22"/>
      <c r="P680" s="22"/>
      <c r="Q680" s="22"/>
      <c r="R680" s="122"/>
      <c r="S680" s="204">
        <v>1.0</v>
      </c>
      <c r="T680" s="122"/>
      <c r="U680" s="22"/>
      <c r="V680" s="22"/>
      <c r="W680" s="22"/>
      <c r="X680" s="39">
        <v>1.0</v>
      </c>
      <c r="Y680" s="22"/>
      <c r="Z680" s="306" t="s">
        <v>2214</v>
      </c>
      <c r="AA680" s="306"/>
      <c r="AB680" s="306"/>
      <c r="AD680" s="22"/>
      <c r="AE680" s="22"/>
      <c r="AF680" s="22"/>
      <c r="AG680" s="22"/>
      <c r="AH680" s="22"/>
      <c r="AI680" s="22"/>
      <c r="AJ680" s="22"/>
      <c r="AK680" s="22"/>
      <c r="AL680" s="22"/>
      <c r="AM680" s="22"/>
      <c r="AN680" s="22"/>
      <c r="AO680" s="22"/>
      <c r="AP680" s="22"/>
    </row>
    <row r="681" ht="25.5" customHeight="1">
      <c r="A681" s="306">
        <f t="shared" si="3"/>
        <v>680</v>
      </c>
      <c r="B681" s="306" t="s">
        <v>61</v>
      </c>
      <c r="C681" s="39" t="s">
        <v>279</v>
      </c>
      <c r="D681" s="39" t="s">
        <v>515</v>
      </c>
      <c r="E681" s="307"/>
      <c r="F681" s="204" t="s">
        <v>35</v>
      </c>
      <c r="G681" s="309" t="s">
        <v>2215</v>
      </c>
      <c r="H681" s="285" t="s">
        <v>405</v>
      </c>
      <c r="I681" s="285" t="s">
        <v>38</v>
      </c>
      <c r="J681" s="285" t="s">
        <v>2216</v>
      </c>
      <c r="K681" s="310"/>
      <c r="L681" s="307" t="str">
        <f t="shared" si="71"/>
        <v>Calle 8 c #47-35, Nueva Tequendama, Cali</v>
      </c>
      <c r="M681" s="311" t="s">
        <v>2217</v>
      </c>
      <c r="N681" s="311" t="s">
        <v>233</v>
      </c>
      <c r="O681" s="22"/>
      <c r="P681" s="22"/>
      <c r="Q681" s="22"/>
      <c r="R681" s="122"/>
      <c r="S681" s="122"/>
      <c r="T681" s="122">
        <v>1.0</v>
      </c>
      <c r="U681" s="22"/>
      <c r="V681" s="22"/>
      <c r="W681" s="22"/>
      <c r="X681" s="22"/>
      <c r="Y681" s="22"/>
      <c r="Z681" s="306" t="s">
        <v>2218</v>
      </c>
      <c r="AA681" s="306"/>
      <c r="AB681" s="306"/>
      <c r="AD681" s="22"/>
      <c r="AE681" s="22"/>
      <c r="AF681" s="22"/>
      <c r="AG681" s="22"/>
      <c r="AH681" s="22"/>
      <c r="AI681" s="22"/>
      <c r="AJ681" s="22"/>
      <c r="AK681" s="22"/>
      <c r="AL681" s="22"/>
      <c r="AM681" s="22"/>
      <c r="AN681" s="22"/>
      <c r="AO681" s="22"/>
      <c r="AP681" s="22"/>
    </row>
    <row r="682" ht="25.5" customHeight="1">
      <c r="A682" s="306">
        <f t="shared" si="3"/>
        <v>681</v>
      </c>
      <c r="B682" s="306" t="s">
        <v>307</v>
      </c>
      <c r="C682" s="39" t="s">
        <v>279</v>
      </c>
      <c r="D682" s="39" t="s">
        <v>515</v>
      </c>
      <c r="E682" s="307"/>
      <c r="F682" s="204" t="s">
        <v>87</v>
      </c>
      <c r="G682" s="309" t="s">
        <v>2215</v>
      </c>
      <c r="H682" s="285" t="s">
        <v>412</v>
      </c>
      <c r="I682" s="285" t="s">
        <v>286</v>
      </c>
      <c r="J682" s="285" t="s">
        <v>2219</v>
      </c>
      <c r="K682" s="310"/>
      <c r="L682" s="307" t="str">
        <f t="shared" si="71"/>
        <v>Calle 3D 69-33, Palmas, Cali</v>
      </c>
      <c r="M682" s="307" t="s">
        <v>2220</v>
      </c>
      <c r="N682" s="307" t="s">
        <v>233</v>
      </c>
      <c r="O682" s="22"/>
      <c r="P682" s="22"/>
      <c r="Q682" s="22"/>
      <c r="S682" s="122"/>
      <c r="T682" s="122">
        <v>1.0</v>
      </c>
      <c r="U682" s="22"/>
      <c r="V682" s="22"/>
      <c r="W682" s="22"/>
      <c r="X682" s="22"/>
      <c r="Y682" s="22"/>
      <c r="Z682" s="306" t="s">
        <v>2221</v>
      </c>
      <c r="AA682" s="306"/>
      <c r="AB682" s="306"/>
      <c r="AD682" s="22"/>
      <c r="AE682" s="22"/>
      <c r="AF682" s="22"/>
      <c r="AG682" s="22"/>
      <c r="AH682" s="22"/>
      <c r="AI682" s="22"/>
      <c r="AJ682" s="22"/>
      <c r="AK682" s="22"/>
      <c r="AL682" s="22"/>
      <c r="AM682" s="22"/>
      <c r="AN682" s="22"/>
      <c r="AO682" s="22"/>
      <c r="AP682" s="22"/>
    </row>
    <row r="683" ht="25.5" customHeight="1">
      <c r="A683" s="306">
        <f t="shared" si="3"/>
        <v>682</v>
      </c>
      <c r="B683" s="306" t="s">
        <v>61</v>
      </c>
      <c r="C683" s="39" t="s">
        <v>279</v>
      </c>
      <c r="D683" s="39" t="s">
        <v>515</v>
      </c>
      <c r="E683" s="307"/>
      <c r="F683" s="321" t="s">
        <v>121</v>
      </c>
      <c r="G683" s="309" t="s">
        <v>36</v>
      </c>
      <c r="H683" s="285" t="s">
        <v>322</v>
      </c>
      <c r="I683" s="285" t="s">
        <v>286</v>
      </c>
      <c r="J683" s="285" t="s">
        <v>2222</v>
      </c>
      <c r="K683" s="310"/>
      <c r="L683" s="307" t="str">
        <f t="shared" si="71"/>
        <v>Carrera 17f #3012 Droguería Superior, La Independencia, Cali</v>
      </c>
      <c r="M683" s="311" t="s">
        <v>2223</v>
      </c>
      <c r="N683" s="311" t="s">
        <v>233</v>
      </c>
      <c r="O683" s="22"/>
      <c r="P683" s="22"/>
      <c r="Q683" s="22"/>
      <c r="R683" s="122"/>
      <c r="S683" s="122"/>
      <c r="T683" s="122">
        <v>1.0</v>
      </c>
      <c r="U683" s="22"/>
      <c r="V683" s="22"/>
      <c r="W683" s="22"/>
      <c r="X683" s="22"/>
      <c r="Y683" s="22"/>
      <c r="Z683" s="306" t="s">
        <v>2224</v>
      </c>
      <c r="AA683" s="306"/>
      <c r="AB683" s="306"/>
      <c r="AD683" s="22"/>
      <c r="AE683" s="22"/>
      <c r="AF683" s="22"/>
      <c r="AG683" s="22"/>
      <c r="AH683" s="22"/>
      <c r="AI683" s="22"/>
      <c r="AJ683" s="22"/>
      <c r="AK683" s="22"/>
      <c r="AL683" s="22"/>
      <c r="AM683" s="22"/>
      <c r="AN683" s="22"/>
      <c r="AO683" s="22"/>
      <c r="AP683" s="22"/>
    </row>
    <row r="684" ht="25.5" customHeight="1">
      <c r="A684" s="63">
        <f t="shared" si="3"/>
        <v>683</v>
      </c>
      <c r="B684" s="63" t="s">
        <v>62</v>
      </c>
      <c r="C684" s="65" t="s">
        <v>133</v>
      </c>
      <c r="D684" s="108" t="s">
        <v>515</v>
      </c>
      <c r="E684" s="68" t="s">
        <v>62</v>
      </c>
      <c r="F684" s="70" t="s">
        <v>62</v>
      </c>
      <c r="G684" s="70" t="s">
        <v>62</v>
      </c>
      <c r="H684" s="71" t="s">
        <v>62</v>
      </c>
      <c r="I684" s="71" t="s">
        <v>62</v>
      </c>
      <c r="J684" s="68" t="s">
        <v>62</v>
      </c>
      <c r="K684" s="68" t="s">
        <v>62</v>
      </c>
      <c r="L684" s="68" t="s">
        <v>62</v>
      </c>
      <c r="M684" s="68" t="s">
        <v>62</v>
      </c>
      <c r="N684" s="68" t="s">
        <v>62</v>
      </c>
      <c r="O684" s="68" t="s">
        <v>62</v>
      </c>
      <c r="P684" s="68" t="s">
        <v>62</v>
      </c>
      <c r="Q684" s="68" t="s">
        <v>62</v>
      </c>
      <c r="R684" s="68" t="s">
        <v>62</v>
      </c>
      <c r="S684" s="68"/>
      <c r="T684" s="68" t="s">
        <v>62</v>
      </c>
      <c r="U684" s="68" t="s">
        <v>62</v>
      </c>
      <c r="V684" s="68" t="s">
        <v>62</v>
      </c>
      <c r="W684" s="68" t="s">
        <v>62</v>
      </c>
      <c r="X684" s="68" t="s">
        <v>62</v>
      </c>
      <c r="Y684" s="68" t="s">
        <v>62</v>
      </c>
      <c r="Z684" s="68" t="s">
        <v>62</v>
      </c>
      <c r="AA684" s="68" t="s">
        <v>62</v>
      </c>
      <c r="AB684" s="68" t="s">
        <v>62</v>
      </c>
      <c r="AD684" s="22"/>
      <c r="AE684" s="22"/>
      <c r="AF684" s="22"/>
      <c r="AG684" s="22"/>
      <c r="AH684" s="22"/>
      <c r="AI684" s="22"/>
      <c r="AJ684" s="22"/>
      <c r="AK684" s="22"/>
      <c r="AL684" s="22"/>
      <c r="AM684" s="22"/>
      <c r="AN684" s="22"/>
      <c r="AO684" s="22"/>
      <c r="AP684" s="22"/>
    </row>
    <row r="685" ht="25.5" customHeight="1">
      <c r="A685" s="306">
        <f t="shared" si="3"/>
        <v>684</v>
      </c>
      <c r="B685" s="306" t="s">
        <v>61</v>
      </c>
      <c r="C685" s="39" t="s">
        <v>279</v>
      </c>
      <c r="D685" s="39" t="s">
        <v>515</v>
      </c>
      <c r="E685" s="307"/>
      <c r="F685" s="314" t="s">
        <v>60</v>
      </c>
      <c r="G685" s="309" t="s">
        <v>36</v>
      </c>
      <c r="H685" s="285" t="s">
        <v>2225</v>
      </c>
      <c r="I685" s="285" t="s">
        <v>286</v>
      </c>
      <c r="J685" s="285" t="s">
        <v>2226</v>
      </c>
      <c r="K685" s="310"/>
      <c r="L685" s="307" t="str">
        <f t="shared" ref="L685:L731" si="72">CONCATENATE(J685,", ",H685,", Cali")</f>
        <v>Carrera 66 con Calle 12, El limonar, Cali</v>
      </c>
      <c r="M685" s="311" t="s">
        <v>2227</v>
      </c>
      <c r="N685" s="311" t="s">
        <v>233</v>
      </c>
      <c r="O685" s="22"/>
      <c r="P685" s="22"/>
      <c r="Q685" s="22"/>
      <c r="R685" s="122"/>
      <c r="S685" s="122"/>
      <c r="T685" s="122">
        <v>1.0</v>
      </c>
      <c r="U685" s="22"/>
      <c r="V685" s="22"/>
      <c r="W685" s="22"/>
      <c r="X685" s="22"/>
      <c r="Y685" s="22"/>
      <c r="Z685" s="306" t="s">
        <v>2228</v>
      </c>
      <c r="AA685" s="306"/>
      <c r="AB685" s="306"/>
      <c r="AD685" s="22"/>
      <c r="AE685" s="22"/>
      <c r="AF685" s="22"/>
      <c r="AG685" s="22"/>
      <c r="AH685" s="22"/>
      <c r="AI685" s="22"/>
      <c r="AJ685" s="22"/>
      <c r="AK685" s="22"/>
      <c r="AL685" s="22"/>
      <c r="AM685" s="22"/>
      <c r="AN685" s="22"/>
      <c r="AO685" s="22"/>
      <c r="AP685" s="22"/>
    </row>
    <row r="686" ht="25.5" customHeight="1">
      <c r="A686" s="306">
        <f t="shared" si="3"/>
        <v>685</v>
      </c>
      <c r="B686" s="306" t="s">
        <v>61</v>
      </c>
      <c r="C686" s="39" t="s">
        <v>279</v>
      </c>
      <c r="D686" s="39" t="s">
        <v>515</v>
      </c>
      <c r="E686" s="307"/>
      <c r="F686" s="204" t="s">
        <v>35</v>
      </c>
      <c r="G686" s="309" t="s">
        <v>36</v>
      </c>
      <c r="H686" s="285" t="s">
        <v>2229</v>
      </c>
      <c r="I686" s="285" t="s">
        <v>38</v>
      </c>
      <c r="J686" s="285" t="s">
        <v>2230</v>
      </c>
      <c r="K686" s="310"/>
      <c r="L686" s="307" t="str">
        <f t="shared" si="72"/>
        <v>avenida roosvelt con 26, 3 de julio, Cali</v>
      </c>
      <c r="M686" s="311" t="s">
        <v>2231</v>
      </c>
      <c r="N686" s="311" t="s">
        <v>233</v>
      </c>
      <c r="O686" s="22"/>
      <c r="P686" s="22"/>
      <c r="Q686" s="22"/>
      <c r="R686" s="122"/>
      <c r="S686" s="122"/>
      <c r="T686" s="122">
        <v>1.0</v>
      </c>
      <c r="U686" s="22"/>
      <c r="V686" s="22"/>
      <c r="W686" s="22"/>
      <c r="X686" s="22"/>
      <c r="Y686" s="22"/>
      <c r="Z686" s="306" t="s">
        <v>2232</v>
      </c>
      <c r="AA686" s="306"/>
      <c r="AB686" s="306"/>
      <c r="AD686" s="22"/>
      <c r="AE686" s="22"/>
      <c r="AF686" s="22"/>
      <c r="AG686" s="22"/>
      <c r="AH686" s="22"/>
      <c r="AI686" s="22"/>
      <c r="AJ686" s="22"/>
      <c r="AK686" s="22"/>
      <c r="AL686" s="22"/>
      <c r="AM686" s="22"/>
      <c r="AN686" s="22"/>
      <c r="AO686" s="22"/>
      <c r="AP686" s="22"/>
    </row>
    <row r="687" ht="25.5" customHeight="1">
      <c r="A687" s="312">
        <f t="shared" si="3"/>
        <v>686</v>
      </c>
      <c r="B687" s="312" t="s">
        <v>61</v>
      </c>
      <c r="C687" s="27" t="s">
        <v>279</v>
      </c>
      <c r="D687" s="27" t="s">
        <v>515</v>
      </c>
      <c r="E687" s="334"/>
      <c r="F687" s="30" t="s">
        <v>76</v>
      </c>
      <c r="G687" s="30" t="s">
        <v>350</v>
      </c>
      <c r="H687" s="198" t="s">
        <v>470</v>
      </c>
      <c r="I687" s="198" t="s">
        <v>38</v>
      </c>
      <c r="J687" s="198" t="s">
        <v>2233</v>
      </c>
      <c r="K687" s="310"/>
      <c r="L687" s="307" t="str">
        <f t="shared" si="72"/>
        <v>Calle 21N#4-09, San Vicente, Cali</v>
      </c>
      <c r="M687" s="311" t="s">
        <v>2234</v>
      </c>
      <c r="N687" s="311" t="s">
        <v>233</v>
      </c>
      <c r="O687" s="22"/>
      <c r="P687" s="22"/>
      <c r="Q687" s="22"/>
      <c r="R687" s="122"/>
      <c r="S687" s="122"/>
      <c r="T687" s="122">
        <v>1.0</v>
      </c>
      <c r="U687" s="22"/>
      <c r="V687" s="22"/>
      <c r="W687" s="22"/>
      <c r="X687" s="22"/>
      <c r="Y687" s="22"/>
      <c r="Z687" s="306" t="s">
        <v>2235</v>
      </c>
      <c r="AA687" s="306"/>
      <c r="AB687" s="306"/>
      <c r="AD687" s="22"/>
      <c r="AE687" s="22"/>
      <c r="AF687" s="22"/>
      <c r="AG687" s="22"/>
      <c r="AH687" s="22"/>
      <c r="AI687" s="22"/>
      <c r="AJ687" s="22"/>
      <c r="AK687" s="22"/>
      <c r="AL687" s="22"/>
      <c r="AM687" s="22"/>
      <c r="AN687" s="22"/>
      <c r="AO687" s="22"/>
      <c r="AP687" s="22"/>
    </row>
    <row r="688" ht="25.5" customHeight="1">
      <c r="A688" s="306">
        <f t="shared" si="3"/>
        <v>687</v>
      </c>
      <c r="B688" s="306" t="s">
        <v>61</v>
      </c>
      <c r="C688" s="39" t="s">
        <v>279</v>
      </c>
      <c r="D688" s="39" t="s">
        <v>515</v>
      </c>
      <c r="E688" s="307"/>
      <c r="F688" s="204" t="s">
        <v>35</v>
      </c>
      <c r="G688" s="309" t="s">
        <v>2236</v>
      </c>
      <c r="H688" s="285" t="s">
        <v>278</v>
      </c>
      <c r="I688" s="285" t="s">
        <v>38</v>
      </c>
      <c r="J688" s="285" t="s">
        <v>2237</v>
      </c>
      <c r="K688" s="308" t="s">
        <v>2238</v>
      </c>
      <c r="L688" s="306" t="str">
        <f t="shared" si="72"/>
        <v>calle 5b con 36 edificio los profesiol}nales, San Fernando, Cali</v>
      </c>
      <c r="M688" s="311" t="s">
        <v>2239</v>
      </c>
      <c r="N688" s="311" t="s">
        <v>233</v>
      </c>
      <c r="O688" s="22"/>
      <c r="P688" s="22"/>
      <c r="Q688" s="22"/>
      <c r="R688" s="122"/>
      <c r="S688" s="122"/>
      <c r="T688" s="122">
        <v>1.0</v>
      </c>
      <c r="U688" s="22"/>
      <c r="V688" s="22"/>
      <c r="W688" s="22"/>
      <c r="X688" s="22"/>
      <c r="Y688" s="22"/>
      <c r="Z688" s="306" t="s">
        <v>2240</v>
      </c>
      <c r="AA688" s="306"/>
      <c r="AB688" s="306"/>
      <c r="AD688" s="22"/>
      <c r="AE688" s="22"/>
      <c r="AF688" s="22"/>
      <c r="AG688" s="22"/>
      <c r="AH688" s="22"/>
      <c r="AI688" s="22"/>
      <c r="AJ688" s="22"/>
      <c r="AK688" s="22"/>
      <c r="AL688" s="22"/>
      <c r="AM688" s="22"/>
      <c r="AN688" s="22"/>
      <c r="AO688" s="22"/>
      <c r="AP688" s="22"/>
    </row>
    <row r="689" ht="25.5" customHeight="1">
      <c r="A689" s="306">
        <f t="shared" si="3"/>
        <v>688</v>
      </c>
      <c r="B689" s="306" t="s">
        <v>307</v>
      </c>
      <c r="C689" s="39" t="s">
        <v>279</v>
      </c>
      <c r="D689" s="39" t="s">
        <v>515</v>
      </c>
      <c r="E689" s="307"/>
      <c r="F689" s="321" t="s">
        <v>128</v>
      </c>
      <c r="G689" s="309" t="s">
        <v>176</v>
      </c>
      <c r="H689" s="285" t="s">
        <v>376</v>
      </c>
      <c r="I689" s="285" t="s">
        <v>38</v>
      </c>
      <c r="J689" s="285" t="s">
        <v>2241</v>
      </c>
      <c r="K689" s="310"/>
      <c r="L689" s="307" t="str">
        <f t="shared" si="72"/>
        <v>carrera 17 con calle 15, Manuel Buenaventura, Cali</v>
      </c>
      <c r="M689" s="307" t="s">
        <v>2242</v>
      </c>
      <c r="N689" s="307" t="s">
        <v>41</v>
      </c>
      <c r="O689" s="22"/>
      <c r="P689" s="22"/>
      <c r="Q689" s="22"/>
      <c r="R689" s="122">
        <v>1.0</v>
      </c>
      <c r="S689" s="122"/>
      <c r="T689" s="122"/>
      <c r="U689" s="22"/>
      <c r="V689" s="22"/>
      <c r="W689" s="22"/>
      <c r="X689" s="22"/>
      <c r="Y689" s="22"/>
      <c r="Z689" s="306" t="s">
        <v>2243</v>
      </c>
      <c r="AA689" s="306"/>
      <c r="AB689" s="306"/>
      <c r="AD689" s="22"/>
      <c r="AE689" s="22"/>
      <c r="AF689" s="22"/>
      <c r="AG689" s="22"/>
      <c r="AH689" s="22"/>
      <c r="AI689" s="22"/>
      <c r="AJ689" s="22"/>
      <c r="AK689" s="22"/>
      <c r="AL689" s="22"/>
      <c r="AM689" s="22"/>
      <c r="AN689" s="22"/>
      <c r="AO689" s="22"/>
      <c r="AP689" s="22"/>
    </row>
    <row r="690" ht="25.5" customHeight="1">
      <c r="A690" s="306">
        <f t="shared" si="3"/>
        <v>689</v>
      </c>
      <c r="B690" s="306" t="s">
        <v>61</v>
      </c>
      <c r="C690" s="39" t="s">
        <v>279</v>
      </c>
      <c r="D690" s="39" t="s">
        <v>515</v>
      </c>
      <c r="E690" s="307"/>
      <c r="F690" s="204" t="s">
        <v>35</v>
      </c>
      <c r="G690" s="309" t="s">
        <v>36</v>
      </c>
      <c r="H690" s="285" t="s">
        <v>369</v>
      </c>
      <c r="I690" s="285" t="s">
        <v>286</v>
      </c>
      <c r="J690" s="285" t="s">
        <v>2244</v>
      </c>
      <c r="K690" s="310"/>
      <c r="L690" s="307" t="str">
        <f t="shared" si="72"/>
        <v>Carrera 39 #5E-46, Tequendama, Cali</v>
      </c>
      <c r="M690" s="311" t="s">
        <v>2245</v>
      </c>
      <c r="N690" s="311" t="s">
        <v>233</v>
      </c>
      <c r="O690" s="22"/>
      <c r="P690" s="22"/>
      <c r="Q690" s="22"/>
      <c r="R690" s="122"/>
      <c r="S690" s="122"/>
      <c r="T690" s="122">
        <v>1.0</v>
      </c>
      <c r="U690" s="22"/>
      <c r="V690" s="22"/>
      <c r="W690" s="22"/>
      <c r="X690" s="22"/>
      <c r="Y690" s="22"/>
      <c r="Z690" s="306" t="s">
        <v>2246</v>
      </c>
      <c r="AA690" s="306"/>
      <c r="AB690" s="306"/>
      <c r="AD690" s="22"/>
      <c r="AE690" s="22"/>
      <c r="AF690" s="22"/>
      <c r="AG690" s="22"/>
      <c r="AH690" s="22"/>
      <c r="AI690" s="22"/>
      <c r="AJ690" s="22"/>
      <c r="AK690" s="22"/>
      <c r="AL690" s="22"/>
      <c r="AM690" s="22"/>
      <c r="AN690" s="22"/>
      <c r="AO690" s="22"/>
      <c r="AP690" s="22"/>
    </row>
    <row r="691" ht="25.5" customHeight="1">
      <c r="A691" s="306">
        <f t="shared" si="3"/>
        <v>690</v>
      </c>
      <c r="B691" s="306" t="s">
        <v>61</v>
      </c>
      <c r="C691" s="39" t="s">
        <v>279</v>
      </c>
      <c r="D691" s="39" t="s">
        <v>515</v>
      </c>
      <c r="E691" s="307"/>
      <c r="F691" s="204" t="s">
        <v>35</v>
      </c>
      <c r="G691" s="309" t="s">
        <v>2247</v>
      </c>
      <c r="H691" s="285" t="s">
        <v>278</v>
      </c>
      <c r="I691" s="285" t="s">
        <v>38</v>
      </c>
      <c r="J691" s="285" t="s">
        <v>2248</v>
      </c>
      <c r="K691" s="310"/>
      <c r="L691" s="307" t="str">
        <f t="shared" si="72"/>
        <v>Carrera 36 con 5b3 detras del estadio pascual guerrero, San Fernando, Cali</v>
      </c>
      <c r="M691" s="311" t="s">
        <v>2249</v>
      </c>
      <c r="N691" s="311" t="s">
        <v>233</v>
      </c>
      <c r="O691" s="22"/>
      <c r="P691" s="22"/>
      <c r="Q691" s="22"/>
      <c r="R691" s="122"/>
      <c r="S691" s="122"/>
      <c r="T691" s="122">
        <v>1.0</v>
      </c>
      <c r="U691" s="22"/>
      <c r="V691" s="22"/>
      <c r="W691" s="22"/>
      <c r="X691" s="22"/>
      <c r="Y691" s="22"/>
      <c r="Z691" s="306" t="s">
        <v>2250</v>
      </c>
      <c r="AA691" s="306"/>
      <c r="AB691" s="306"/>
      <c r="AD691" s="22"/>
      <c r="AE691" s="22"/>
      <c r="AF691" s="22"/>
      <c r="AG691" s="22"/>
      <c r="AH691" s="22"/>
      <c r="AI691" s="22"/>
      <c r="AJ691" s="22"/>
      <c r="AK691" s="22"/>
      <c r="AL691" s="22"/>
      <c r="AM691" s="22"/>
      <c r="AN691" s="22"/>
      <c r="AO691" s="22"/>
      <c r="AP691" s="22"/>
    </row>
    <row r="692" ht="25.5" customHeight="1">
      <c r="A692" s="312">
        <f t="shared" si="3"/>
        <v>691</v>
      </c>
      <c r="B692" s="312" t="s">
        <v>61</v>
      </c>
      <c r="C692" s="27" t="s">
        <v>279</v>
      </c>
      <c r="D692" s="27" t="s">
        <v>515</v>
      </c>
      <c r="E692" s="334"/>
      <c r="F692" s="30" t="s">
        <v>76</v>
      </c>
      <c r="G692" s="30" t="s">
        <v>350</v>
      </c>
      <c r="H692" s="198" t="s">
        <v>480</v>
      </c>
      <c r="I692" s="198" t="s">
        <v>38</v>
      </c>
      <c r="J692" s="198" t="s">
        <v>2251</v>
      </c>
      <c r="K692" s="313" t="s">
        <v>2252</v>
      </c>
      <c r="L692" s="306" t="str">
        <f t="shared" si="72"/>
        <v>Avenida 9 norte con 21- edificio de ancianos, Santa Monica Residencial, Cali</v>
      </c>
      <c r="M692" s="311" t="s">
        <v>2253</v>
      </c>
      <c r="N692" s="311" t="s">
        <v>233</v>
      </c>
      <c r="O692" s="22"/>
      <c r="P692" s="22"/>
      <c r="Q692" s="22"/>
      <c r="R692" s="122"/>
      <c r="S692" s="122"/>
      <c r="T692" s="122">
        <v>1.0</v>
      </c>
      <c r="U692" s="22"/>
      <c r="V692" s="22"/>
      <c r="W692" s="22"/>
      <c r="X692" s="22"/>
      <c r="Y692" s="22"/>
      <c r="Z692" s="306" t="s">
        <v>2254</v>
      </c>
      <c r="AA692" s="306"/>
      <c r="AB692" s="306"/>
      <c r="AD692" s="22"/>
      <c r="AE692" s="22"/>
      <c r="AF692" s="22"/>
      <c r="AG692" s="22"/>
      <c r="AH692" s="22"/>
      <c r="AI692" s="22"/>
      <c r="AJ692" s="22"/>
      <c r="AK692" s="22"/>
      <c r="AL692" s="22"/>
      <c r="AM692" s="22"/>
      <c r="AN692" s="22"/>
      <c r="AO692" s="22"/>
      <c r="AP692" s="22"/>
    </row>
    <row r="693" ht="25.5" customHeight="1">
      <c r="A693" s="306">
        <f t="shared" si="3"/>
        <v>692</v>
      </c>
      <c r="B693" s="306" t="s">
        <v>307</v>
      </c>
      <c r="C693" s="39" t="s">
        <v>279</v>
      </c>
      <c r="D693" s="39" t="s">
        <v>515</v>
      </c>
      <c r="E693" s="307"/>
      <c r="F693" s="204" t="s">
        <v>35</v>
      </c>
      <c r="G693" s="309" t="s">
        <v>2215</v>
      </c>
      <c r="H693" s="285" t="s">
        <v>369</v>
      </c>
      <c r="I693" s="285" t="s">
        <v>38</v>
      </c>
      <c r="J693" s="285" t="s">
        <v>2255</v>
      </c>
      <c r="K693" s="310"/>
      <c r="L693" s="307" t="str">
        <f t="shared" si="72"/>
        <v>Avenida Roosevelt #39A-20, Tequendama, Cali</v>
      </c>
      <c r="M693" s="307" t="s">
        <v>2256</v>
      </c>
      <c r="N693" s="307" t="s">
        <v>41</v>
      </c>
      <c r="O693" s="22"/>
      <c r="P693" s="22"/>
      <c r="Q693" s="22"/>
      <c r="R693" s="122">
        <v>1.0</v>
      </c>
      <c r="S693" s="122"/>
      <c r="T693" s="122"/>
      <c r="U693" s="22"/>
      <c r="V693" s="22"/>
      <c r="W693" s="22"/>
      <c r="X693" s="22"/>
      <c r="Y693" s="22"/>
      <c r="Z693" s="306" t="s">
        <v>2257</v>
      </c>
      <c r="AA693" s="306"/>
      <c r="AB693" s="306"/>
      <c r="AD693" s="22"/>
      <c r="AE693" s="22"/>
      <c r="AF693" s="22"/>
      <c r="AG693" s="22"/>
      <c r="AH693" s="22"/>
      <c r="AI693" s="22"/>
      <c r="AJ693" s="22"/>
      <c r="AK693" s="22"/>
      <c r="AL693" s="22"/>
      <c r="AM693" s="22"/>
      <c r="AN693" s="22"/>
      <c r="AO693" s="22"/>
      <c r="AP693" s="22"/>
    </row>
    <row r="694" ht="25.5" customHeight="1">
      <c r="A694" s="306">
        <f t="shared" si="3"/>
        <v>693</v>
      </c>
      <c r="B694" s="306" t="s">
        <v>61</v>
      </c>
      <c r="C694" s="39" t="s">
        <v>279</v>
      </c>
      <c r="D694" s="39" t="s">
        <v>515</v>
      </c>
      <c r="E694" s="307"/>
      <c r="F694" s="204" t="s">
        <v>76</v>
      </c>
      <c r="G694" s="204" t="s">
        <v>350</v>
      </c>
      <c r="H694" s="285" t="s">
        <v>317</v>
      </c>
      <c r="I694" s="285" t="s">
        <v>38</v>
      </c>
      <c r="J694" s="285" t="s">
        <v>2258</v>
      </c>
      <c r="K694" s="308" t="s">
        <v>2259</v>
      </c>
      <c r="L694" s="306" t="str">
        <f t="shared" si="72"/>
        <v>Calle 42 Nte. # 7 - 71 conjunto Terrazas de Chipichape, La Campiña, Cali</v>
      </c>
      <c r="M694" s="311" t="s">
        <v>2260</v>
      </c>
      <c r="N694" s="311" t="s">
        <v>233</v>
      </c>
      <c r="O694" s="22"/>
      <c r="P694" s="22"/>
      <c r="Q694" s="22"/>
      <c r="R694" s="122"/>
      <c r="S694" s="122"/>
      <c r="T694" s="122">
        <v>1.0</v>
      </c>
      <c r="U694" s="22"/>
      <c r="V694" s="22"/>
      <c r="W694" s="22"/>
      <c r="X694" s="22"/>
      <c r="Y694" s="22"/>
      <c r="Z694" s="306" t="s">
        <v>2261</v>
      </c>
      <c r="AA694" s="306"/>
      <c r="AB694" s="306"/>
      <c r="AD694" s="22"/>
      <c r="AE694" s="22"/>
      <c r="AF694" s="22"/>
      <c r="AG694" s="22"/>
      <c r="AH694" s="22"/>
      <c r="AI694" s="22"/>
      <c r="AJ694" s="22"/>
      <c r="AK694" s="22"/>
      <c r="AL694" s="22"/>
      <c r="AM694" s="22"/>
      <c r="AN694" s="22"/>
      <c r="AO694" s="22"/>
      <c r="AP694" s="22"/>
    </row>
    <row r="695" ht="25.5" customHeight="1">
      <c r="A695" s="306">
        <f t="shared" si="3"/>
        <v>694</v>
      </c>
      <c r="B695" s="306" t="s">
        <v>61</v>
      </c>
      <c r="C695" s="39" t="s">
        <v>279</v>
      </c>
      <c r="D695" s="39" t="s">
        <v>515</v>
      </c>
      <c r="E695" s="307"/>
      <c r="F695" s="204" t="s">
        <v>87</v>
      </c>
      <c r="G695" s="309" t="s">
        <v>36</v>
      </c>
      <c r="H695" s="285" t="s">
        <v>113</v>
      </c>
      <c r="I695" s="285" t="s">
        <v>38</v>
      </c>
      <c r="J695" s="285" t="s">
        <v>2262</v>
      </c>
      <c r="K695" s="308" t="s">
        <v>2263</v>
      </c>
      <c r="L695" s="306" t="str">
        <f t="shared" si="72"/>
        <v>calle 1 bis 70-34 edificio las palmas, Bajo Jordan, Cali</v>
      </c>
      <c r="M695" s="311" t="s">
        <v>2264</v>
      </c>
      <c r="N695" s="311" t="s">
        <v>233</v>
      </c>
      <c r="O695" s="22"/>
      <c r="P695" s="22"/>
      <c r="Q695" s="22"/>
      <c r="R695" s="122"/>
      <c r="S695" s="122"/>
      <c r="T695" s="122">
        <v>1.0</v>
      </c>
      <c r="U695" s="22"/>
      <c r="V695" s="22"/>
      <c r="W695" s="22"/>
      <c r="X695" s="22"/>
      <c r="Y695" s="22"/>
      <c r="Z695" s="306" t="s">
        <v>2265</v>
      </c>
      <c r="AA695" s="306"/>
      <c r="AB695" s="306"/>
      <c r="AD695" s="22"/>
      <c r="AE695" s="22"/>
      <c r="AF695" s="22"/>
      <c r="AG695" s="22"/>
      <c r="AH695" s="22"/>
      <c r="AI695" s="22"/>
      <c r="AJ695" s="22"/>
      <c r="AK695" s="22"/>
      <c r="AL695" s="22"/>
      <c r="AM695" s="22"/>
      <c r="AN695" s="22"/>
      <c r="AO695" s="22"/>
      <c r="AP695" s="22"/>
    </row>
    <row r="696" ht="25.5" customHeight="1">
      <c r="A696" s="306">
        <f t="shared" si="3"/>
        <v>695</v>
      </c>
      <c r="B696" s="306" t="s">
        <v>61</v>
      </c>
      <c r="C696" s="39" t="s">
        <v>279</v>
      </c>
      <c r="D696" s="39" t="s">
        <v>515</v>
      </c>
      <c r="E696" s="307"/>
      <c r="F696" s="204" t="s">
        <v>87</v>
      </c>
      <c r="G696" s="309" t="s">
        <v>2236</v>
      </c>
      <c r="H696" s="285" t="s">
        <v>1294</v>
      </c>
      <c r="I696" s="285" t="s">
        <v>286</v>
      </c>
      <c r="J696" s="285" t="s">
        <v>2266</v>
      </c>
      <c r="K696" s="310"/>
      <c r="L696" s="307" t="str">
        <f t="shared" si="72"/>
        <v>Carrera 70 #1c-70 barrio caldas. torres de san mitchel, Buenos aires, Cali</v>
      </c>
      <c r="M696" s="311" t="s">
        <v>2267</v>
      </c>
      <c r="N696" s="311" t="s">
        <v>233</v>
      </c>
      <c r="O696" s="22"/>
      <c r="P696" s="22"/>
      <c r="Q696" s="22"/>
      <c r="R696" s="122"/>
      <c r="S696" s="122"/>
      <c r="T696" s="122">
        <v>1.0</v>
      </c>
      <c r="U696" s="22"/>
      <c r="V696" s="22"/>
      <c r="W696" s="22"/>
      <c r="X696" s="22"/>
      <c r="Y696" s="22"/>
      <c r="Z696" s="306" t="s">
        <v>2268</v>
      </c>
      <c r="AA696" s="306"/>
      <c r="AB696" s="306"/>
      <c r="AD696" s="22"/>
      <c r="AE696" s="22"/>
      <c r="AF696" s="22"/>
      <c r="AG696" s="22"/>
      <c r="AH696" s="22"/>
      <c r="AI696" s="22"/>
      <c r="AJ696" s="22"/>
      <c r="AK696" s="22"/>
      <c r="AL696" s="22"/>
      <c r="AM696" s="22"/>
      <c r="AN696" s="22"/>
      <c r="AO696" s="22"/>
      <c r="AP696" s="22"/>
    </row>
    <row r="697" ht="25.5" customHeight="1">
      <c r="A697" s="306">
        <f t="shared" si="3"/>
        <v>696</v>
      </c>
      <c r="B697" s="306" t="s">
        <v>61</v>
      </c>
      <c r="C697" s="39" t="s">
        <v>279</v>
      </c>
      <c r="D697" s="39" t="s">
        <v>515</v>
      </c>
      <c r="E697" s="307"/>
      <c r="F697" s="204" t="s">
        <v>35</v>
      </c>
      <c r="G697" s="309" t="s">
        <v>2236</v>
      </c>
      <c r="H697" s="285" t="s">
        <v>369</v>
      </c>
      <c r="I697" s="285" t="s">
        <v>38</v>
      </c>
      <c r="J697" s="285" t="s">
        <v>2269</v>
      </c>
      <c r="K697" s="308" t="s">
        <v>2270</v>
      </c>
      <c r="L697" s="306" t="str">
        <f t="shared" si="72"/>
        <v>Carrera 39 # 5E-46, edificio Bachue, Tequendama, Cali</v>
      </c>
      <c r="M697" s="311" t="s">
        <v>2271</v>
      </c>
      <c r="N697" s="311" t="s">
        <v>233</v>
      </c>
      <c r="O697" s="22"/>
      <c r="P697" s="22"/>
      <c r="Q697" s="22"/>
      <c r="R697" s="122"/>
      <c r="S697" s="122"/>
      <c r="T697" s="122">
        <v>1.0</v>
      </c>
      <c r="U697" s="22"/>
      <c r="V697" s="22"/>
      <c r="W697" s="22"/>
      <c r="X697" s="22"/>
      <c r="Y697" s="22"/>
      <c r="Z697" s="306" t="s">
        <v>2272</v>
      </c>
      <c r="AA697" s="306"/>
      <c r="AB697" s="306"/>
      <c r="AD697" s="22"/>
      <c r="AE697" s="22"/>
      <c r="AF697" s="22"/>
      <c r="AG697" s="22"/>
      <c r="AH697" s="22"/>
      <c r="AI697" s="22"/>
      <c r="AJ697" s="22"/>
      <c r="AK697" s="22"/>
      <c r="AL697" s="22"/>
      <c r="AM697" s="22"/>
      <c r="AN697" s="22"/>
      <c r="AO697" s="22"/>
      <c r="AP697" s="22"/>
    </row>
    <row r="698" ht="25.5" customHeight="1">
      <c r="A698" s="306">
        <f t="shared" si="3"/>
        <v>697</v>
      </c>
      <c r="B698" s="306" t="s">
        <v>61</v>
      </c>
      <c r="C698" s="39" t="s">
        <v>279</v>
      </c>
      <c r="D698" s="39" t="s">
        <v>515</v>
      </c>
      <c r="E698" s="307"/>
      <c r="F698" s="204" t="s">
        <v>110</v>
      </c>
      <c r="G698" s="204" t="s">
        <v>176</v>
      </c>
      <c r="H698" s="285" t="s">
        <v>446</v>
      </c>
      <c r="I698" s="285" t="s">
        <v>286</v>
      </c>
      <c r="J698" s="285" t="s">
        <v>2273</v>
      </c>
      <c r="K698" s="310"/>
      <c r="L698" s="307" t="str">
        <f t="shared" si="72"/>
        <v>Calle 2#2-33, San Antonio, Cali</v>
      </c>
      <c r="M698" s="311" t="s">
        <v>2274</v>
      </c>
      <c r="N698" s="311" t="s">
        <v>233</v>
      </c>
      <c r="O698" s="22"/>
      <c r="P698" s="22"/>
      <c r="Q698" s="22"/>
      <c r="R698" s="122"/>
      <c r="S698" s="122"/>
      <c r="T698" s="122">
        <v>1.0</v>
      </c>
      <c r="U698" s="22"/>
      <c r="V698" s="22"/>
      <c r="W698" s="22"/>
      <c r="X698" s="22"/>
      <c r="Y698" s="22"/>
      <c r="Z698" s="306" t="s">
        <v>2275</v>
      </c>
      <c r="AA698" s="306"/>
      <c r="AB698" s="306"/>
      <c r="AD698" s="22"/>
      <c r="AE698" s="22"/>
      <c r="AF698" s="22"/>
      <c r="AG698" s="22"/>
      <c r="AH698" s="22"/>
      <c r="AI698" s="22"/>
      <c r="AJ698" s="22"/>
      <c r="AK698" s="22"/>
      <c r="AL698" s="22"/>
      <c r="AM698" s="22"/>
      <c r="AN698" s="22"/>
      <c r="AO698" s="22"/>
      <c r="AP698" s="22"/>
    </row>
    <row r="699" ht="25.5" customHeight="1">
      <c r="A699" s="306">
        <f t="shared" si="3"/>
        <v>698</v>
      </c>
      <c r="B699" s="306" t="s">
        <v>307</v>
      </c>
      <c r="C699" s="39" t="s">
        <v>279</v>
      </c>
      <c r="D699" s="39" t="s">
        <v>515</v>
      </c>
      <c r="E699" s="307"/>
      <c r="F699" s="204" t="s">
        <v>110</v>
      </c>
      <c r="G699" s="204" t="s">
        <v>176</v>
      </c>
      <c r="H699" s="285" t="s">
        <v>447</v>
      </c>
      <c r="I699" s="285" t="s">
        <v>286</v>
      </c>
      <c r="J699" s="285" t="s">
        <v>2276</v>
      </c>
      <c r="K699" s="310"/>
      <c r="L699" s="307" t="str">
        <f t="shared" si="72"/>
        <v>calle 6 con 13, toda la cuadra, San Bosco, Cali</v>
      </c>
      <c r="M699" s="307" t="s">
        <v>2277</v>
      </c>
      <c r="N699" s="307" t="s">
        <v>18</v>
      </c>
      <c r="O699" s="22"/>
      <c r="P699" s="22"/>
      <c r="Q699" s="22"/>
      <c r="R699" s="122"/>
      <c r="S699" s="122">
        <v>1.0</v>
      </c>
      <c r="T699" s="122"/>
      <c r="U699" s="22"/>
      <c r="V699" s="22"/>
      <c r="W699" s="22"/>
      <c r="X699" s="22"/>
      <c r="Y699" s="22"/>
      <c r="Z699" s="306" t="s">
        <v>2278</v>
      </c>
      <c r="AA699" s="306"/>
      <c r="AB699" s="306"/>
      <c r="AD699" s="22"/>
      <c r="AE699" s="22"/>
      <c r="AF699" s="22"/>
      <c r="AG699" s="22"/>
      <c r="AH699" s="22"/>
      <c r="AI699" s="22"/>
      <c r="AJ699" s="22"/>
      <c r="AK699" s="22"/>
      <c r="AL699" s="22"/>
      <c r="AM699" s="22"/>
      <c r="AN699" s="22"/>
      <c r="AO699" s="22"/>
      <c r="AP699" s="22"/>
    </row>
    <row r="700" ht="25.5" customHeight="1">
      <c r="A700" s="306">
        <f t="shared" si="3"/>
        <v>699</v>
      </c>
      <c r="B700" s="306" t="s">
        <v>61</v>
      </c>
      <c r="C700" s="39" t="s">
        <v>279</v>
      </c>
      <c r="D700" s="39" t="s">
        <v>515</v>
      </c>
      <c r="E700" s="307"/>
      <c r="F700" s="204" t="s">
        <v>35</v>
      </c>
      <c r="G700" s="309" t="s">
        <v>2215</v>
      </c>
      <c r="H700" s="285" t="s">
        <v>2279</v>
      </c>
      <c r="I700" s="285" t="s">
        <v>38</v>
      </c>
      <c r="J700" s="285" t="s">
        <v>2280</v>
      </c>
      <c r="K700" s="310"/>
      <c r="L700" s="307" t="str">
        <f t="shared" si="72"/>
        <v>calle 7 #35-10 - 35-12el templete, El Templete, Cali</v>
      </c>
      <c r="M700" s="311" t="s">
        <v>2281</v>
      </c>
      <c r="N700" s="311" t="s">
        <v>233</v>
      </c>
      <c r="O700" s="22"/>
      <c r="P700" s="22"/>
      <c r="Q700" s="22"/>
      <c r="R700" s="122"/>
      <c r="S700" s="122"/>
      <c r="T700" s="122">
        <v>1.0</v>
      </c>
      <c r="U700" s="22"/>
      <c r="V700" s="22"/>
      <c r="W700" s="22"/>
      <c r="X700" s="22"/>
      <c r="Y700" s="22"/>
      <c r="Z700" s="306" t="s">
        <v>2282</v>
      </c>
      <c r="AA700" s="306"/>
      <c r="AB700" s="306"/>
      <c r="AD700" s="22"/>
      <c r="AE700" s="22"/>
      <c r="AF700" s="22"/>
      <c r="AG700" s="22"/>
      <c r="AH700" s="22"/>
      <c r="AI700" s="22"/>
      <c r="AJ700" s="22"/>
      <c r="AK700" s="22"/>
      <c r="AL700" s="22"/>
      <c r="AM700" s="22"/>
      <c r="AN700" s="22"/>
      <c r="AO700" s="22"/>
      <c r="AP700" s="22"/>
    </row>
    <row r="701" ht="25.5" customHeight="1">
      <c r="A701" s="312">
        <f t="shared" si="3"/>
        <v>700</v>
      </c>
      <c r="B701" s="312" t="s">
        <v>61</v>
      </c>
      <c r="C701" s="27" t="s">
        <v>279</v>
      </c>
      <c r="D701" s="27" t="s">
        <v>515</v>
      </c>
      <c r="E701" s="334"/>
      <c r="F701" s="30" t="s">
        <v>76</v>
      </c>
      <c r="G701" s="30" t="s">
        <v>350</v>
      </c>
      <c r="H701" s="198" t="s">
        <v>470</v>
      </c>
      <c r="I701" s="198" t="s">
        <v>38</v>
      </c>
      <c r="J701" s="198" t="s">
        <v>2283</v>
      </c>
      <c r="K701" s="308" t="s">
        <v>2284</v>
      </c>
      <c r="L701" s="306" t="str">
        <f t="shared" si="72"/>
        <v>Avenida 3 norte 21-22 edificio calima, barrio Versalles, San Vicente, Cali</v>
      </c>
      <c r="M701" s="311" t="s">
        <v>2285</v>
      </c>
      <c r="N701" s="311" t="s">
        <v>233</v>
      </c>
      <c r="O701" s="22"/>
      <c r="P701" s="22"/>
      <c r="Q701" s="22"/>
      <c r="R701" s="122"/>
      <c r="S701" s="122"/>
      <c r="T701" s="122">
        <v>1.0</v>
      </c>
      <c r="U701" s="22"/>
      <c r="V701" s="22"/>
      <c r="W701" s="22"/>
      <c r="X701" s="22"/>
      <c r="Y701" s="22"/>
      <c r="Z701" s="306" t="s">
        <v>2286</v>
      </c>
      <c r="AA701" s="306"/>
      <c r="AB701" s="306"/>
      <c r="AD701" s="22"/>
      <c r="AE701" s="22"/>
      <c r="AF701" s="22"/>
      <c r="AG701" s="22"/>
      <c r="AH701" s="22"/>
      <c r="AI701" s="22"/>
      <c r="AJ701" s="22"/>
      <c r="AK701" s="22"/>
      <c r="AL701" s="22"/>
      <c r="AM701" s="22"/>
      <c r="AN701" s="22"/>
      <c r="AO701" s="22"/>
      <c r="AP701" s="22"/>
    </row>
    <row r="702" ht="25.5" customHeight="1">
      <c r="A702" s="312">
        <f t="shared" si="3"/>
        <v>701</v>
      </c>
      <c r="B702" s="312" t="s">
        <v>61</v>
      </c>
      <c r="C702" s="27" t="s">
        <v>279</v>
      </c>
      <c r="D702" s="27" t="s">
        <v>515</v>
      </c>
      <c r="E702" s="334"/>
      <c r="F702" s="30" t="s">
        <v>76</v>
      </c>
      <c r="G702" s="30" t="s">
        <v>350</v>
      </c>
      <c r="H702" s="198" t="s">
        <v>470</v>
      </c>
      <c r="I702" s="198" t="s">
        <v>639</v>
      </c>
      <c r="J702" s="198" t="s">
        <v>2287</v>
      </c>
      <c r="K702" s="310"/>
      <c r="L702" s="307" t="str">
        <f t="shared" si="72"/>
        <v>salud total, avenida de las amenricas Avenida 3 Norte # 19N-03, Barrio San Vicente., San Vicente, Cali</v>
      </c>
      <c r="M702" s="311" t="s">
        <v>2288</v>
      </c>
      <c r="N702" s="311" t="s">
        <v>233</v>
      </c>
      <c r="O702" s="22"/>
      <c r="P702" s="22"/>
      <c r="Q702" s="22"/>
      <c r="R702" s="122"/>
      <c r="S702" s="122"/>
      <c r="T702" s="122">
        <v>1.0</v>
      </c>
      <c r="U702" s="22"/>
      <c r="V702" s="22"/>
      <c r="W702" s="22"/>
      <c r="X702" s="22"/>
      <c r="Y702" s="22"/>
      <c r="Z702" s="306" t="s">
        <v>2289</v>
      </c>
      <c r="AA702" s="306"/>
      <c r="AB702" s="306"/>
      <c r="AD702" s="22"/>
      <c r="AE702" s="22"/>
      <c r="AF702" s="22"/>
      <c r="AG702" s="22"/>
      <c r="AH702" s="22"/>
      <c r="AI702" s="22"/>
      <c r="AJ702" s="22"/>
      <c r="AK702" s="22"/>
      <c r="AL702" s="22"/>
      <c r="AM702" s="22"/>
      <c r="AN702" s="22"/>
      <c r="AO702" s="22"/>
      <c r="AP702" s="22"/>
    </row>
    <row r="703" ht="25.5" customHeight="1">
      <c r="A703" s="312">
        <f t="shared" si="3"/>
        <v>702</v>
      </c>
      <c r="B703" s="312" t="s">
        <v>61</v>
      </c>
      <c r="C703" s="27" t="s">
        <v>279</v>
      </c>
      <c r="D703" s="27" t="s">
        <v>515</v>
      </c>
      <c r="E703" s="334"/>
      <c r="F703" s="30" t="s">
        <v>76</v>
      </c>
      <c r="G703" s="30" t="s">
        <v>350</v>
      </c>
      <c r="H703" s="198" t="s">
        <v>432</v>
      </c>
      <c r="I703" s="198" t="s">
        <v>38</v>
      </c>
      <c r="J703" s="198" t="s">
        <v>2290</v>
      </c>
      <c r="K703" s="313" t="s">
        <v>2291</v>
      </c>
      <c r="L703" s="312" t="str">
        <f t="shared" si="72"/>
        <v>calle 38 norte 3#gn-09 ed. torre ddel prado, Prados del Norte, Cali</v>
      </c>
      <c r="M703" s="311" t="s">
        <v>2292</v>
      </c>
      <c r="N703" s="311" t="s">
        <v>233</v>
      </c>
      <c r="O703" s="22"/>
      <c r="P703" s="22"/>
      <c r="Q703" s="22"/>
      <c r="R703" s="122"/>
      <c r="S703" s="122"/>
      <c r="T703" s="122">
        <v>1.0</v>
      </c>
      <c r="U703" s="22"/>
      <c r="V703" s="22"/>
      <c r="W703" s="22"/>
      <c r="X703" s="22"/>
      <c r="Y703" s="22"/>
      <c r="Z703" s="306" t="s">
        <v>2293</v>
      </c>
      <c r="AA703" s="306"/>
      <c r="AB703" s="306"/>
      <c r="AD703" s="22"/>
      <c r="AE703" s="22"/>
      <c r="AF703" s="22"/>
      <c r="AG703" s="22"/>
      <c r="AH703" s="22"/>
      <c r="AI703" s="22"/>
      <c r="AJ703" s="22"/>
      <c r="AK703" s="22"/>
      <c r="AL703" s="22"/>
      <c r="AM703" s="22"/>
      <c r="AN703" s="22"/>
      <c r="AO703" s="22"/>
      <c r="AP703" s="22"/>
    </row>
    <row r="704" ht="25.5" customHeight="1">
      <c r="A704" s="306">
        <f t="shared" si="3"/>
        <v>703</v>
      </c>
      <c r="B704" s="306" t="s">
        <v>307</v>
      </c>
      <c r="C704" s="39" t="s">
        <v>279</v>
      </c>
      <c r="D704" s="39" t="s">
        <v>515</v>
      </c>
      <c r="E704" s="307"/>
      <c r="F704" s="314" t="s">
        <v>60</v>
      </c>
      <c r="G704" s="309" t="s">
        <v>36</v>
      </c>
      <c r="H704" s="285" t="s">
        <v>2294</v>
      </c>
      <c r="I704" s="285" t="s">
        <v>38</v>
      </c>
      <c r="J704" s="285" t="s">
        <v>2295</v>
      </c>
      <c r="K704" s="310"/>
      <c r="L704" s="307" t="str">
        <f t="shared" si="72"/>
        <v>carrera 66 #9-81, Gran Limonar, Cali</v>
      </c>
      <c r="M704" s="307" t="s">
        <v>2296</v>
      </c>
      <c r="N704" s="307" t="s">
        <v>18</v>
      </c>
      <c r="O704" s="22"/>
      <c r="P704" s="22"/>
      <c r="Q704" s="22"/>
      <c r="R704" s="122"/>
      <c r="S704" s="122">
        <v>1.0</v>
      </c>
      <c r="T704" s="122"/>
      <c r="U704" s="22"/>
      <c r="V704" s="22"/>
      <c r="W704" s="22"/>
      <c r="X704" s="22"/>
      <c r="Y704" s="22"/>
      <c r="Z704" s="306" t="s">
        <v>2297</v>
      </c>
      <c r="AA704" s="306"/>
      <c r="AB704" s="306"/>
      <c r="AD704" s="22"/>
      <c r="AE704" s="22"/>
      <c r="AF704" s="22"/>
      <c r="AG704" s="22"/>
      <c r="AH704" s="22"/>
      <c r="AI704" s="22"/>
      <c r="AJ704" s="22"/>
      <c r="AK704" s="22"/>
      <c r="AL704" s="22"/>
      <c r="AM704" s="22"/>
      <c r="AN704" s="22"/>
      <c r="AO704" s="22"/>
      <c r="AP704" s="22"/>
    </row>
    <row r="705" ht="25.5" customHeight="1">
      <c r="A705" s="306">
        <f t="shared" si="3"/>
        <v>704</v>
      </c>
      <c r="B705" s="306" t="s">
        <v>61</v>
      </c>
      <c r="C705" s="39" t="s">
        <v>279</v>
      </c>
      <c r="D705" s="39" t="s">
        <v>515</v>
      </c>
      <c r="E705" s="307"/>
      <c r="F705" s="204" t="s">
        <v>35</v>
      </c>
      <c r="G705" s="309" t="s">
        <v>36</v>
      </c>
      <c r="H705" s="285" t="s">
        <v>227</v>
      </c>
      <c r="I705" s="285" t="s">
        <v>38</v>
      </c>
      <c r="J705" s="285" t="s">
        <v>2298</v>
      </c>
      <c r="K705" s="310"/>
      <c r="L705" s="307" t="str">
        <f t="shared" si="72"/>
        <v>Edifico Comfenalco Cambulos, Los Cámbulos, Cali</v>
      </c>
      <c r="M705" s="307" t="s">
        <v>231</v>
      </c>
      <c r="N705" s="307" t="s">
        <v>233</v>
      </c>
      <c r="O705" s="22"/>
      <c r="P705" s="22"/>
      <c r="Q705" s="22"/>
      <c r="R705" s="122"/>
      <c r="S705" s="122"/>
      <c r="T705" s="122">
        <v>1.0</v>
      </c>
      <c r="U705" s="22"/>
      <c r="V705" s="22"/>
      <c r="W705" s="22"/>
      <c r="X705" s="22"/>
      <c r="Y705" s="22"/>
      <c r="Z705" s="306" t="s">
        <v>2299</v>
      </c>
      <c r="AA705" s="306"/>
      <c r="AB705" s="306"/>
      <c r="AD705" s="22"/>
      <c r="AE705" s="22"/>
      <c r="AF705" s="22"/>
      <c r="AG705" s="22"/>
      <c r="AH705" s="22"/>
      <c r="AI705" s="22"/>
      <c r="AJ705" s="22"/>
      <c r="AK705" s="22"/>
      <c r="AL705" s="22"/>
      <c r="AM705" s="22"/>
      <c r="AN705" s="22"/>
      <c r="AO705" s="22"/>
      <c r="AP705" s="22"/>
    </row>
    <row r="706" ht="25.5" customHeight="1">
      <c r="A706" s="306">
        <f t="shared" si="3"/>
        <v>705</v>
      </c>
      <c r="B706" s="306" t="s">
        <v>307</v>
      </c>
      <c r="C706" s="39" t="s">
        <v>279</v>
      </c>
      <c r="D706" s="39" t="s">
        <v>515</v>
      </c>
      <c r="E706" s="307"/>
      <c r="F706" s="321" t="s">
        <v>128</v>
      </c>
      <c r="G706" s="309" t="s">
        <v>176</v>
      </c>
      <c r="H706" s="285" t="s">
        <v>132</v>
      </c>
      <c r="I706" s="285" t="s">
        <v>286</v>
      </c>
      <c r="J706" s="285" t="s">
        <v>2300</v>
      </c>
      <c r="K706" s="310"/>
      <c r="L706" s="307" t="str">
        <f t="shared" si="72"/>
        <v>Carrera 15 #20-08, Belalcázar, Cali</v>
      </c>
      <c r="M706" s="307" t="s">
        <v>2301</v>
      </c>
      <c r="N706" s="307" t="s">
        <v>18</v>
      </c>
      <c r="O706" s="22"/>
      <c r="P706" s="22"/>
      <c r="Q706" s="22"/>
      <c r="R706" s="122"/>
      <c r="S706" s="122">
        <v>1.0</v>
      </c>
      <c r="T706" s="122"/>
      <c r="U706" s="22"/>
      <c r="V706" s="22"/>
      <c r="W706" s="22"/>
      <c r="X706" s="22"/>
      <c r="Y706" s="22"/>
      <c r="Z706" s="306" t="s">
        <v>2302</v>
      </c>
      <c r="AA706" s="306"/>
      <c r="AB706" s="306"/>
      <c r="AD706" s="22"/>
      <c r="AE706" s="22"/>
      <c r="AF706" s="22"/>
      <c r="AG706" s="22"/>
      <c r="AH706" s="22"/>
      <c r="AI706" s="22"/>
      <c r="AJ706" s="22"/>
      <c r="AK706" s="22"/>
      <c r="AL706" s="22"/>
      <c r="AM706" s="22"/>
      <c r="AN706" s="22"/>
      <c r="AO706" s="22"/>
      <c r="AP706" s="22"/>
    </row>
    <row r="707" ht="25.5" customHeight="1">
      <c r="A707" s="306">
        <f t="shared" si="3"/>
        <v>706</v>
      </c>
      <c r="B707" s="306" t="s">
        <v>61</v>
      </c>
      <c r="C707" s="39" t="s">
        <v>279</v>
      </c>
      <c r="D707" s="39" t="s">
        <v>515</v>
      </c>
      <c r="E707" s="307"/>
      <c r="F707" s="314" t="s">
        <v>60</v>
      </c>
      <c r="G707" s="309" t="s">
        <v>36</v>
      </c>
      <c r="H707" s="285" t="s">
        <v>197</v>
      </c>
      <c r="I707" s="285" t="s">
        <v>38</v>
      </c>
      <c r="J707" s="285" t="s">
        <v>2303</v>
      </c>
      <c r="K707" s="308" t="s">
        <v>2304</v>
      </c>
      <c r="L707" s="306" t="str">
        <f t="shared" si="72"/>
        <v>Carrera 98f #58.66 unidad indigo, Ciudad Melendez, Cali</v>
      </c>
      <c r="M707" s="311" t="s">
        <v>2305</v>
      </c>
      <c r="N707" s="311" t="s">
        <v>233</v>
      </c>
      <c r="O707" s="22"/>
      <c r="P707" s="22"/>
      <c r="Q707" s="22"/>
      <c r="R707" s="122"/>
      <c r="S707" s="122"/>
      <c r="T707" s="122">
        <v>1.0</v>
      </c>
      <c r="U707" s="22"/>
      <c r="V707" s="22"/>
      <c r="W707" s="22"/>
      <c r="X707" s="22"/>
      <c r="Y707" s="22"/>
      <c r="Z707" s="306" t="s">
        <v>2306</v>
      </c>
      <c r="AA707" s="306"/>
      <c r="AB707" s="306"/>
      <c r="AD707" s="22"/>
      <c r="AE707" s="22"/>
      <c r="AF707" s="22"/>
      <c r="AG707" s="22"/>
      <c r="AH707" s="22"/>
      <c r="AI707" s="22"/>
      <c r="AJ707" s="22"/>
      <c r="AK707" s="22"/>
      <c r="AL707" s="22"/>
      <c r="AM707" s="22"/>
      <c r="AN707" s="22"/>
      <c r="AO707" s="22"/>
      <c r="AP707" s="22"/>
    </row>
    <row r="708" ht="25.5" customHeight="1">
      <c r="A708" s="306">
        <f t="shared" si="3"/>
        <v>707</v>
      </c>
      <c r="B708" s="306" t="s">
        <v>61</v>
      </c>
      <c r="C708" s="39" t="s">
        <v>279</v>
      </c>
      <c r="D708" s="39" t="s">
        <v>515</v>
      </c>
      <c r="E708" s="307"/>
      <c r="F708" s="204" t="s">
        <v>110</v>
      </c>
      <c r="G708" s="204" t="s">
        <v>176</v>
      </c>
      <c r="H708" s="285" t="s">
        <v>2307</v>
      </c>
      <c r="I708" s="285" t="s">
        <v>286</v>
      </c>
      <c r="J708" s="285" t="s">
        <v>2308</v>
      </c>
      <c r="K708" s="310"/>
      <c r="L708" s="307" t="str">
        <f t="shared" si="72"/>
        <v>calle 5 con 13, San Cayetano, Cali</v>
      </c>
      <c r="M708" s="311" t="s">
        <v>2309</v>
      </c>
      <c r="N708" s="311" t="s">
        <v>233</v>
      </c>
      <c r="O708" s="22"/>
      <c r="P708" s="22"/>
      <c r="Q708" s="22"/>
      <c r="R708" s="122"/>
      <c r="S708" s="122"/>
      <c r="T708" s="122">
        <v>1.0</v>
      </c>
      <c r="U708" s="22"/>
      <c r="V708" s="22"/>
      <c r="W708" s="22"/>
      <c r="X708" s="22"/>
      <c r="Y708" s="22"/>
      <c r="Z708" s="306" t="s">
        <v>2310</v>
      </c>
      <c r="AA708" s="306"/>
      <c r="AB708" s="306"/>
      <c r="AD708" s="22"/>
      <c r="AE708" s="22"/>
      <c r="AF708" s="22"/>
      <c r="AG708" s="22"/>
      <c r="AH708" s="22"/>
      <c r="AI708" s="22"/>
      <c r="AJ708" s="22"/>
      <c r="AK708" s="22"/>
      <c r="AL708" s="22"/>
      <c r="AM708" s="22"/>
      <c r="AN708" s="22"/>
      <c r="AO708" s="22"/>
      <c r="AP708" s="22"/>
    </row>
    <row r="709" ht="25.5" customHeight="1">
      <c r="A709" s="306">
        <f t="shared" si="3"/>
        <v>708</v>
      </c>
      <c r="B709" s="306" t="s">
        <v>61</v>
      </c>
      <c r="C709" s="39" t="s">
        <v>279</v>
      </c>
      <c r="D709" s="39" t="s">
        <v>515</v>
      </c>
      <c r="E709" s="307"/>
      <c r="F709" s="321" t="s">
        <v>299</v>
      </c>
      <c r="G709" s="309" t="s">
        <v>2311</v>
      </c>
      <c r="H709" s="285" t="s">
        <v>336</v>
      </c>
      <c r="I709" s="285" t="s">
        <v>38</v>
      </c>
      <c r="J709" s="285" t="s">
        <v>2312</v>
      </c>
      <c r="K709" s="310"/>
      <c r="L709" s="307" t="str">
        <f t="shared" si="72"/>
        <v>calle 12 oeste #54-130, Las Canas, Cali</v>
      </c>
      <c r="M709" s="311" t="s">
        <v>2313</v>
      </c>
      <c r="N709" s="311" t="s">
        <v>233</v>
      </c>
      <c r="O709" s="22"/>
      <c r="P709" s="22"/>
      <c r="Q709" s="22"/>
      <c r="R709" s="122"/>
      <c r="S709" s="122"/>
      <c r="T709" s="122">
        <v>1.0</v>
      </c>
      <c r="U709" s="22"/>
      <c r="V709" s="22"/>
      <c r="W709" s="22"/>
      <c r="X709" s="22"/>
      <c r="Y709" s="22"/>
      <c r="Z709" s="306" t="s">
        <v>2314</v>
      </c>
      <c r="AA709" s="306"/>
      <c r="AB709" s="306"/>
      <c r="AD709" s="22"/>
      <c r="AE709" s="22"/>
      <c r="AF709" s="22"/>
      <c r="AG709" s="22"/>
      <c r="AH709" s="22"/>
      <c r="AI709" s="22"/>
      <c r="AJ709" s="22"/>
      <c r="AK709" s="22"/>
      <c r="AL709" s="22"/>
      <c r="AM709" s="22"/>
      <c r="AN709" s="22"/>
      <c r="AO709" s="22"/>
      <c r="AP709" s="22"/>
    </row>
    <row r="710" ht="25.5" customHeight="1">
      <c r="A710" s="306">
        <f t="shared" si="3"/>
        <v>709</v>
      </c>
      <c r="B710" s="306" t="s">
        <v>61</v>
      </c>
      <c r="C710" s="39" t="s">
        <v>279</v>
      </c>
      <c r="D710" s="39" t="s">
        <v>515</v>
      </c>
      <c r="E710" s="307"/>
      <c r="F710" s="204" t="s">
        <v>76</v>
      </c>
      <c r="G710" s="204" t="s">
        <v>350</v>
      </c>
      <c r="H710" s="285" t="s">
        <v>306</v>
      </c>
      <c r="I710" s="285" t="s">
        <v>38</v>
      </c>
      <c r="J710" s="285" t="s">
        <v>2315</v>
      </c>
      <c r="K710" s="310"/>
      <c r="L710" s="307" t="str">
        <f t="shared" si="72"/>
        <v>Avenida 10 norte #7n.130 colinas de, Juanambú, Cali</v>
      </c>
      <c r="M710" s="311" t="s">
        <v>2313</v>
      </c>
      <c r="N710" s="311" t="s">
        <v>233</v>
      </c>
      <c r="O710" s="22"/>
      <c r="P710" s="22"/>
      <c r="Q710" s="22"/>
      <c r="R710" s="122"/>
      <c r="S710" s="122"/>
      <c r="T710" s="122">
        <v>1.0</v>
      </c>
      <c r="U710" s="22"/>
      <c r="V710" s="22"/>
      <c r="W710" s="22"/>
      <c r="X710" s="22"/>
      <c r="Y710" s="22"/>
      <c r="Z710" s="306" t="s">
        <v>2314</v>
      </c>
      <c r="AA710" s="306"/>
      <c r="AB710" s="306"/>
      <c r="AD710" s="22"/>
      <c r="AE710" s="22"/>
      <c r="AF710" s="22"/>
      <c r="AG710" s="22"/>
      <c r="AH710" s="22"/>
      <c r="AI710" s="22"/>
      <c r="AJ710" s="22"/>
      <c r="AK710" s="22"/>
      <c r="AL710" s="22"/>
      <c r="AM710" s="22"/>
      <c r="AN710" s="22"/>
      <c r="AO710" s="22"/>
      <c r="AP710" s="22"/>
    </row>
    <row r="711" ht="25.5" customHeight="1">
      <c r="A711" s="306">
        <f t="shared" si="3"/>
        <v>710</v>
      </c>
      <c r="B711" s="306" t="s">
        <v>61</v>
      </c>
      <c r="C711" s="39" t="s">
        <v>279</v>
      </c>
      <c r="D711" s="39" t="s">
        <v>515</v>
      </c>
      <c r="E711" s="307"/>
      <c r="F711" s="204" t="s">
        <v>35</v>
      </c>
      <c r="G711" s="309" t="s">
        <v>36</v>
      </c>
      <c r="H711" s="285" t="s">
        <v>234</v>
      </c>
      <c r="I711" s="285" t="s">
        <v>38</v>
      </c>
      <c r="J711" s="285" t="s">
        <v>2316</v>
      </c>
      <c r="K711" s="310"/>
      <c r="L711" s="307" t="str">
        <f t="shared" si="72"/>
        <v>call 8 entre 32 y 32a, El Cedro, Cali</v>
      </c>
      <c r="M711" s="311" t="s">
        <v>2042</v>
      </c>
      <c r="N711" s="311" t="s">
        <v>233</v>
      </c>
      <c r="O711" s="22"/>
      <c r="P711" s="22"/>
      <c r="Q711" s="22"/>
      <c r="R711" s="122"/>
      <c r="S711" s="122"/>
      <c r="T711" s="122">
        <v>1.0</v>
      </c>
      <c r="U711" s="22"/>
      <c r="V711" s="22"/>
      <c r="W711" s="22"/>
      <c r="X711" s="22"/>
      <c r="Y711" s="22"/>
      <c r="Z711" s="306" t="s">
        <v>2317</v>
      </c>
      <c r="AA711" s="306"/>
      <c r="AB711" s="306"/>
      <c r="AD711" s="22"/>
      <c r="AE711" s="22"/>
      <c r="AF711" s="22"/>
      <c r="AG711" s="22"/>
      <c r="AH711" s="22"/>
      <c r="AI711" s="22"/>
      <c r="AJ711" s="22"/>
      <c r="AK711" s="22"/>
      <c r="AL711" s="22"/>
      <c r="AM711" s="22"/>
      <c r="AN711" s="22"/>
      <c r="AO711" s="22"/>
      <c r="AP711" s="22"/>
    </row>
    <row r="712" ht="25.5" customHeight="1">
      <c r="A712" s="306">
        <f t="shared" si="3"/>
        <v>711</v>
      </c>
      <c r="B712" s="306" t="s">
        <v>61</v>
      </c>
      <c r="C712" s="39" t="s">
        <v>279</v>
      </c>
      <c r="D712" s="39" t="s">
        <v>515</v>
      </c>
      <c r="E712" s="307"/>
      <c r="F712" s="321" t="s">
        <v>119</v>
      </c>
      <c r="G712" s="309" t="s">
        <v>350</v>
      </c>
      <c r="H712" s="285" t="s">
        <v>342</v>
      </c>
      <c r="I712" s="285" t="s">
        <v>38</v>
      </c>
      <c r="J712" s="285" t="s">
        <v>2318</v>
      </c>
      <c r="K712" s="310"/>
      <c r="L712" s="307" t="str">
        <f t="shared" si="72"/>
        <v>calle 36 con 5, Las Delicias, Cali</v>
      </c>
      <c r="M712" s="311" t="s">
        <v>2319</v>
      </c>
      <c r="N712" s="311" t="s">
        <v>233</v>
      </c>
      <c r="O712" s="22"/>
      <c r="P712" s="22"/>
      <c r="Q712" s="22"/>
      <c r="R712" s="122"/>
      <c r="S712" s="122"/>
      <c r="T712" s="122">
        <v>1.0</v>
      </c>
      <c r="U712" s="22"/>
      <c r="V712" s="22"/>
      <c r="W712" s="22"/>
      <c r="X712" s="22"/>
      <c r="Y712" s="22"/>
      <c r="Z712" s="306" t="s">
        <v>2320</v>
      </c>
      <c r="AA712" s="306"/>
      <c r="AB712" s="306"/>
      <c r="AD712" s="22"/>
      <c r="AE712" s="22"/>
      <c r="AF712" s="22"/>
      <c r="AG712" s="22"/>
      <c r="AH712" s="22"/>
      <c r="AI712" s="22"/>
      <c r="AJ712" s="22"/>
      <c r="AK712" s="22"/>
      <c r="AL712" s="22"/>
      <c r="AM712" s="22"/>
      <c r="AN712" s="22"/>
      <c r="AO712" s="22"/>
      <c r="AP712" s="22"/>
    </row>
    <row r="713" ht="25.5" customHeight="1">
      <c r="A713" s="306">
        <f t="shared" si="3"/>
        <v>712</v>
      </c>
      <c r="B713" s="306" t="s">
        <v>307</v>
      </c>
      <c r="C713" s="39" t="s">
        <v>279</v>
      </c>
      <c r="D713" s="39" t="s">
        <v>515</v>
      </c>
      <c r="E713" s="307"/>
      <c r="F713" s="335" t="s">
        <v>282</v>
      </c>
      <c r="G713" s="309" t="s">
        <v>443</v>
      </c>
      <c r="H713" s="285" t="s">
        <v>282</v>
      </c>
      <c r="I713" s="285" t="s">
        <v>286</v>
      </c>
      <c r="J713" s="285" t="s">
        <v>2321</v>
      </c>
      <c r="K713" s="310"/>
      <c r="L713" s="307" t="str">
        <f t="shared" si="72"/>
        <v>corregimiento de golondrinas- sector la maria, Golondrinas, Cali</v>
      </c>
      <c r="M713" s="307" t="s">
        <v>2322</v>
      </c>
      <c r="N713" s="307" t="s">
        <v>41</v>
      </c>
      <c r="O713" s="22"/>
      <c r="P713" s="22"/>
      <c r="Q713" s="22"/>
      <c r="R713" s="122">
        <v>1.0</v>
      </c>
      <c r="S713" s="122"/>
      <c r="T713" s="122"/>
      <c r="U713" s="22"/>
      <c r="V713" s="22"/>
      <c r="W713" s="22"/>
      <c r="X713" s="22"/>
      <c r="Y713" s="22"/>
      <c r="Z713" s="306" t="s">
        <v>2323</v>
      </c>
      <c r="AA713" s="306"/>
      <c r="AB713" s="306"/>
      <c r="AD713" s="22"/>
      <c r="AE713" s="22"/>
      <c r="AF713" s="22"/>
      <c r="AG713" s="22"/>
      <c r="AH713" s="22"/>
      <c r="AI713" s="22"/>
      <c r="AJ713" s="22"/>
      <c r="AK713" s="22"/>
      <c r="AL713" s="22"/>
      <c r="AM713" s="22"/>
      <c r="AN713" s="22"/>
      <c r="AO713" s="22"/>
      <c r="AP713" s="22"/>
    </row>
    <row r="714" ht="25.5" customHeight="1">
      <c r="A714" s="306">
        <f t="shared" si="3"/>
        <v>713</v>
      </c>
      <c r="B714" s="306" t="s">
        <v>61</v>
      </c>
      <c r="C714" s="39" t="s">
        <v>279</v>
      </c>
      <c r="D714" s="39" t="s">
        <v>515</v>
      </c>
      <c r="E714" s="307"/>
      <c r="F714" s="204" t="s">
        <v>35</v>
      </c>
      <c r="G714" s="309" t="s">
        <v>36</v>
      </c>
      <c r="H714" s="285" t="s">
        <v>474</v>
      </c>
      <c r="I714" s="285" t="s">
        <v>38</v>
      </c>
      <c r="J714" s="285" t="s">
        <v>2324</v>
      </c>
      <c r="K714" s="308" t="s">
        <v>2325</v>
      </c>
      <c r="L714" s="306" t="str">
        <f t="shared" si="72"/>
        <v>Carrera 37a #3bis-19 lomas de san fernando torre 1, Santa Isabel, Cali</v>
      </c>
      <c r="M714" s="311" t="s">
        <v>2326</v>
      </c>
      <c r="N714" s="311" t="s">
        <v>233</v>
      </c>
      <c r="O714" s="22"/>
      <c r="P714" s="22"/>
      <c r="Q714" s="22"/>
      <c r="R714" s="122"/>
      <c r="S714" s="122"/>
      <c r="T714" s="122">
        <v>1.0</v>
      </c>
      <c r="U714" s="22"/>
      <c r="V714" s="22"/>
      <c r="W714" s="22"/>
      <c r="X714" s="22"/>
      <c r="Y714" s="22"/>
      <c r="Z714" s="306" t="s">
        <v>2327</v>
      </c>
      <c r="AA714" s="306"/>
      <c r="AB714" s="306"/>
      <c r="AD714" s="22"/>
      <c r="AE714" s="22"/>
      <c r="AF714" s="22"/>
      <c r="AG714" s="22"/>
      <c r="AH714" s="22"/>
      <c r="AI714" s="22"/>
      <c r="AJ714" s="22"/>
      <c r="AK714" s="22"/>
      <c r="AL714" s="22"/>
      <c r="AM714" s="22"/>
      <c r="AN714" s="22"/>
      <c r="AO714" s="22"/>
      <c r="AP714" s="22"/>
    </row>
    <row r="715" ht="25.5" customHeight="1">
      <c r="A715" s="306">
        <f t="shared" si="3"/>
        <v>714</v>
      </c>
      <c r="B715" s="306" t="s">
        <v>61</v>
      </c>
      <c r="C715" s="39" t="s">
        <v>279</v>
      </c>
      <c r="D715" s="39" t="s">
        <v>515</v>
      </c>
      <c r="E715" s="307"/>
      <c r="F715" s="204" t="s">
        <v>35</v>
      </c>
      <c r="G715" s="309" t="s">
        <v>36</v>
      </c>
      <c r="H715" s="285" t="s">
        <v>2328</v>
      </c>
      <c r="I715" s="285" t="s">
        <v>38</v>
      </c>
      <c r="J715" s="285" t="s">
        <v>2329</v>
      </c>
      <c r="K715" s="310"/>
      <c r="L715" s="307" t="str">
        <f t="shared" si="72"/>
        <v>Carrera 43 #6a -115 nueva tequendama 6, Nueva tequendama, Cali</v>
      </c>
      <c r="M715" s="311" t="s">
        <v>2326</v>
      </c>
      <c r="N715" s="311" t="s">
        <v>233</v>
      </c>
      <c r="O715" s="22"/>
      <c r="P715" s="22"/>
      <c r="Q715" s="22"/>
      <c r="R715" s="122"/>
      <c r="S715" s="122"/>
      <c r="T715" s="122">
        <v>1.0</v>
      </c>
      <c r="U715" s="22"/>
      <c r="V715" s="22"/>
      <c r="W715" s="22"/>
      <c r="X715" s="22"/>
      <c r="Y715" s="22"/>
      <c r="Z715" s="306" t="s">
        <v>2330</v>
      </c>
      <c r="AA715" s="306"/>
      <c r="AB715" s="306"/>
      <c r="AD715" s="22"/>
      <c r="AE715" s="22"/>
      <c r="AF715" s="22"/>
      <c r="AG715" s="22"/>
      <c r="AH715" s="22"/>
      <c r="AI715" s="22"/>
      <c r="AJ715" s="22"/>
      <c r="AK715" s="22"/>
      <c r="AL715" s="22"/>
      <c r="AM715" s="22"/>
      <c r="AN715" s="22"/>
      <c r="AO715" s="22"/>
      <c r="AP715" s="22"/>
    </row>
    <row r="716" ht="25.5" customHeight="1">
      <c r="A716" s="306">
        <f t="shared" si="3"/>
        <v>715</v>
      </c>
      <c r="B716" s="306" t="s">
        <v>61</v>
      </c>
      <c r="C716" s="39" t="s">
        <v>279</v>
      </c>
      <c r="D716" s="39" t="s">
        <v>515</v>
      </c>
      <c r="E716" s="307"/>
      <c r="F716" s="314" t="s">
        <v>60</v>
      </c>
      <c r="G716" s="309" t="s">
        <v>36</v>
      </c>
      <c r="H716" s="285" t="s">
        <v>434</v>
      </c>
      <c r="I716" s="285" t="s">
        <v>38</v>
      </c>
      <c r="J716" s="285" t="s">
        <v>2331</v>
      </c>
      <c r="K716" s="310"/>
      <c r="L716" s="307" t="str">
        <f t="shared" si="72"/>
        <v>calle 13e #55-02, Primero de mayo, Cali</v>
      </c>
      <c r="M716" s="311" t="s">
        <v>2326</v>
      </c>
      <c r="N716" s="311" t="s">
        <v>233</v>
      </c>
      <c r="O716" s="22"/>
      <c r="P716" s="22"/>
      <c r="Q716" s="22"/>
      <c r="R716" s="122"/>
      <c r="S716" s="122"/>
      <c r="T716" s="122">
        <v>1.0</v>
      </c>
      <c r="U716" s="22"/>
      <c r="V716" s="22"/>
      <c r="W716" s="22"/>
      <c r="X716" s="22"/>
      <c r="Y716" s="22"/>
      <c r="Z716" s="306" t="s">
        <v>2330</v>
      </c>
      <c r="AA716" s="306"/>
      <c r="AB716" s="306"/>
      <c r="AD716" s="22"/>
      <c r="AE716" s="22"/>
      <c r="AF716" s="22"/>
      <c r="AG716" s="22"/>
      <c r="AH716" s="22"/>
      <c r="AI716" s="22"/>
      <c r="AJ716" s="22"/>
      <c r="AK716" s="22"/>
      <c r="AL716" s="22"/>
      <c r="AM716" s="22"/>
      <c r="AN716" s="22"/>
      <c r="AO716" s="22"/>
      <c r="AP716" s="22"/>
    </row>
    <row r="717" ht="25.5" customHeight="1">
      <c r="A717" s="306">
        <f t="shared" si="3"/>
        <v>716</v>
      </c>
      <c r="B717" s="306" t="s">
        <v>307</v>
      </c>
      <c r="C717" s="39" t="s">
        <v>279</v>
      </c>
      <c r="D717" s="39" t="s">
        <v>515</v>
      </c>
      <c r="E717" s="307"/>
      <c r="F717" s="335" t="s">
        <v>98</v>
      </c>
      <c r="G717" s="309" t="s">
        <v>443</v>
      </c>
      <c r="H717" s="285" t="s">
        <v>97</v>
      </c>
      <c r="I717" s="285" t="s">
        <v>286</v>
      </c>
      <c r="J717" s="285" t="s">
        <v>2332</v>
      </c>
      <c r="K717" s="310"/>
      <c r="L717" s="307" t="str">
        <f t="shared" si="72"/>
        <v>kilometro 10.5 altos del rosario corregimiento de la buitrera, Altos del rosario, Cali</v>
      </c>
      <c r="M717" s="307" t="s">
        <v>2333</v>
      </c>
      <c r="N717" s="307" t="s">
        <v>642</v>
      </c>
      <c r="O717" s="22"/>
      <c r="P717" s="22"/>
      <c r="Q717" s="22"/>
      <c r="R717" s="122"/>
      <c r="S717" s="122"/>
      <c r="T717" s="122">
        <v>1.0</v>
      </c>
      <c r="U717" s="22"/>
      <c r="V717" s="22"/>
      <c r="W717" s="22"/>
      <c r="X717" s="22"/>
      <c r="Y717" s="22"/>
      <c r="Z717" s="306" t="s">
        <v>2334</v>
      </c>
      <c r="AA717" s="306"/>
      <c r="AB717" s="306"/>
      <c r="AD717" s="22"/>
      <c r="AE717" s="22"/>
      <c r="AF717" s="22"/>
      <c r="AG717" s="22"/>
      <c r="AH717" s="22"/>
      <c r="AI717" s="22"/>
      <c r="AJ717" s="22"/>
      <c r="AK717" s="22"/>
      <c r="AL717" s="22"/>
      <c r="AM717" s="22"/>
      <c r="AN717" s="22"/>
      <c r="AO717" s="22"/>
      <c r="AP717" s="22"/>
    </row>
    <row r="718" ht="25.5" customHeight="1">
      <c r="A718" s="306">
        <f t="shared" si="3"/>
        <v>717</v>
      </c>
      <c r="B718" s="39" t="s">
        <v>32</v>
      </c>
      <c r="C718" s="39" t="s">
        <v>279</v>
      </c>
      <c r="D718" s="39" t="s">
        <v>515</v>
      </c>
      <c r="E718" s="306" t="s">
        <v>46</v>
      </c>
      <c r="F718" s="204" t="s">
        <v>35</v>
      </c>
      <c r="G718" s="309" t="s">
        <v>36</v>
      </c>
      <c r="H718" s="285" t="s">
        <v>1339</v>
      </c>
      <c r="I718" s="285" t="s">
        <v>38</v>
      </c>
      <c r="J718" s="285" t="s">
        <v>2335</v>
      </c>
      <c r="K718" s="308" t="s">
        <v>2335</v>
      </c>
      <c r="L718" s="306" t="str">
        <f t="shared" si="72"/>
        <v>edificio altavista 2000, San fernando, Cali</v>
      </c>
      <c r="M718" s="311" t="s">
        <v>2336</v>
      </c>
      <c r="N718" s="311" t="s">
        <v>233</v>
      </c>
      <c r="O718" s="22"/>
      <c r="P718" s="22"/>
      <c r="Q718" s="22"/>
      <c r="R718" s="122"/>
      <c r="S718" s="122"/>
      <c r="T718" s="122">
        <v>1.0</v>
      </c>
      <c r="U718" s="22"/>
      <c r="V718" s="22"/>
      <c r="W718" s="22"/>
      <c r="X718" s="22"/>
      <c r="Y718" s="22"/>
      <c r="Z718" s="306" t="s">
        <v>2337</v>
      </c>
      <c r="AA718" s="306"/>
      <c r="AB718" s="306"/>
      <c r="AD718" s="22"/>
      <c r="AE718" s="22"/>
      <c r="AF718" s="22"/>
      <c r="AG718" s="22"/>
      <c r="AH718" s="22"/>
      <c r="AI718" s="22"/>
      <c r="AJ718" s="22"/>
      <c r="AK718" s="22"/>
      <c r="AL718" s="22"/>
      <c r="AM718" s="22"/>
      <c r="AN718" s="22"/>
      <c r="AO718" s="22"/>
      <c r="AP718" s="22"/>
    </row>
    <row r="719" ht="25.5" customHeight="1">
      <c r="A719" s="306">
        <f t="shared" si="3"/>
        <v>718</v>
      </c>
      <c r="B719" s="306" t="s">
        <v>307</v>
      </c>
      <c r="C719" s="39" t="s">
        <v>279</v>
      </c>
      <c r="D719" s="39" t="s">
        <v>515</v>
      </c>
      <c r="E719" s="307"/>
      <c r="F719" s="204" t="s">
        <v>87</v>
      </c>
      <c r="G719" s="309" t="s">
        <v>36</v>
      </c>
      <c r="H719" s="285" t="s">
        <v>319</v>
      </c>
      <c r="I719" s="285" t="s">
        <v>38</v>
      </c>
      <c r="J719" s="285" t="s">
        <v>2338</v>
      </c>
      <c r="K719" s="310"/>
      <c r="L719" s="307" t="str">
        <f t="shared" si="72"/>
        <v>Calle 2c #65-22, La Cascada, Cali, Valle del Cauca, La cascada, Cali</v>
      </c>
      <c r="M719" s="307" t="s">
        <v>2339</v>
      </c>
      <c r="N719" s="307" t="s">
        <v>18</v>
      </c>
      <c r="O719" s="22"/>
      <c r="P719" s="22"/>
      <c r="Q719" s="22"/>
      <c r="R719" s="122"/>
      <c r="S719" s="122">
        <v>1.0</v>
      </c>
      <c r="T719" s="122"/>
      <c r="U719" s="22"/>
      <c r="V719" s="22"/>
      <c r="W719" s="22"/>
      <c r="X719" s="22"/>
      <c r="Y719" s="22"/>
      <c r="Z719" s="306" t="s">
        <v>2340</v>
      </c>
      <c r="AA719" s="306"/>
      <c r="AB719" s="306"/>
      <c r="AD719" s="22"/>
      <c r="AE719" s="22"/>
      <c r="AF719" s="22"/>
      <c r="AG719" s="22"/>
      <c r="AH719" s="22"/>
      <c r="AI719" s="22"/>
      <c r="AJ719" s="22"/>
      <c r="AK719" s="22"/>
      <c r="AL719" s="22"/>
      <c r="AM719" s="22"/>
      <c r="AN719" s="22"/>
      <c r="AO719" s="22"/>
      <c r="AP719" s="22"/>
    </row>
    <row r="720" ht="25.5" customHeight="1">
      <c r="A720" s="306">
        <f t="shared" si="3"/>
        <v>719</v>
      </c>
      <c r="B720" s="306" t="s">
        <v>61</v>
      </c>
      <c r="C720" s="39" t="s">
        <v>279</v>
      </c>
      <c r="D720" s="39" t="s">
        <v>515</v>
      </c>
      <c r="E720" s="307"/>
      <c r="F720" s="204" t="s">
        <v>70</v>
      </c>
      <c r="G720" s="204" t="s">
        <v>36</v>
      </c>
      <c r="H720" s="285" t="s">
        <v>202</v>
      </c>
      <c r="I720" s="285" t="s">
        <v>38</v>
      </c>
      <c r="J720" s="285" t="s">
        <v>2341</v>
      </c>
      <c r="K720" s="310"/>
      <c r="L720" s="307" t="str">
        <f t="shared" si="72"/>
        <v>calle 9 con 54, Pampalinda, Cali</v>
      </c>
      <c r="M720" s="311" t="s">
        <v>2342</v>
      </c>
      <c r="N720" s="311" t="s">
        <v>233</v>
      </c>
      <c r="O720" s="22"/>
      <c r="P720" s="22"/>
      <c r="Q720" s="22"/>
      <c r="R720" s="122"/>
      <c r="S720" s="122"/>
      <c r="T720" s="122">
        <v>1.0</v>
      </c>
      <c r="U720" s="22"/>
      <c r="V720" s="22"/>
      <c r="W720" s="22"/>
      <c r="X720" s="22"/>
      <c r="Y720" s="22"/>
      <c r="Z720" s="306" t="s">
        <v>2343</v>
      </c>
      <c r="AA720" s="306"/>
      <c r="AB720" s="306"/>
      <c r="AD720" s="22"/>
      <c r="AE720" s="22"/>
      <c r="AF720" s="22"/>
      <c r="AG720" s="22"/>
      <c r="AH720" s="22"/>
      <c r="AI720" s="22"/>
      <c r="AJ720" s="22"/>
      <c r="AK720" s="22"/>
      <c r="AL720" s="22"/>
      <c r="AM720" s="22"/>
      <c r="AN720" s="22"/>
      <c r="AO720" s="22"/>
      <c r="AP720" s="22"/>
    </row>
    <row r="721" ht="25.5" customHeight="1">
      <c r="A721" s="306">
        <f t="shared" si="3"/>
        <v>720</v>
      </c>
      <c r="B721" s="306" t="s">
        <v>307</v>
      </c>
      <c r="C721" s="39" t="s">
        <v>279</v>
      </c>
      <c r="D721" s="39" t="s">
        <v>515</v>
      </c>
      <c r="E721" s="307"/>
      <c r="F721" s="204" t="s">
        <v>87</v>
      </c>
      <c r="G721" s="309" t="s">
        <v>36</v>
      </c>
      <c r="H721" s="285" t="s">
        <v>387</v>
      </c>
      <c r="I721" s="285" t="s">
        <v>286</v>
      </c>
      <c r="J721" s="285" t="s">
        <v>2344</v>
      </c>
      <c r="K721" s="310"/>
      <c r="L721" s="307" t="str">
        <f t="shared" si="72"/>
        <v>calle 2c #93-42 melendez, Melendez, Cali</v>
      </c>
      <c r="M721" s="307" t="s">
        <v>2345</v>
      </c>
      <c r="N721" s="307" t="s">
        <v>642</v>
      </c>
      <c r="O721" s="22"/>
      <c r="P721" s="22"/>
      <c r="Q721" s="22"/>
      <c r="R721" s="122"/>
      <c r="S721" s="122"/>
      <c r="T721" s="122">
        <v>1.0</v>
      </c>
      <c r="U721" s="22"/>
      <c r="V721" s="22"/>
      <c r="W721" s="22"/>
      <c r="X721" s="22"/>
      <c r="Y721" s="22"/>
      <c r="Z721" s="306" t="s">
        <v>2346</v>
      </c>
      <c r="AA721" s="306"/>
      <c r="AB721" s="306"/>
      <c r="AD721" s="22"/>
      <c r="AE721" s="22"/>
      <c r="AF721" s="22"/>
      <c r="AG721" s="22"/>
      <c r="AH721" s="22"/>
      <c r="AI721" s="22"/>
      <c r="AJ721" s="22"/>
      <c r="AK721" s="22"/>
      <c r="AL721" s="22"/>
      <c r="AM721" s="22"/>
      <c r="AN721" s="22"/>
      <c r="AO721" s="22"/>
      <c r="AP721" s="22"/>
    </row>
    <row r="722" ht="25.5" customHeight="1">
      <c r="A722" s="312">
        <f t="shared" si="3"/>
        <v>721</v>
      </c>
      <c r="B722" s="312" t="s">
        <v>61</v>
      </c>
      <c r="C722" s="27" t="s">
        <v>279</v>
      </c>
      <c r="D722" s="27" t="s">
        <v>515</v>
      </c>
      <c r="E722" s="334"/>
      <c r="F722" s="30" t="s">
        <v>76</v>
      </c>
      <c r="G722" s="30" t="s">
        <v>350</v>
      </c>
      <c r="H722" s="198" t="s">
        <v>1612</v>
      </c>
      <c r="I722" s="198" t="s">
        <v>38</v>
      </c>
      <c r="J722" s="198" t="s">
        <v>2347</v>
      </c>
      <c r="K722" s="336"/>
      <c r="L722" s="307" t="str">
        <f t="shared" si="72"/>
        <v>Avenida 4bnorte #58-n60 paseo real- la flora, La flora, Cali</v>
      </c>
      <c r="M722" s="311" t="s">
        <v>2348</v>
      </c>
      <c r="N722" s="311" t="s">
        <v>233</v>
      </c>
      <c r="O722" s="22"/>
      <c r="P722" s="22"/>
      <c r="Q722" s="22"/>
      <c r="R722" s="122"/>
      <c r="S722" s="122"/>
      <c r="T722" s="122">
        <v>1.0</v>
      </c>
      <c r="U722" s="22"/>
      <c r="V722" s="22"/>
      <c r="W722" s="22"/>
      <c r="X722" s="22"/>
      <c r="Y722" s="22"/>
      <c r="Z722" s="306" t="s">
        <v>2349</v>
      </c>
      <c r="AA722" s="306"/>
      <c r="AB722" s="306"/>
      <c r="AD722" s="22"/>
      <c r="AE722" s="22"/>
      <c r="AF722" s="22"/>
      <c r="AG722" s="22"/>
      <c r="AH722" s="22"/>
      <c r="AI722" s="22"/>
      <c r="AJ722" s="22"/>
      <c r="AK722" s="22"/>
      <c r="AL722" s="22"/>
      <c r="AM722" s="22"/>
      <c r="AN722" s="22"/>
      <c r="AO722" s="22"/>
      <c r="AP722" s="22"/>
    </row>
    <row r="723" ht="25.5" customHeight="1">
      <c r="A723" s="306">
        <f t="shared" si="3"/>
        <v>722</v>
      </c>
      <c r="B723" s="306" t="s">
        <v>61</v>
      </c>
      <c r="C723" s="39" t="s">
        <v>279</v>
      </c>
      <c r="D723" s="39" t="s">
        <v>515</v>
      </c>
      <c r="E723" s="307"/>
      <c r="F723" s="204" t="s">
        <v>70</v>
      </c>
      <c r="G723" s="204" t="s">
        <v>36</v>
      </c>
      <c r="H723" s="285" t="s">
        <v>2350</v>
      </c>
      <c r="I723" s="285" t="s">
        <v>38</v>
      </c>
      <c r="J723" s="285" t="s">
        <v>2351</v>
      </c>
      <c r="K723" s="310"/>
      <c r="L723" s="307" t="str">
        <f t="shared" si="72"/>
        <v>Calle 14c #49a-29 las camelias, Las camelias, Cali</v>
      </c>
      <c r="M723" s="311" t="s">
        <v>2352</v>
      </c>
      <c r="N723" s="311" t="s">
        <v>233</v>
      </c>
      <c r="O723" s="22"/>
      <c r="P723" s="22"/>
      <c r="Q723" s="22"/>
      <c r="R723" s="122"/>
      <c r="S723" s="122"/>
      <c r="T723" s="122">
        <v>1.0</v>
      </c>
      <c r="U723" s="22"/>
      <c r="V723" s="22"/>
      <c r="W723" s="22"/>
      <c r="X723" s="22"/>
      <c r="Y723" s="22"/>
      <c r="Z723" s="306" t="s">
        <v>2353</v>
      </c>
      <c r="AA723" s="306"/>
      <c r="AB723" s="306"/>
      <c r="AD723" s="22"/>
      <c r="AE723" s="22"/>
      <c r="AF723" s="22"/>
      <c r="AG723" s="22"/>
      <c r="AH723" s="22"/>
      <c r="AI723" s="22"/>
      <c r="AJ723" s="22"/>
      <c r="AK723" s="22"/>
      <c r="AL723" s="22"/>
      <c r="AM723" s="22"/>
      <c r="AN723" s="22"/>
      <c r="AO723" s="22"/>
      <c r="AP723" s="22"/>
    </row>
    <row r="724" ht="25.5" customHeight="1">
      <c r="A724" s="306">
        <f t="shared" si="3"/>
        <v>723</v>
      </c>
      <c r="B724" s="306" t="s">
        <v>307</v>
      </c>
      <c r="C724" s="39" t="s">
        <v>279</v>
      </c>
      <c r="D724" s="39" t="s">
        <v>515</v>
      </c>
      <c r="E724" s="307"/>
      <c r="F724" s="204" t="s">
        <v>70</v>
      </c>
      <c r="G724" s="204" t="s">
        <v>36</v>
      </c>
      <c r="H724" s="285" t="s">
        <v>103</v>
      </c>
      <c r="I724" s="285" t="s">
        <v>38</v>
      </c>
      <c r="J724" s="285" t="s">
        <v>2354</v>
      </c>
      <c r="K724" s="310"/>
      <c r="L724" s="307" t="str">
        <f t="shared" si="72"/>
        <v>Carrera 44a con 10, Limonar, Cali</v>
      </c>
      <c r="M724" s="307" t="s">
        <v>2355</v>
      </c>
      <c r="N724" s="307" t="s">
        <v>233</v>
      </c>
      <c r="O724" s="22"/>
      <c r="P724" s="22"/>
      <c r="Q724" s="22"/>
      <c r="S724" s="122"/>
      <c r="T724" s="122">
        <v>1.0</v>
      </c>
      <c r="U724" s="22"/>
      <c r="V724" s="22"/>
      <c r="W724" s="22"/>
      <c r="X724" s="22"/>
      <c r="Y724" s="22"/>
      <c r="Z724" s="306" t="s">
        <v>2356</v>
      </c>
      <c r="AA724" s="306"/>
      <c r="AB724" s="306"/>
      <c r="AD724" s="22"/>
      <c r="AE724" s="22"/>
      <c r="AF724" s="22"/>
      <c r="AG724" s="22"/>
      <c r="AH724" s="22"/>
      <c r="AI724" s="22"/>
      <c r="AJ724" s="22"/>
      <c r="AK724" s="22"/>
      <c r="AL724" s="22"/>
      <c r="AM724" s="22"/>
      <c r="AN724" s="22"/>
      <c r="AO724" s="22"/>
      <c r="AP724" s="22"/>
    </row>
    <row r="725" ht="25.5" customHeight="1">
      <c r="A725" s="306">
        <f t="shared" si="3"/>
        <v>724</v>
      </c>
      <c r="B725" s="306" t="s">
        <v>61</v>
      </c>
      <c r="C725" s="39" t="s">
        <v>279</v>
      </c>
      <c r="D725" s="39" t="s">
        <v>515</v>
      </c>
      <c r="E725" s="307"/>
      <c r="F725" s="204" t="s">
        <v>87</v>
      </c>
      <c r="G725" s="309" t="s">
        <v>36</v>
      </c>
      <c r="H725" s="285" t="s">
        <v>2357</v>
      </c>
      <c r="I725" s="285" t="s">
        <v>286</v>
      </c>
      <c r="J725" s="285" t="s">
        <v>2358</v>
      </c>
      <c r="K725" s="310"/>
      <c r="L725" s="307" t="str">
        <f t="shared" si="72"/>
        <v>Carrera 78 #1a-176 prados del sur, Prados del sur, Cali</v>
      </c>
      <c r="M725" s="311" t="s">
        <v>2359</v>
      </c>
      <c r="N725" s="311" t="s">
        <v>233</v>
      </c>
      <c r="O725" s="22"/>
      <c r="P725" s="22"/>
      <c r="Q725" s="22"/>
      <c r="R725" s="122"/>
      <c r="S725" s="122"/>
      <c r="T725" s="122">
        <v>1.0</v>
      </c>
      <c r="U725" s="22"/>
      <c r="V725" s="22"/>
      <c r="W725" s="22"/>
      <c r="X725" s="22"/>
      <c r="Y725" s="22"/>
      <c r="Z725" s="306" t="s">
        <v>2360</v>
      </c>
      <c r="AA725" s="306"/>
      <c r="AB725" s="306"/>
      <c r="AD725" s="22"/>
      <c r="AE725" s="22"/>
      <c r="AF725" s="22"/>
      <c r="AG725" s="22"/>
      <c r="AH725" s="22"/>
      <c r="AI725" s="22"/>
      <c r="AJ725" s="22"/>
      <c r="AK725" s="22"/>
      <c r="AL725" s="22"/>
      <c r="AM725" s="22"/>
      <c r="AN725" s="22"/>
      <c r="AO725" s="22"/>
      <c r="AP725" s="22"/>
    </row>
    <row r="726" ht="25.5" customHeight="1">
      <c r="A726" s="306">
        <f t="shared" si="3"/>
        <v>725</v>
      </c>
      <c r="B726" s="306" t="s">
        <v>61</v>
      </c>
      <c r="C726" s="39" t="s">
        <v>279</v>
      </c>
      <c r="D726" s="39" t="s">
        <v>515</v>
      </c>
      <c r="E726" s="307"/>
      <c r="F726" s="204" t="s">
        <v>35</v>
      </c>
      <c r="G726" s="309" t="s">
        <v>36</v>
      </c>
      <c r="H726" s="285" t="s">
        <v>1339</v>
      </c>
      <c r="I726" s="285" t="s">
        <v>38</v>
      </c>
      <c r="J726" s="285" t="s">
        <v>2361</v>
      </c>
      <c r="K726" s="310"/>
      <c r="L726" s="307" t="str">
        <f t="shared" si="72"/>
        <v>Calle 5 con 36, San fernando, Cali</v>
      </c>
      <c r="M726" s="311" t="s">
        <v>2362</v>
      </c>
      <c r="N726" s="311" t="s">
        <v>233</v>
      </c>
      <c r="O726" s="22"/>
      <c r="P726" s="22"/>
      <c r="Q726" s="22"/>
      <c r="R726" s="122"/>
      <c r="S726" s="122"/>
      <c r="T726" s="122">
        <v>1.0</v>
      </c>
      <c r="U726" s="22"/>
      <c r="V726" s="22"/>
      <c r="W726" s="22"/>
      <c r="X726" s="22"/>
      <c r="Y726" s="22"/>
      <c r="Z726" s="306" t="s">
        <v>2363</v>
      </c>
      <c r="AA726" s="306"/>
      <c r="AB726" s="306"/>
      <c r="AD726" s="22"/>
      <c r="AE726" s="22"/>
      <c r="AF726" s="22"/>
      <c r="AG726" s="22"/>
      <c r="AH726" s="22"/>
      <c r="AI726" s="22"/>
      <c r="AJ726" s="22"/>
      <c r="AK726" s="22"/>
      <c r="AL726" s="22"/>
      <c r="AM726" s="22"/>
      <c r="AN726" s="22"/>
      <c r="AO726" s="22"/>
      <c r="AP726" s="22"/>
    </row>
    <row r="727" ht="25.5" customHeight="1">
      <c r="A727" s="312">
        <f t="shared" si="3"/>
        <v>726</v>
      </c>
      <c r="B727" s="312" t="s">
        <v>61</v>
      </c>
      <c r="C727" s="27" t="s">
        <v>279</v>
      </c>
      <c r="D727" s="27" t="s">
        <v>515</v>
      </c>
      <c r="E727" s="334"/>
      <c r="F727" s="30" t="s">
        <v>76</v>
      </c>
      <c r="G727" s="30" t="s">
        <v>350</v>
      </c>
      <c r="H727" s="198" t="s">
        <v>512</v>
      </c>
      <c r="I727" s="198" t="s">
        <v>546</v>
      </c>
      <c r="J727" s="198" t="s">
        <v>2364</v>
      </c>
      <c r="K727" s="313" t="s">
        <v>2365</v>
      </c>
      <c r="L727" s="306" t="str">
        <f t="shared" si="72"/>
        <v>El colegio José Holguín garses y las escuelas del sector ulpiano lloreda y anamaría lloreda sector terrón colorado, Versalles, Cali</v>
      </c>
      <c r="M727" s="311" t="s">
        <v>2366</v>
      </c>
      <c r="N727" s="311" t="s">
        <v>233</v>
      </c>
      <c r="O727" s="22"/>
      <c r="P727" s="22"/>
      <c r="Q727" s="22"/>
      <c r="R727" s="122"/>
      <c r="S727" s="122"/>
      <c r="T727" s="122">
        <v>1.0</v>
      </c>
      <c r="U727" s="22"/>
      <c r="V727" s="22"/>
      <c r="W727" s="22"/>
      <c r="X727" s="22"/>
      <c r="Y727" s="22"/>
      <c r="Z727" s="306" t="s">
        <v>2367</v>
      </c>
      <c r="AA727" s="306"/>
      <c r="AB727" s="306"/>
      <c r="AD727" s="22"/>
      <c r="AE727" s="22"/>
      <c r="AF727" s="22"/>
      <c r="AG727" s="22"/>
      <c r="AH727" s="22"/>
      <c r="AI727" s="22"/>
      <c r="AJ727" s="22"/>
      <c r="AK727" s="22"/>
      <c r="AL727" s="22"/>
      <c r="AM727" s="22"/>
      <c r="AN727" s="22"/>
      <c r="AO727" s="22"/>
      <c r="AP727" s="22"/>
    </row>
    <row r="728" ht="25.5" customHeight="1">
      <c r="A728" s="306">
        <f t="shared" si="3"/>
        <v>727</v>
      </c>
      <c r="B728" s="306" t="s">
        <v>61</v>
      </c>
      <c r="C728" s="39" t="s">
        <v>279</v>
      </c>
      <c r="D728" s="39" t="s">
        <v>515</v>
      </c>
      <c r="E728" s="307"/>
      <c r="F728" s="204" t="s">
        <v>76</v>
      </c>
      <c r="G728" s="204" t="s">
        <v>350</v>
      </c>
      <c r="H728" s="285" t="s">
        <v>2368</v>
      </c>
      <c r="I728" s="285" t="s">
        <v>286</v>
      </c>
      <c r="J728" s="285" t="s">
        <v>2369</v>
      </c>
      <c r="K728" s="310"/>
      <c r="L728" s="307" t="str">
        <f t="shared" si="72"/>
        <v>CALLE 43N 8N30 LA CAMPIÑA CASA DE JAIRO, La campiña, Cali</v>
      </c>
      <c r="M728" s="311" t="s">
        <v>2370</v>
      </c>
      <c r="N728" s="311" t="s">
        <v>233</v>
      </c>
      <c r="O728" s="22"/>
      <c r="P728" s="22"/>
      <c r="Q728" s="22"/>
      <c r="R728" s="122"/>
      <c r="S728" s="122"/>
      <c r="T728" s="122">
        <v>1.0</v>
      </c>
      <c r="U728" s="22"/>
      <c r="V728" s="22"/>
      <c r="W728" s="22"/>
      <c r="X728" s="22"/>
      <c r="Y728" s="22"/>
      <c r="Z728" s="306" t="s">
        <v>2371</v>
      </c>
      <c r="AA728" s="306"/>
      <c r="AB728" s="306"/>
      <c r="AD728" s="22"/>
      <c r="AE728" s="22"/>
      <c r="AF728" s="22"/>
      <c r="AG728" s="22"/>
      <c r="AH728" s="22"/>
      <c r="AI728" s="22"/>
      <c r="AJ728" s="22"/>
      <c r="AK728" s="22"/>
      <c r="AL728" s="22"/>
      <c r="AM728" s="22"/>
      <c r="AN728" s="22"/>
      <c r="AO728" s="22"/>
      <c r="AP728" s="22"/>
    </row>
    <row r="729" ht="25.5" customHeight="1">
      <c r="A729" s="306">
        <f t="shared" si="3"/>
        <v>728</v>
      </c>
      <c r="B729" s="306" t="s">
        <v>61</v>
      </c>
      <c r="C729" s="39" t="s">
        <v>279</v>
      </c>
      <c r="D729" s="39" t="s">
        <v>515</v>
      </c>
      <c r="E729" s="307"/>
      <c r="F729" s="204" t="s">
        <v>70</v>
      </c>
      <c r="G729" s="204" t="s">
        <v>36</v>
      </c>
      <c r="H729" s="285" t="s">
        <v>2372</v>
      </c>
      <c r="I729" s="285" t="s">
        <v>38</v>
      </c>
      <c r="J729" s="285" t="s">
        <v>2373</v>
      </c>
      <c r="K729" s="310"/>
      <c r="L729" s="307" t="str">
        <f t="shared" si="72"/>
        <v>Carrera 53 con calle 12, Santa Anita, Cali</v>
      </c>
      <c r="M729" s="311" t="s">
        <v>2374</v>
      </c>
      <c r="N729" s="311" t="s">
        <v>233</v>
      </c>
      <c r="O729" s="22"/>
      <c r="P729" s="22"/>
      <c r="Q729" s="22"/>
      <c r="R729" s="122"/>
      <c r="S729" s="122"/>
      <c r="T729" s="122">
        <v>1.0</v>
      </c>
      <c r="U729" s="22"/>
      <c r="V729" s="22"/>
      <c r="W729" s="22"/>
      <c r="X729" s="22"/>
      <c r="Y729" s="22"/>
      <c r="Z729" s="306" t="s">
        <v>2375</v>
      </c>
      <c r="AA729" s="306"/>
      <c r="AB729" s="306"/>
      <c r="AD729" s="22"/>
      <c r="AE729" s="22"/>
      <c r="AF729" s="22"/>
      <c r="AG729" s="22"/>
      <c r="AH729" s="22"/>
      <c r="AI729" s="22"/>
      <c r="AJ729" s="22"/>
      <c r="AK729" s="22"/>
      <c r="AL729" s="22"/>
      <c r="AM729" s="22"/>
      <c r="AN729" s="22"/>
      <c r="AO729" s="22"/>
      <c r="AP729" s="22"/>
    </row>
    <row r="730" ht="25.5" customHeight="1">
      <c r="A730" s="312">
        <f t="shared" si="3"/>
        <v>729</v>
      </c>
      <c r="B730" s="312" t="s">
        <v>61</v>
      </c>
      <c r="C730" s="27" t="s">
        <v>279</v>
      </c>
      <c r="D730" s="27" t="s">
        <v>515</v>
      </c>
      <c r="E730" s="334"/>
      <c r="F730" s="30" t="s">
        <v>76</v>
      </c>
      <c r="G730" s="30" t="s">
        <v>350</v>
      </c>
      <c r="H730" s="198" t="s">
        <v>512</v>
      </c>
      <c r="I730" s="198" t="s">
        <v>286</v>
      </c>
      <c r="J730" s="198" t="s">
        <v>2376</v>
      </c>
      <c r="K730" s="336"/>
      <c r="L730" s="307" t="str">
        <f t="shared" si="72"/>
        <v>calle 22 norte 9-87, Versalles, Cali</v>
      </c>
      <c r="M730" s="311" t="s">
        <v>2377</v>
      </c>
      <c r="N730" s="311" t="s">
        <v>233</v>
      </c>
      <c r="O730" s="22"/>
      <c r="P730" s="22"/>
      <c r="Q730" s="22"/>
      <c r="R730" s="122"/>
      <c r="S730" s="122"/>
      <c r="T730" s="122">
        <v>1.0</v>
      </c>
      <c r="U730" s="22"/>
      <c r="V730" s="22"/>
      <c r="W730" s="22"/>
      <c r="X730" s="22"/>
      <c r="Y730" s="22"/>
      <c r="Z730" s="306" t="s">
        <v>2378</v>
      </c>
      <c r="AA730" s="306"/>
      <c r="AB730" s="306"/>
      <c r="AD730" s="22"/>
      <c r="AE730" s="22"/>
      <c r="AF730" s="22"/>
      <c r="AG730" s="22"/>
      <c r="AH730" s="22"/>
      <c r="AI730" s="22"/>
      <c r="AJ730" s="22"/>
      <c r="AK730" s="22"/>
      <c r="AL730" s="22"/>
      <c r="AM730" s="22"/>
      <c r="AN730" s="22"/>
      <c r="AO730" s="22"/>
      <c r="AP730" s="22"/>
    </row>
    <row r="731" ht="25.5" customHeight="1">
      <c r="A731" s="306">
        <f t="shared" si="3"/>
        <v>730</v>
      </c>
      <c r="B731" s="306" t="s">
        <v>307</v>
      </c>
      <c r="C731" s="39" t="s">
        <v>279</v>
      </c>
      <c r="D731" s="39" t="s">
        <v>515</v>
      </c>
      <c r="E731" s="307"/>
      <c r="F731" s="204" t="s">
        <v>35</v>
      </c>
      <c r="G731" s="309" t="s">
        <v>36</v>
      </c>
      <c r="H731" s="285" t="s">
        <v>1396</v>
      </c>
      <c r="I731" s="285" t="s">
        <v>286</v>
      </c>
      <c r="J731" s="285" t="s">
        <v>2379</v>
      </c>
      <c r="K731" s="310"/>
      <c r="L731" s="307" t="str">
        <f t="shared" si="72"/>
        <v>Carrera 43 # 5C-34
 Barrio Tequendama- Fundación Lazzos de Amor, tequendama, Cali</v>
      </c>
      <c r="M731" s="307" t="s">
        <v>2380</v>
      </c>
      <c r="N731" s="307" t="s">
        <v>18</v>
      </c>
      <c r="O731" s="22"/>
      <c r="P731" s="22"/>
      <c r="Q731" s="22"/>
      <c r="R731" s="122"/>
      <c r="S731" s="122">
        <v>1.0</v>
      </c>
      <c r="T731" s="122"/>
      <c r="U731" s="22"/>
      <c r="V731" s="22"/>
      <c r="W731" s="39">
        <v>1.0</v>
      </c>
      <c r="X731" s="22"/>
      <c r="Y731" s="22"/>
      <c r="Z731" s="306" t="s">
        <v>2381</v>
      </c>
      <c r="AA731" s="306"/>
      <c r="AB731" s="306"/>
      <c r="AD731" s="22"/>
      <c r="AE731" s="22"/>
      <c r="AF731" s="22"/>
      <c r="AG731" s="22"/>
      <c r="AH731" s="22"/>
      <c r="AI731" s="22"/>
      <c r="AJ731" s="22"/>
      <c r="AK731" s="22"/>
      <c r="AL731" s="22"/>
      <c r="AM731" s="22"/>
      <c r="AN731" s="22"/>
      <c r="AO731" s="22"/>
      <c r="AP731" s="22"/>
    </row>
    <row r="732" ht="25.5" customHeight="1">
      <c r="A732" s="63">
        <f t="shared" si="3"/>
        <v>731</v>
      </c>
      <c r="B732" s="63" t="s">
        <v>62</v>
      </c>
      <c r="C732" s="65" t="s">
        <v>133</v>
      </c>
      <c r="D732" s="108" t="s">
        <v>515</v>
      </c>
      <c r="E732" s="68" t="s">
        <v>62</v>
      </c>
      <c r="F732" s="70" t="s">
        <v>62</v>
      </c>
      <c r="G732" s="70" t="s">
        <v>62</v>
      </c>
      <c r="H732" s="71" t="s">
        <v>62</v>
      </c>
      <c r="I732" s="71" t="s">
        <v>62</v>
      </c>
      <c r="J732" s="68" t="s">
        <v>62</v>
      </c>
      <c r="K732" s="68" t="s">
        <v>62</v>
      </c>
      <c r="L732" s="68" t="s">
        <v>62</v>
      </c>
      <c r="M732" s="68" t="s">
        <v>62</v>
      </c>
      <c r="N732" s="68" t="s">
        <v>62</v>
      </c>
      <c r="O732" s="68" t="s">
        <v>62</v>
      </c>
      <c r="P732" s="68" t="s">
        <v>62</v>
      </c>
      <c r="Q732" s="68" t="s">
        <v>62</v>
      </c>
      <c r="R732" s="68" t="s">
        <v>62</v>
      </c>
      <c r="S732" s="68"/>
      <c r="T732" s="68" t="s">
        <v>62</v>
      </c>
      <c r="U732" s="68" t="s">
        <v>62</v>
      </c>
      <c r="V732" s="68" t="s">
        <v>62</v>
      </c>
      <c r="W732" s="68" t="s">
        <v>62</v>
      </c>
      <c r="X732" s="68" t="s">
        <v>62</v>
      </c>
      <c r="Y732" s="68" t="s">
        <v>62</v>
      </c>
      <c r="Z732" s="68" t="s">
        <v>62</v>
      </c>
      <c r="AA732" s="68" t="s">
        <v>62</v>
      </c>
      <c r="AB732" s="68" t="s">
        <v>62</v>
      </c>
      <c r="AD732" s="22"/>
      <c r="AE732" s="22"/>
      <c r="AF732" s="22"/>
      <c r="AG732" s="22"/>
      <c r="AH732" s="22"/>
      <c r="AI732" s="22"/>
      <c r="AJ732" s="22"/>
      <c r="AK732" s="22"/>
      <c r="AL732" s="22"/>
      <c r="AM732" s="22"/>
      <c r="AN732" s="22"/>
      <c r="AO732" s="22"/>
      <c r="AP732" s="22"/>
    </row>
    <row r="733" ht="25.5" customHeight="1">
      <c r="A733" s="306">
        <f t="shared" si="3"/>
        <v>732</v>
      </c>
      <c r="B733" s="306" t="s">
        <v>307</v>
      </c>
      <c r="C733" s="39" t="s">
        <v>279</v>
      </c>
      <c r="D733" s="39" t="s">
        <v>515</v>
      </c>
      <c r="E733" s="307"/>
      <c r="F733" s="321" t="s">
        <v>128</v>
      </c>
      <c r="G733" s="309" t="s">
        <v>176</v>
      </c>
      <c r="H733" s="285" t="s">
        <v>263</v>
      </c>
      <c r="I733" s="285" t="s">
        <v>38</v>
      </c>
      <c r="J733" s="304" t="s">
        <v>2382</v>
      </c>
      <c r="K733" s="310"/>
      <c r="L733" s="307" t="str">
        <f t="shared" ref="L733:L736" si="73">CONCATENATE(J733,", ",H733,", Cali")</f>
        <v>Carrera 23D # 13-31, Junin, Cali</v>
      </c>
      <c r="M733" s="307" t="s">
        <v>2383</v>
      </c>
      <c r="N733" s="307" t="s">
        <v>18</v>
      </c>
      <c r="O733" s="22"/>
      <c r="P733" s="22"/>
      <c r="Q733" s="22"/>
      <c r="R733" s="122"/>
      <c r="S733" s="122">
        <v>1.0</v>
      </c>
      <c r="T733" s="122"/>
      <c r="U733" s="22"/>
      <c r="V733" s="22"/>
      <c r="W733" s="22"/>
      <c r="X733" s="22"/>
      <c r="Y733" s="22"/>
      <c r="Z733" s="306" t="s">
        <v>2384</v>
      </c>
      <c r="AA733" s="306"/>
      <c r="AB733" s="306"/>
      <c r="AD733" s="22"/>
      <c r="AE733" s="22"/>
      <c r="AF733" s="22"/>
      <c r="AG733" s="22"/>
      <c r="AH733" s="22"/>
      <c r="AI733" s="22"/>
      <c r="AJ733" s="22"/>
      <c r="AK733" s="22"/>
      <c r="AL733" s="22"/>
      <c r="AM733" s="22"/>
      <c r="AN733" s="22"/>
      <c r="AO733" s="22"/>
      <c r="AP733" s="22"/>
    </row>
    <row r="734" ht="25.5" customHeight="1">
      <c r="A734" s="306">
        <f t="shared" si="3"/>
        <v>733</v>
      </c>
      <c r="B734" s="306" t="s">
        <v>61</v>
      </c>
      <c r="C734" s="39" t="s">
        <v>279</v>
      </c>
      <c r="D734" s="39" t="s">
        <v>515</v>
      </c>
      <c r="E734" s="307"/>
      <c r="F734" s="335" t="s">
        <v>395</v>
      </c>
      <c r="G734" s="309" t="s">
        <v>443</v>
      </c>
      <c r="H734" s="285" t="s">
        <v>395</v>
      </c>
      <c r="I734" s="285" t="s">
        <v>546</v>
      </c>
      <c r="J734" s="304" t="s">
        <v>2385</v>
      </c>
      <c r="K734" s="310"/>
      <c r="L734" s="307" t="str">
        <f t="shared" si="73"/>
        <v>Avenida Los Estudiantes, sector La Escuela – Sede Educativa San Pedro, Montebello, Cali</v>
      </c>
      <c r="M734" s="307" t="s">
        <v>231</v>
      </c>
      <c r="N734" s="307" t="s">
        <v>233</v>
      </c>
      <c r="O734" s="22"/>
      <c r="P734" s="22"/>
      <c r="Q734" s="22"/>
      <c r="R734" s="122"/>
      <c r="S734" s="122"/>
      <c r="T734" s="122">
        <v>1.0</v>
      </c>
      <c r="U734" s="22"/>
      <c r="V734" s="22"/>
      <c r="W734" s="22"/>
      <c r="X734" s="22"/>
      <c r="Y734" s="22"/>
      <c r="Z734" s="306" t="s">
        <v>1346</v>
      </c>
      <c r="AA734" s="306"/>
      <c r="AB734" s="306"/>
      <c r="AD734" s="22"/>
      <c r="AE734" s="22"/>
      <c r="AF734" s="22"/>
      <c r="AG734" s="22"/>
      <c r="AH734" s="22"/>
      <c r="AI734" s="22"/>
      <c r="AJ734" s="22"/>
      <c r="AK734" s="22"/>
      <c r="AL734" s="22"/>
      <c r="AM734" s="22"/>
      <c r="AN734" s="22"/>
      <c r="AO734" s="22"/>
      <c r="AP734" s="22"/>
    </row>
    <row r="735" ht="25.5" customHeight="1">
      <c r="A735" s="306">
        <f t="shared" si="3"/>
        <v>734</v>
      </c>
      <c r="B735" s="306" t="s">
        <v>61</v>
      </c>
      <c r="C735" s="39" t="s">
        <v>279</v>
      </c>
      <c r="D735" s="39" t="s">
        <v>515</v>
      </c>
      <c r="E735" s="307"/>
      <c r="F735" s="335" t="s">
        <v>395</v>
      </c>
      <c r="G735" s="309" t="s">
        <v>443</v>
      </c>
      <c r="H735" s="285" t="s">
        <v>395</v>
      </c>
      <c r="I735" s="285" t="s">
        <v>546</v>
      </c>
      <c r="J735" s="304" t="s">
        <v>2386</v>
      </c>
      <c r="K735" s="310"/>
      <c r="L735" s="307" t="str">
        <f t="shared" si="73"/>
        <v>Vereda Campo Alegre – Institución Educativa Andrés Lenis, Montebello, Cali</v>
      </c>
      <c r="M735" s="307" t="s">
        <v>231</v>
      </c>
      <c r="N735" s="307" t="s">
        <v>233</v>
      </c>
      <c r="O735" s="22"/>
      <c r="P735" s="22"/>
      <c r="Q735" s="22"/>
      <c r="R735" s="122"/>
      <c r="S735" s="122"/>
      <c r="T735" s="122">
        <v>1.0</v>
      </c>
      <c r="U735" s="22"/>
      <c r="V735" s="22"/>
      <c r="W735" s="22"/>
      <c r="X735" s="22"/>
      <c r="Y735" s="22"/>
      <c r="Z735" s="306" t="s">
        <v>1346</v>
      </c>
      <c r="AA735" s="306"/>
      <c r="AB735" s="306"/>
      <c r="AD735" s="22"/>
      <c r="AE735" s="22"/>
      <c r="AF735" s="22"/>
      <c r="AG735" s="22"/>
      <c r="AH735" s="22"/>
      <c r="AI735" s="22"/>
      <c r="AJ735" s="22"/>
      <c r="AK735" s="22"/>
      <c r="AL735" s="22"/>
      <c r="AM735" s="22"/>
      <c r="AN735" s="22"/>
      <c r="AO735" s="22"/>
      <c r="AP735" s="22"/>
    </row>
    <row r="736" ht="25.5" customHeight="1">
      <c r="A736" s="306">
        <f t="shared" si="3"/>
        <v>735</v>
      </c>
      <c r="B736" s="306" t="s">
        <v>61</v>
      </c>
      <c r="C736" s="39" t="s">
        <v>279</v>
      </c>
      <c r="D736" s="39" t="s">
        <v>515</v>
      </c>
      <c r="E736" s="307"/>
      <c r="F736" s="335" t="s">
        <v>277</v>
      </c>
      <c r="G736" s="309" t="s">
        <v>443</v>
      </c>
      <c r="H736" s="285" t="s">
        <v>277</v>
      </c>
      <c r="I736" s="285" t="s">
        <v>286</v>
      </c>
      <c r="J736" s="285" t="s">
        <v>2387</v>
      </c>
      <c r="K736" s="310"/>
      <c r="L736" s="307" t="str">
        <f t="shared" si="73"/>
        <v>Felidia- sin direccion, Felidia, Cali</v>
      </c>
      <c r="M736" s="307" t="s">
        <v>231</v>
      </c>
      <c r="N736" s="307" t="s">
        <v>233</v>
      </c>
      <c r="O736" s="22"/>
      <c r="P736" s="22"/>
      <c r="Q736" s="22"/>
      <c r="R736" s="122"/>
      <c r="S736" s="122"/>
      <c r="T736" s="122">
        <v>1.0</v>
      </c>
      <c r="U736" s="22"/>
      <c r="V736" s="22"/>
      <c r="W736" s="22"/>
      <c r="X736" s="22"/>
      <c r="Y736" s="22"/>
      <c r="Z736" s="306" t="s">
        <v>2388</v>
      </c>
      <c r="AA736" s="306"/>
      <c r="AB736" s="306"/>
      <c r="AD736" s="22"/>
      <c r="AE736" s="22"/>
      <c r="AF736" s="22"/>
      <c r="AG736" s="22"/>
      <c r="AH736" s="22"/>
      <c r="AI736" s="22"/>
      <c r="AJ736" s="22"/>
      <c r="AK736" s="22"/>
      <c r="AL736" s="22"/>
      <c r="AM736" s="22"/>
      <c r="AN736" s="22"/>
      <c r="AO736" s="22"/>
      <c r="AP736" s="22"/>
    </row>
    <row r="737" ht="25.5" customHeight="1">
      <c r="A737" s="63">
        <f t="shared" si="3"/>
        <v>736</v>
      </c>
      <c r="B737" s="63" t="s">
        <v>62</v>
      </c>
      <c r="C737" s="65" t="s">
        <v>133</v>
      </c>
      <c r="D737" s="108" t="s">
        <v>515</v>
      </c>
      <c r="E737" s="68" t="s">
        <v>62</v>
      </c>
      <c r="F737" s="70" t="s">
        <v>62</v>
      </c>
      <c r="G737" s="70" t="s">
        <v>62</v>
      </c>
      <c r="H737" s="71" t="s">
        <v>62</v>
      </c>
      <c r="I737" s="71" t="s">
        <v>62</v>
      </c>
      <c r="J737" s="68" t="s">
        <v>62</v>
      </c>
      <c r="K737" s="68" t="s">
        <v>62</v>
      </c>
      <c r="L737" s="68" t="s">
        <v>62</v>
      </c>
      <c r="M737" s="68" t="s">
        <v>62</v>
      </c>
      <c r="N737" s="68" t="s">
        <v>62</v>
      </c>
      <c r="O737" s="68" t="s">
        <v>62</v>
      </c>
      <c r="P737" s="68" t="s">
        <v>62</v>
      </c>
      <c r="Q737" s="68" t="s">
        <v>62</v>
      </c>
      <c r="R737" s="68" t="s">
        <v>62</v>
      </c>
      <c r="S737" s="68"/>
      <c r="T737" s="68" t="s">
        <v>62</v>
      </c>
      <c r="U737" s="68" t="s">
        <v>62</v>
      </c>
      <c r="V737" s="68" t="s">
        <v>62</v>
      </c>
      <c r="W737" s="68" t="s">
        <v>62</v>
      </c>
      <c r="X737" s="68" t="s">
        <v>62</v>
      </c>
      <c r="Y737" s="68" t="s">
        <v>62</v>
      </c>
      <c r="Z737" s="68" t="s">
        <v>62</v>
      </c>
      <c r="AA737" s="68" t="s">
        <v>62</v>
      </c>
      <c r="AB737" s="68" t="s">
        <v>62</v>
      </c>
      <c r="AD737" s="22"/>
      <c r="AE737" s="22"/>
      <c r="AF737" s="22"/>
      <c r="AG737" s="22"/>
      <c r="AH737" s="22"/>
      <c r="AI737" s="22"/>
      <c r="AJ737" s="22"/>
      <c r="AK737" s="22"/>
      <c r="AL737" s="22"/>
      <c r="AM737" s="22"/>
      <c r="AN737" s="22"/>
      <c r="AO737" s="22"/>
      <c r="AP737" s="22"/>
    </row>
    <row r="738" ht="25.5" customHeight="1">
      <c r="A738" s="63">
        <f t="shared" si="3"/>
        <v>737</v>
      </c>
      <c r="B738" s="63" t="s">
        <v>62</v>
      </c>
      <c r="C738" s="65" t="s">
        <v>133</v>
      </c>
      <c r="D738" s="108" t="s">
        <v>515</v>
      </c>
      <c r="E738" s="68" t="s">
        <v>62</v>
      </c>
      <c r="F738" s="70" t="s">
        <v>62</v>
      </c>
      <c r="G738" s="70" t="s">
        <v>62</v>
      </c>
      <c r="H738" s="71" t="s">
        <v>62</v>
      </c>
      <c r="I738" s="71" t="s">
        <v>62</v>
      </c>
      <c r="J738" s="68" t="s">
        <v>62</v>
      </c>
      <c r="K738" s="68" t="s">
        <v>62</v>
      </c>
      <c r="L738" s="68" t="s">
        <v>62</v>
      </c>
      <c r="M738" s="68" t="s">
        <v>62</v>
      </c>
      <c r="N738" s="68" t="s">
        <v>62</v>
      </c>
      <c r="O738" s="68" t="s">
        <v>62</v>
      </c>
      <c r="P738" s="68" t="s">
        <v>62</v>
      </c>
      <c r="Q738" s="68" t="s">
        <v>62</v>
      </c>
      <c r="R738" s="68" t="s">
        <v>62</v>
      </c>
      <c r="S738" s="68"/>
      <c r="T738" s="68" t="s">
        <v>62</v>
      </c>
      <c r="U738" s="68" t="s">
        <v>62</v>
      </c>
      <c r="V738" s="68" t="s">
        <v>62</v>
      </c>
      <c r="W738" s="68" t="s">
        <v>62</v>
      </c>
      <c r="X738" s="68" t="s">
        <v>62</v>
      </c>
      <c r="Y738" s="68" t="s">
        <v>62</v>
      </c>
      <c r="Z738" s="68" t="s">
        <v>62</v>
      </c>
      <c r="AA738" s="68" t="s">
        <v>62</v>
      </c>
      <c r="AB738" s="68" t="s">
        <v>62</v>
      </c>
      <c r="AD738" s="22"/>
      <c r="AE738" s="22"/>
      <c r="AF738" s="22"/>
      <c r="AG738" s="22"/>
      <c r="AH738" s="22"/>
      <c r="AI738" s="22"/>
      <c r="AJ738" s="22"/>
      <c r="AK738" s="22"/>
      <c r="AL738" s="22"/>
      <c r="AM738" s="22"/>
      <c r="AN738" s="22"/>
      <c r="AO738" s="22"/>
      <c r="AP738" s="22"/>
    </row>
    <row r="739" ht="25.5" customHeight="1">
      <c r="A739" s="63">
        <f t="shared" si="3"/>
        <v>738</v>
      </c>
      <c r="B739" s="63" t="s">
        <v>62</v>
      </c>
      <c r="C739" s="65" t="s">
        <v>133</v>
      </c>
      <c r="D739" s="108" t="s">
        <v>515</v>
      </c>
      <c r="E739" s="68" t="s">
        <v>62</v>
      </c>
      <c r="F739" s="70" t="s">
        <v>62</v>
      </c>
      <c r="G739" s="70" t="s">
        <v>62</v>
      </c>
      <c r="H739" s="71" t="s">
        <v>62</v>
      </c>
      <c r="I739" s="71" t="s">
        <v>62</v>
      </c>
      <c r="J739" s="68" t="s">
        <v>62</v>
      </c>
      <c r="K739" s="68" t="s">
        <v>62</v>
      </c>
      <c r="L739" s="68" t="s">
        <v>62</v>
      </c>
      <c r="M739" s="68" t="s">
        <v>62</v>
      </c>
      <c r="N739" s="68" t="s">
        <v>62</v>
      </c>
      <c r="O739" s="68" t="s">
        <v>62</v>
      </c>
      <c r="P739" s="68" t="s">
        <v>62</v>
      </c>
      <c r="Q739" s="68" t="s">
        <v>62</v>
      </c>
      <c r="R739" s="68" t="s">
        <v>62</v>
      </c>
      <c r="S739" s="68"/>
      <c r="T739" s="68" t="s">
        <v>62</v>
      </c>
      <c r="U739" s="68" t="s">
        <v>62</v>
      </c>
      <c r="V739" s="68" t="s">
        <v>62</v>
      </c>
      <c r="W739" s="68" t="s">
        <v>62</v>
      </c>
      <c r="X739" s="68" t="s">
        <v>62</v>
      </c>
      <c r="Y739" s="68" t="s">
        <v>62</v>
      </c>
      <c r="Z739" s="68" t="s">
        <v>62</v>
      </c>
      <c r="AA739" s="68" t="s">
        <v>62</v>
      </c>
      <c r="AB739" s="68" t="s">
        <v>62</v>
      </c>
      <c r="AD739" s="22"/>
      <c r="AE739" s="22"/>
      <c r="AF739" s="22"/>
      <c r="AG739" s="22"/>
      <c r="AH739" s="22"/>
      <c r="AI739" s="22"/>
      <c r="AJ739" s="22"/>
      <c r="AK739" s="22"/>
      <c r="AL739" s="22"/>
      <c r="AM739" s="22"/>
      <c r="AN739" s="22"/>
      <c r="AO739" s="22"/>
      <c r="AP739" s="22"/>
    </row>
    <row r="740" ht="25.5" customHeight="1">
      <c r="A740" s="306">
        <f t="shared" si="3"/>
        <v>739</v>
      </c>
      <c r="B740" s="306" t="s">
        <v>61</v>
      </c>
      <c r="C740" s="39" t="s">
        <v>279</v>
      </c>
      <c r="D740" s="39" t="s">
        <v>515</v>
      </c>
      <c r="E740" s="307"/>
      <c r="F740" s="314" t="s">
        <v>60</v>
      </c>
      <c r="G740" s="309" t="s">
        <v>36</v>
      </c>
      <c r="H740" s="285" t="s">
        <v>1738</v>
      </c>
      <c r="I740" s="285" t="s">
        <v>38</v>
      </c>
      <c r="J740" s="285" t="s">
        <v>2389</v>
      </c>
      <c r="K740" s="310"/>
      <c r="L740" s="307" t="str">
        <f t="shared" ref="L740:L746" si="74">CONCATENATE(J740,", ",H740,", Cali")</f>
        <v>Carrera 72a #13a-80, quintas de don simon, Cali</v>
      </c>
      <c r="M740" s="311" t="s">
        <v>2390</v>
      </c>
      <c r="N740" s="311" t="s">
        <v>233</v>
      </c>
      <c r="O740" s="22"/>
      <c r="P740" s="22"/>
      <c r="Q740" s="22"/>
      <c r="R740" s="122"/>
      <c r="S740" s="122"/>
      <c r="T740" s="122">
        <v>1.0</v>
      </c>
      <c r="U740" s="22"/>
      <c r="V740" s="22"/>
      <c r="W740" s="22"/>
      <c r="X740" s="22"/>
      <c r="Y740" s="22"/>
      <c r="Z740" s="306" t="s">
        <v>2391</v>
      </c>
      <c r="AA740" s="306"/>
      <c r="AB740" s="306"/>
      <c r="AD740" s="22"/>
      <c r="AE740" s="22"/>
      <c r="AF740" s="22"/>
      <c r="AG740" s="22"/>
      <c r="AH740" s="22"/>
      <c r="AI740" s="22"/>
      <c r="AJ740" s="22"/>
      <c r="AK740" s="22"/>
      <c r="AL740" s="22"/>
      <c r="AM740" s="22"/>
      <c r="AN740" s="22"/>
      <c r="AO740" s="22"/>
      <c r="AP740" s="22"/>
    </row>
    <row r="741" ht="25.5" customHeight="1">
      <c r="A741" s="306">
        <f t="shared" si="3"/>
        <v>740</v>
      </c>
      <c r="B741" s="306" t="s">
        <v>61</v>
      </c>
      <c r="C741" s="39" t="s">
        <v>279</v>
      </c>
      <c r="D741" s="39" t="s">
        <v>515</v>
      </c>
      <c r="E741" s="307"/>
      <c r="F741" s="204" t="s">
        <v>35</v>
      </c>
      <c r="G741" s="309" t="s">
        <v>36</v>
      </c>
      <c r="H741" s="285" t="s">
        <v>1316</v>
      </c>
      <c r="I741" s="285" t="s">
        <v>38</v>
      </c>
      <c r="J741" s="285" t="s">
        <v>2392</v>
      </c>
      <c r="K741" s="310"/>
      <c r="L741" s="307" t="str">
        <f t="shared" si="74"/>
        <v>Calle 5b1 #29-17, san fernando, Cali</v>
      </c>
      <c r="M741" s="307" t="s">
        <v>231</v>
      </c>
      <c r="N741" s="307" t="s">
        <v>233</v>
      </c>
      <c r="O741" s="22"/>
      <c r="P741" s="22"/>
      <c r="Q741" s="22"/>
      <c r="R741" s="122"/>
      <c r="S741" s="122"/>
      <c r="T741" s="122">
        <v>1.0</v>
      </c>
      <c r="U741" s="22"/>
      <c r="V741" s="22"/>
      <c r="W741" s="22"/>
      <c r="X741" s="22"/>
      <c r="Y741" s="22"/>
      <c r="Z741" s="306" t="s">
        <v>2393</v>
      </c>
      <c r="AA741" s="306"/>
      <c r="AB741" s="306"/>
      <c r="AD741" s="22"/>
      <c r="AE741" s="22"/>
      <c r="AF741" s="22"/>
      <c r="AG741" s="22"/>
      <c r="AH741" s="22"/>
      <c r="AI741" s="22"/>
      <c r="AJ741" s="22"/>
      <c r="AK741" s="22"/>
      <c r="AL741" s="22"/>
      <c r="AM741" s="22"/>
      <c r="AN741" s="22"/>
      <c r="AO741" s="22"/>
      <c r="AP741" s="22"/>
    </row>
    <row r="742" ht="25.5" customHeight="1">
      <c r="A742" s="306">
        <f t="shared" si="3"/>
        <v>741</v>
      </c>
      <c r="B742" s="306" t="s">
        <v>61</v>
      </c>
      <c r="C742" s="39" t="s">
        <v>279</v>
      </c>
      <c r="D742" s="39" t="s">
        <v>515</v>
      </c>
      <c r="E742" s="307"/>
      <c r="F742" s="204" t="s">
        <v>116</v>
      </c>
      <c r="G742" s="204" t="s">
        <v>350</v>
      </c>
      <c r="H742" s="285" t="s">
        <v>509</v>
      </c>
      <c r="I742" s="285" t="s">
        <v>338</v>
      </c>
      <c r="J742" s="285" t="s">
        <v>2394</v>
      </c>
      <c r="K742" s="308" t="s">
        <v>2394</v>
      </c>
      <c r="L742" s="306" t="str">
        <f t="shared" si="74"/>
        <v>parroquia nuestra señora de los andes- Validar, Los Andes, Cali</v>
      </c>
      <c r="M742" s="306" t="s">
        <v>231</v>
      </c>
      <c r="N742" s="306" t="s">
        <v>233</v>
      </c>
      <c r="O742" s="22"/>
      <c r="P742" s="22"/>
      <c r="Q742" s="22"/>
      <c r="R742" s="122"/>
      <c r="S742" s="122"/>
      <c r="T742" s="122">
        <v>1.0</v>
      </c>
      <c r="U742" s="22"/>
      <c r="V742" s="22"/>
      <c r="W742" s="22"/>
      <c r="X742" s="22"/>
      <c r="Y742" s="22"/>
      <c r="Z742" s="306" t="s">
        <v>1441</v>
      </c>
      <c r="AA742" s="306"/>
      <c r="AB742" s="306"/>
      <c r="AD742" s="22"/>
      <c r="AE742" s="22"/>
      <c r="AF742" s="22"/>
      <c r="AG742" s="22"/>
      <c r="AH742" s="22"/>
      <c r="AI742" s="22"/>
      <c r="AJ742" s="22"/>
      <c r="AK742" s="22"/>
      <c r="AL742" s="22"/>
      <c r="AM742" s="22"/>
      <c r="AN742" s="22"/>
      <c r="AO742" s="22"/>
      <c r="AP742" s="22"/>
    </row>
    <row r="743" ht="25.5" customHeight="1">
      <c r="A743" s="312">
        <f t="shared" si="3"/>
        <v>742</v>
      </c>
      <c r="B743" s="312" t="s">
        <v>61</v>
      </c>
      <c r="C743" s="27" t="s">
        <v>279</v>
      </c>
      <c r="D743" s="27" t="s">
        <v>515</v>
      </c>
      <c r="E743" s="334"/>
      <c r="F743" s="30" t="s">
        <v>76</v>
      </c>
      <c r="G743" s="30" t="s">
        <v>350</v>
      </c>
      <c r="H743" s="198" t="s">
        <v>475</v>
      </c>
      <c r="I743" s="198" t="s">
        <v>38</v>
      </c>
      <c r="J743" s="198" t="s">
        <v>2395</v>
      </c>
      <c r="K743" s="336"/>
      <c r="L743" s="307" t="str">
        <f t="shared" si="74"/>
        <v>Calle 23n #6an-17 antigu ed- dinners, santa monica, Cali</v>
      </c>
      <c r="M743" s="307" t="s">
        <v>231</v>
      </c>
      <c r="N743" s="307" t="s">
        <v>233</v>
      </c>
      <c r="O743" s="22"/>
      <c r="P743" s="22"/>
      <c r="Q743" s="22"/>
      <c r="R743" s="122"/>
      <c r="S743" s="122"/>
      <c r="T743" s="122">
        <v>1.0</v>
      </c>
      <c r="U743" s="22"/>
      <c r="V743" s="22"/>
      <c r="W743" s="22"/>
      <c r="X743" s="22"/>
      <c r="Y743" s="22"/>
      <c r="Z743" s="306" t="s">
        <v>1463</v>
      </c>
      <c r="AA743" s="306"/>
      <c r="AB743" s="306"/>
      <c r="AD743" s="22"/>
      <c r="AE743" s="22"/>
      <c r="AF743" s="22"/>
      <c r="AG743" s="22"/>
      <c r="AH743" s="22"/>
      <c r="AI743" s="22"/>
      <c r="AJ743" s="22"/>
      <c r="AK743" s="22"/>
      <c r="AL743" s="22"/>
      <c r="AM743" s="22"/>
      <c r="AN743" s="22"/>
      <c r="AO743" s="22"/>
      <c r="AP743" s="22"/>
    </row>
    <row r="744" ht="25.5" customHeight="1">
      <c r="A744" s="312">
        <f t="shared" si="3"/>
        <v>743</v>
      </c>
      <c r="B744" s="312" t="s">
        <v>61</v>
      </c>
      <c r="C744" s="27" t="s">
        <v>279</v>
      </c>
      <c r="D744" s="27" t="s">
        <v>515</v>
      </c>
      <c r="E744" s="334"/>
      <c r="F744" s="30" t="s">
        <v>76</v>
      </c>
      <c r="G744" s="30" t="s">
        <v>350</v>
      </c>
      <c r="H744" s="198" t="s">
        <v>1424</v>
      </c>
      <c r="I744" s="198" t="s">
        <v>38</v>
      </c>
      <c r="J744" s="198" t="s">
        <v>2396</v>
      </c>
      <c r="K744" s="310"/>
      <c r="L744" s="307" t="str">
        <f t="shared" si="74"/>
        <v>Avenida 3n #23bn-43 Ed. España, san vicente, Cali</v>
      </c>
      <c r="M744" s="337" t="s">
        <v>2397</v>
      </c>
      <c r="N744" s="337" t="s">
        <v>233</v>
      </c>
      <c r="O744" s="22"/>
      <c r="P744" s="22"/>
      <c r="Q744" s="22"/>
      <c r="R744" s="122"/>
      <c r="S744" s="122"/>
      <c r="T744" s="122">
        <v>1.0</v>
      </c>
      <c r="U744" s="22"/>
      <c r="V744" s="22"/>
      <c r="W744" s="22"/>
      <c r="X744" s="22"/>
      <c r="Y744" s="22"/>
      <c r="Z744" s="306" t="s">
        <v>1467</v>
      </c>
      <c r="AA744" s="306"/>
      <c r="AB744" s="306"/>
      <c r="AD744" s="22"/>
      <c r="AE744" s="22"/>
      <c r="AF744" s="22"/>
      <c r="AG744" s="22"/>
      <c r="AH744" s="22"/>
      <c r="AI744" s="22"/>
      <c r="AJ744" s="22"/>
      <c r="AK744" s="22"/>
      <c r="AL744" s="22"/>
      <c r="AM744" s="22"/>
      <c r="AN744" s="22"/>
      <c r="AO744" s="22"/>
      <c r="AP744" s="22"/>
    </row>
    <row r="745" ht="25.5" customHeight="1">
      <c r="A745" s="306">
        <f t="shared" si="3"/>
        <v>744</v>
      </c>
      <c r="B745" s="306" t="s">
        <v>61</v>
      </c>
      <c r="C745" s="39" t="s">
        <v>279</v>
      </c>
      <c r="D745" s="39" t="s">
        <v>515</v>
      </c>
      <c r="E745" s="307"/>
      <c r="F745" s="204" t="s">
        <v>87</v>
      </c>
      <c r="G745" s="309" t="s">
        <v>36</v>
      </c>
      <c r="H745" s="285" t="s">
        <v>2398</v>
      </c>
      <c r="I745" s="285" t="s">
        <v>286</v>
      </c>
      <c r="J745" s="285" t="s">
        <v>2399</v>
      </c>
      <c r="K745" s="310"/>
      <c r="L745" s="307" t="str">
        <f t="shared" si="74"/>
        <v>Carrera 94 #2-20, jordan, Cali</v>
      </c>
      <c r="M745" s="337" t="s">
        <v>2400</v>
      </c>
      <c r="N745" s="337" t="s">
        <v>233</v>
      </c>
      <c r="O745" s="22"/>
      <c r="P745" s="22"/>
      <c r="Q745" s="22"/>
      <c r="R745" s="122"/>
      <c r="S745" s="122"/>
      <c r="T745" s="122">
        <v>1.0</v>
      </c>
      <c r="U745" s="22"/>
      <c r="V745" s="22"/>
      <c r="W745" s="22"/>
      <c r="X745" s="22"/>
      <c r="Y745" s="22"/>
      <c r="Z745" s="306" t="s">
        <v>2401</v>
      </c>
      <c r="AA745" s="306"/>
      <c r="AB745" s="306"/>
      <c r="AD745" s="22"/>
      <c r="AE745" s="22"/>
      <c r="AF745" s="22"/>
      <c r="AG745" s="22"/>
      <c r="AH745" s="22"/>
      <c r="AI745" s="22"/>
      <c r="AJ745" s="22"/>
      <c r="AK745" s="22"/>
      <c r="AL745" s="22"/>
      <c r="AM745" s="22"/>
      <c r="AN745" s="22"/>
      <c r="AO745" s="22"/>
      <c r="AP745" s="22"/>
    </row>
    <row r="746" ht="25.5" customHeight="1">
      <c r="A746" s="312">
        <f t="shared" si="3"/>
        <v>745</v>
      </c>
      <c r="B746" s="312" t="s">
        <v>61</v>
      </c>
      <c r="C746" s="27" t="s">
        <v>279</v>
      </c>
      <c r="D746" s="27" t="s">
        <v>515</v>
      </c>
      <c r="E746" s="334"/>
      <c r="F746" s="30" t="s">
        <v>76</v>
      </c>
      <c r="G746" s="30" t="s">
        <v>350</v>
      </c>
      <c r="H746" s="198" t="s">
        <v>1095</v>
      </c>
      <c r="I746" s="198" t="s">
        <v>38</v>
      </c>
      <c r="J746" s="198" t="s">
        <v>2402</v>
      </c>
      <c r="K746" s="336"/>
      <c r="L746" s="307" t="str">
        <f t="shared" si="74"/>
        <v>Calle 48n #4bn-42 Ed. petriza, la flora, Cali</v>
      </c>
      <c r="M746" s="307" t="s">
        <v>231</v>
      </c>
      <c r="N746" s="307" t="s">
        <v>233</v>
      </c>
      <c r="O746" s="22"/>
      <c r="P746" s="22"/>
      <c r="Q746" s="22"/>
      <c r="R746" s="122"/>
      <c r="S746" s="122"/>
      <c r="T746" s="122">
        <v>1.0</v>
      </c>
      <c r="U746" s="22"/>
      <c r="V746" s="22"/>
      <c r="W746" s="22"/>
      <c r="X746" s="22"/>
      <c r="Y746" s="22"/>
      <c r="Z746" s="306" t="s">
        <v>1494</v>
      </c>
      <c r="AA746" s="306"/>
      <c r="AB746" s="306"/>
      <c r="AD746" s="22"/>
      <c r="AE746" s="22"/>
      <c r="AF746" s="22"/>
      <c r="AG746" s="22"/>
      <c r="AH746" s="22"/>
      <c r="AI746" s="22"/>
      <c r="AJ746" s="22"/>
      <c r="AK746" s="22"/>
      <c r="AL746" s="22"/>
      <c r="AM746" s="22"/>
      <c r="AN746" s="22"/>
      <c r="AO746" s="22"/>
      <c r="AP746" s="22"/>
    </row>
    <row r="747" ht="25.5" customHeight="1">
      <c r="A747" s="43">
        <f t="shared" si="3"/>
        <v>746</v>
      </c>
      <c r="B747" s="43" t="s">
        <v>62</v>
      </c>
      <c r="C747" s="44" t="s">
        <v>133</v>
      </c>
      <c r="D747" s="44" t="s">
        <v>136</v>
      </c>
      <c r="E747" s="43" t="s">
        <v>62</v>
      </c>
      <c r="F747" s="43" t="s">
        <v>62</v>
      </c>
      <c r="G747" s="43" t="s">
        <v>62</v>
      </c>
      <c r="H747" s="43" t="s">
        <v>62</v>
      </c>
      <c r="I747" s="43" t="s">
        <v>62</v>
      </c>
      <c r="J747" s="43" t="s">
        <v>62</v>
      </c>
      <c r="K747" s="43" t="s">
        <v>62</v>
      </c>
      <c r="L747" s="43" t="s">
        <v>62</v>
      </c>
      <c r="M747" s="43" t="s">
        <v>62</v>
      </c>
      <c r="N747" s="43" t="s">
        <v>62</v>
      </c>
      <c r="O747" s="43" t="s">
        <v>62</v>
      </c>
      <c r="P747" s="43" t="s">
        <v>62</v>
      </c>
      <c r="Q747" s="43" t="s">
        <v>62</v>
      </c>
      <c r="R747" s="43" t="s">
        <v>62</v>
      </c>
      <c r="S747" s="43"/>
      <c r="T747" s="43" t="s">
        <v>62</v>
      </c>
      <c r="U747" s="43" t="s">
        <v>62</v>
      </c>
      <c r="V747" s="43" t="s">
        <v>62</v>
      </c>
      <c r="W747" s="43" t="s">
        <v>62</v>
      </c>
      <c r="X747" s="43" t="s">
        <v>62</v>
      </c>
      <c r="Y747" s="43" t="s">
        <v>62</v>
      </c>
      <c r="Z747" s="43" t="s">
        <v>62</v>
      </c>
      <c r="AA747" s="43" t="s">
        <v>62</v>
      </c>
      <c r="AB747" s="43" t="s">
        <v>62</v>
      </c>
      <c r="AD747" s="22"/>
      <c r="AE747" s="22"/>
      <c r="AF747" s="22"/>
      <c r="AG747" s="22"/>
      <c r="AH747" s="22"/>
      <c r="AI747" s="22"/>
      <c r="AJ747" s="22"/>
      <c r="AK747" s="22"/>
      <c r="AL747" s="22"/>
      <c r="AM747" s="22"/>
      <c r="AN747" s="22"/>
      <c r="AO747" s="22"/>
      <c r="AP747" s="22"/>
    </row>
    <row r="748" ht="25.5" customHeight="1">
      <c r="A748" s="43">
        <f t="shared" si="3"/>
        <v>747</v>
      </c>
      <c r="B748" s="43" t="s">
        <v>62</v>
      </c>
      <c r="C748" s="44" t="s">
        <v>133</v>
      </c>
      <c r="D748" s="44" t="s">
        <v>136</v>
      </c>
      <c r="E748" s="43" t="s">
        <v>62</v>
      </c>
      <c r="F748" s="43" t="s">
        <v>62</v>
      </c>
      <c r="G748" s="43" t="s">
        <v>62</v>
      </c>
      <c r="H748" s="43" t="s">
        <v>62</v>
      </c>
      <c r="I748" s="43" t="s">
        <v>62</v>
      </c>
      <c r="J748" s="43" t="s">
        <v>62</v>
      </c>
      <c r="K748" s="43" t="s">
        <v>62</v>
      </c>
      <c r="L748" s="43" t="s">
        <v>62</v>
      </c>
      <c r="M748" s="43" t="s">
        <v>62</v>
      </c>
      <c r="N748" s="43" t="s">
        <v>62</v>
      </c>
      <c r="O748" s="43" t="s">
        <v>62</v>
      </c>
      <c r="P748" s="43" t="s">
        <v>62</v>
      </c>
      <c r="Q748" s="43" t="s">
        <v>62</v>
      </c>
      <c r="R748" s="43" t="s">
        <v>62</v>
      </c>
      <c r="S748" s="43"/>
      <c r="T748" s="43" t="s">
        <v>62</v>
      </c>
      <c r="U748" s="43" t="s">
        <v>62</v>
      </c>
      <c r="V748" s="43" t="s">
        <v>62</v>
      </c>
      <c r="W748" s="43" t="s">
        <v>62</v>
      </c>
      <c r="X748" s="43" t="s">
        <v>62</v>
      </c>
      <c r="Y748" s="43" t="s">
        <v>62</v>
      </c>
      <c r="Z748" s="43" t="s">
        <v>62</v>
      </c>
      <c r="AA748" s="43" t="s">
        <v>62</v>
      </c>
      <c r="AB748" s="43" t="s">
        <v>62</v>
      </c>
      <c r="AD748" s="22"/>
      <c r="AE748" s="22"/>
      <c r="AF748" s="22"/>
      <c r="AG748" s="22"/>
      <c r="AH748" s="22"/>
      <c r="AI748" s="22"/>
      <c r="AJ748" s="22"/>
      <c r="AK748" s="22"/>
      <c r="AL748" s="22"/>
      <c r="AM748" s="22"/>
      <c r="AN748" s="22"/>
      <c r="AO748" s="22"/>
      <c r="AP748" s="22"/>
    </row>
    <row r="749" ht="25.5" customHeight="1">
      <c r="A749" s="306">
        <f t="shared" si="3"/>
        <v>748</v>
      </c>
      <c r="B749" s="306" t="s">
        <v>61</v>
      </c>
      <c r="C749" s="39" t="s">
        <v>279</v>
      </c>
      <c r="D749" s="39" t="s">
        <v>515</v>
      </c>
      <c r="E749" s="307"/>
      <c r="F749" s="204" t="s">
        <v>35</v>
      </c>
      <c r="G749" s="309" t="s">
        <v>36</v>
      </c>
      <c r="H749" s="285" t="s">
        <v>356</v>
      </c>
      <c r="I749" s="285" t="s">
        <v>38</v>
      </c>
      <c r="J749" s="285" t="s">
        <v>2403</v>
      </c>
      <c r="K749" s="310"/>
      <c r="L749" s="307" t="str">
        <f>CONCATENATE(J749,", ",H749,", Cali")</f>
        <v>Carrera 2 #59B, esquina, Los amendros, Cali</v>
      </c>
      <c r="M749" s="307" t="s">
        <v>231</v>
      </c>
      <c r="N749" s="307" t="s">
        <v>233</v>
      </c>
      <c r="O749" s="22"/>
      <c r="P749" s="22"/>
      <c r="Q749" s="22"/>
      <c r="R749" s="122"/>
      <c r="S749" s="122"/>
      <c r="T749" s="122">
        <v>1.0</v>
      </c>
      <c r="U749" s="22"/>
      <c r="V749" s="22"/>
      <c r="W749" s="22"/>
      <c r="X749" s="22"/>
      <c r="Y749" s="22"/>
      <c r="Z749" s="306" t="s">
        <v>1566</v>
      </c>
      <c r="AA749" s="306"/>
      <c r="AB749" s="306"/>
      <c r="AD749" s="22"/>
      <c r="AE749" s="22"/>
      <c r="AF749" s="22"/>
      <c r="AG749" s="22"/>
      <c r="AH749" s="22"/>
      <c r="AI749" s="22"/>
      <c r="AJ749" s="22"/>
      <c r="AK749" s="22"/>
      <c r="AL749" s="22"/>
      <c r="AM749" s="22"/>
      <c r="AN749" s="22"/>
      <c r="AO749" s="22"/>
      <c r="AP749" s="22"/>
    </row>
    <row r="750" ht="25.5" customHeight="1">
      <c r="A750" s="43">
        <f t="shared" si="3"/>
        <v>749</v>
      </c>
      <c r="B750" s="43" t="s">
        <v>62</v>
      </c>
      <c r="C750" s="44" t="s">
        <v>133</v>
      </c>
      <c r="D750" s="44" t="s">
        <v>136</v>
      </c>
      <c r="E750" s="43" t="s">
        <v>62</v>
      </c>
      <c r="F750" s="43" t="s">
        <v>62</v>
      </c>
      <c r="G750" s="43" t="s">
        <v>62</v>
      </c>
      <c r="H750" s="43" t="s">
        <v>62</v>
      </c>
      <c r="I750" s="43" t="s">
        <v>62</v>
      </c>
      <c r="J750" s="43" t="s">
        <v>62</v>
      </c>
      <c r="K750" s="43" t="s">
        <v>62</v>
      </c>
      <c r="L750" s="43" t="s">
        <v>62</v>
      </c>
      <c r="M750" s="43" t="s">
        <v>62</v>
      </c>
      <c r="N750" s="43" t="s">
        <v>62</v>
      </c>
      <c r="O750" s="43" t="s">
        <v>62</v>
      </c>
      <c r="P750" s="43" t="s">
        <v>62</v>
      </c>
      <c r="Q750" s="43" t="s">
        <v>62</v>
      </c>
      <c r="R750" s="43" t="s">
        <v>62</v>
      </c>
      <c r="S750" s="43"/>
      <c r="T750" s="43" t="s">
        <v>62</v>
      </c>
      <c r="U750" s="43" t="s">
        <v>62</v>
      </c>
      <c r="V750" s="43" t="s">
        <v>62</v>
      </c>
      <c r="W750" s="43" t="s">
        <v>62</v>
      </c>
      <c r="X750" s="43" t="s">
        <v>62</v>
      </c>
      <c r="Y750" s="43" t="s">
        <v>62</v>
      </c>
      <c r="Z750" s="43" t="s">
        <v>62</v>
      </c>
      <c r="AA750" s="43" t="s">
        <v>62</v>
      </c>
      <c r="AB750" s="43" t="s">
        <v>62</v>
      </c>
      <c r="AD750" s="22"/>
      <c r="AE750" s="22"/>
      <c r="AF750" s="22"/>
      <c r="AG750" s="22"/>
      <c r="AH750" s="22"/>
      <c r="AI750" s="22"/>
      <c r="AJ750" s="22"/>
      <c r="AK750" s="22"/>
      <c r="AL750" s="22"/>
      <c r="AM750" s="22"/>
      <c r="AN750" s="22"/>
      <c r="AO750" s="22"/>
      <c r="AP750" s="22"/>
    </row>
    <row r="751" ht="25.5" customHeight="1">
      <c r="A751" s="43">
        <f t="shared" si="3"/>
        <v>750</v>
      </c>
      <c r="B751" s="43" t="s">
        <v>62</v>
      </c>
      <c r="C751" s="44" t="s">
        <v>133</v>
      </c>
      <c r="D751" s="44" t="s">
        <v>136</v>
      </c>
      <c r="E751" s="43" t="s">
        <v>62</v>
      </c>
      <c r="F751" s="43" t="s">
        <v>62</v>
      </c>
      <c r="G751" s="43" t="s">
        <v>62</v>
      </c>
      <c r="H751" s="43" t="s">
        <v>62</v>
      </c>
      <c r="I751" s="43" t="s">
        <v>62</v>
      </c>
      <c r="J751" s="43" t="s">
        <v>62</v>
      </c>
      <c r="K751" s="43" t="s">
        <v>62</v>
      </c>
      <c r="L751" s="43" t="s">
        <v>62</v>
      </c>
      <c r="M751" s="43" t="s">
        <v>62</v>
      </c>
      <c r="N751" s="43" t="s">
        <v>62</v>
      </c>
      <c r="O751" s="43" t="s">
        <v>62</v>
      </c>
      <c r="P751" s="43" t="s">
        <v>62</v>
      </c>
      <c r="Q751" s="43" t="s">
        <v>62</v>
      </c>
      <c r="R751" s="43" t="s">
        <v>62</v>
      </c>
      <c r="S751" s="43"/>
      <c r="T751" s="43" t="s">
        <v>62</v>
      </c>
      <c r="U751" s="43" t="s">
        <v>62</v>
      </c>
      <c r="V751" s="43" t="s">
        <v>62</v>
      </c>
      <c r="W751" s="43" t="s">
        <v>62</v>
      </c>
      <c r="X751" s="43" t="s">
        <v>62</v>
      </c>
      <c r="Y751" s="43" t="s">
        <v>62</v>
      </c>
      <c r="Z751" s="43" t="s">
        <v>62</v>
      </c>
      <c r="AA751" s="43" t="s">
        <v>62</v>
      </c>
      <c r="AB751" s="43" t="s">
        <v>62</v>
      </c>
      <c r="AD751" s="22"/>
      <c r="AE751" s="22"/>
      <c r="AF751" s="22"/>
      <c r="AG751" s="22"/>
      <c r="AH751" s="22"/>
      <c r="AI751" s="22"/>
      <c r="AJ751" s="22"/>
      <c r="AK751" s="22"/>
      <c r="AL751" s="22"/>
      <c r="AM751" s="22"/>
      <c r="AN751" s="22"/>
      <c r="AO751" s="22"/>
      <c r="AP751" s="22"/>
    </row>
    <row r="752" ht="25.5" customHeight="1">
      <c r="A752" s="306">
        <f t="shared" si="3"/>
        <v>751</v>
      </c>
      <c r="B752" s="306" t="s">
        <v>61</v>
      </c>
      <c r="C752" s="39" t="s">
        <v>279</v>
      </c>
      <c r="D752" s="39" t="s">
        <v>515</v>
      </c>
      <c r="E752" s="307"/>
      <c r="F752" s="204" t="s">
        <v>87</v>
      </c>
      <c r="G752" s="309" t="s">
        <v>36</v>
      </c>
      <c r="H752" s="39" t="s">
        <v>94</v>
      </c>
      <c r="I752" s="285" t="s">
        <v>38</v>
      </c>
      <c r="J752" s="285" t="s">
        <v>2404</v>
      </c>
      <c r="K752" s="308" t="s">
        <v>1581</v>
      </c>
      <c r="L752" s="306" t="str">
        <f>CONCATENATE(J752,", ",H752,", Cali")</f>
        <v>Calle 1d oeste # 100bis -76 Torre 87, Altos de Santa Elena / Polvorines, Cali</v>
      </c>
      <c r="M752" s="337" t="s">
        <v>2405</v>
      </c>
      <c r="N752" s="337" t="s">
        <v>18</v>
      </c>
      <c r="O752" s="22"/>
      <c r="P752" s="22"/>
      <c r="Q752" s="22"/>
      <c r="R752" s="122"/>
      <c r="S752" s="204">
        <v>1.0</v>
      </c>
      <c r="T752" s="122">
        <v>1.0</v>
      </c>
      <c r="U752" s="22"/>
      <c r="V752" s="22"/>
      <c r="W752" s="22"/>
      <c r="X752" s="22"/>
      <c r="Y752" s="22"/>
      <c r="Z752" s="306" t="s">
        <v>1583</v>
      </c>
      <c r="AA752" s="306"/>
      <c r="AB752" s="306"/>
      <c r="AD752" s="22"/>
      <c r="AE752" s="22"/>
      <c r="AF752" s="22"/>
      <c r="AG752" s="22"/>
      <c r="AH752" s="22"/>
      <c r="AI752" s="22"/>
      <c r="AJ752" s="22"/>
      <c r="AK752" s="22"/>
      <c r="AL752" s="22"/>
      <c r="AM752" s="22"/>
      <c r="AN752" s="22"/>
      <c r="AO752" s="22"/>
      <c r="AP752" s="22"/>
    </row>
    <row r="753" ht="25.5" customHeight="1">
      <c r="A753" s="43">
        <f t="shared" si="3"/>
        <v>752</v>
      </c>
      <c r="B753" s="43" t="s">
        <v>62</v>
      </c>
      <c r="C753" s="44" t="s">
        <v>133</v>
      </c>
      <c r="D753" s="44" t="s">
        <v>136</v>
      </c>
      <c r="E753" s="43" t="s">
        <v>62</v>
      </c>
      <c r="F753" s="43" t="s">
        <v>62</v>
      </c>
      <c r="G753" s="43" t="s">
        <v>62</v>
      </c>
      <c r="H753" s="43" t="s">
        <v>62</v>
      </c>
      <c r="I753" s="43" t="s">
        <v>62</v>
      </c>
      <c r="J753" s="43" t="s">
        <v>62</v>
      </c>
      <c r="K753" s="43" t="s">
        <v>62</v>
      </c>
      <c r="L753" s="43" t="s">
        <v>62</v>
      </c>
      <c r="M753" s="43" t="s">
        <v>62</v>
      </c>
      <c r="N753" s="43" t="s">
        <v>62</v>
      </c>
      <c r="O753" s="43" t="s">
        <v>62</v>
      </c>
      <c r="P753" s="43" t="s">
        <v>62</v>
      </c>
      <c r="Q753" s="43" t="s">
        <v>62</v>
      </c>
      <c r="R753" s="43" t="s">
        <v>62</v>
      </c>
      <c r="S753" s="43"/>
      <c r="T753" s="43" t="s">
        <v>62</v>
      </c>
      <c r="U753" s="43" t="s">
        <v>62</v>
      </c>
      <c r="V753" s="43" t="s">
        <v>62</v>
      </c>
      <c r="W753" s="43" t="s">
        <v>62</v>
      </c>
      <c r="X753" s="43" t="s">
        <v>62</v>
      </c>
      <c r="Y753" s="43" t="s">
        <v>62</v>
      </c>
      <c r="Z753" s="43" t="s">
        <v>62</v>
      </c>
      <c r="AA753" s="43" t="s">
        <v>62</v>
      </c>
      <c r="AB753" s="43" t="s">
        <v>62</v>
      </c>
      <c r="AD753" s="22"/>
      <c r="AE753" s="22"/>
      <c r="AF753" s="22"/>
      <c r="AG753" s="22"/>
      <c r="AH753" s="22"/>
      <c r="AI753" s="22"/>
      <c r="AJ753" s="22"/>
      <c r="AK753" s="22"/>
      <c r="AL753" s="22"/>
      <c r="AM753" s="22"/>
      <c r="AN753" s="22"/>
      <c r="AO753" s="22"/>
      <c r="AP753" s="22"/>
    </row>
    <row r="754" ht="25.5" customHeight="1">
      <c r="A754" s="43">
        <f t="shared" si="3"/>
        <v>753</v>
      </c>
      <c r="B754" s="43" t="s">
        <v>62</v>
      </c>
      <c r="C754" s="44" t="s">
        <v>133</v>
      </c>
      <c r="D754" s="44" t="s">
        <v>136</v>
      </c>
      <c r="E754" s="43" t="s">
        <v>62</v>
      </c>
      <c r="F754" s="43" t="s">
        <v>62</v>
      </c>
      <c r="G754" s="43" t="s">
        <v>62</v>
      </c>
      <c r="H754" s="43" t="s">
        <v>62</v>
      </c>
      <c r="I754" s="43" t="s">
        <v>62</v>
      </c>
      <c r="J754" s="43" t="s">
        <v>62</v>
      </c>
      <c r="K754" s="43" t="s">
        <v>62</v>
      </c>
      <c r="L754" s="43" t="s">
        <v>62</v>
      </c>
      <c r="M754" s="43" t="s">
        <v>62</v>
      </c>
      <c r="N754" s="43" t="s">
        <v>62</v>
      </c>
      <c r="O754" s="43" t="s">
        <v>62</v>
      </c>
      <c r="P754" s="43" t="s">
        <v>62</v>
      </c>
      <c r="Q754" s="43" t="s">
        <v>62</v>
      </c>
      <c r="R754" s="43" t="s">
        <v>62</v>
      </c>
      <c r="S754" s="43"/>
      <c r="T754" s="43" t="s">
        <v>62</v>
      </c>
      <c r="U754" s="43" t="s">
        <v>62</v>
      </c>
      <c r="V754" s="43" t="s">
        <v>62</v>
      </c>
      <c r="W754" s="43" t="s">
        <v>62</v>
      </c>
      <c r="X754" s="43" t="s">
        <v>62</v>
      </c>
      <c r="Y754" s="43" t="s">
        <v>62</v>
      </c>
      <c r="Z754" s="43" t="s">
        <v>62</v>
      </c>
      <c r="AA754" s="43" t="s">
        <v>62</v>
      </c>
      <c r="AB754" s="43" t="s">
        <v>62</v>
      </c>
      <c r="AD754" s="22"/>
      <c r="AE754" s="22"/>
      <c r="AF754" s="22"/>
      <c r="AG754" s="22"/>
      <c r="AH754" s="22"/>
      <c r="AI754" s="22"/>
      <c r="AJ754" s="22"/>
      <c r="AK754" s="22"/>
      <c r="AL754" s="22"/>
      <c r="AM754" s="22"/>
      <c r="AN754" s="22"/>
      <c r="AO754" s="22"/>
      <c r="AP754" s="22"/>
    </row>
    <row r="755" ht="25.5" customHeight="1">
      <c r="A755" s="63">
        <f t="shared" si="3"/>
        <v>754</v>
      </c>
      <c r="B755" s="63" t="s">
        <v>62</v>
      </c>
      <c r="C755" s="65" t="s">
        <v>133</v>
      </c>
      <c r="D755" s="108" t="s">
        <v>64</v>
      </c>
      <c r="E755" s="68" t="s">
        <v>62</v>
      </c>
      <c r="F755" s="70" t="s">
        <v>62</v>
      </c>
      <c r="G755" s="70" t="s">
        <v>62</v>
      </c>
      <c r="H755" s="71" t="s">
        <v>62</v>
      </c>
      <c r="I755" s="71" t="s">
        <v>62</v>
      </c>
      <c r="J755" s="68" t="s">
        <v>62</v>
      </c>
      <c r="K755" s="68" t="s">
        <v>62</v>
      </c>
      <c r="L755" s="68" t="s">
        <v>62</v>
      </c>
      <c r="M755" s="68" t="s">
        <v>62</v>
      </c>
      <c r="N755" s="68" t="s">
        <v>62</v>
      </c>
      <c r="O755" s="68" t="s">
        <v>62</v>
      </c>
      <c r="P755" s="68" t="s">
        <v>62</v>
      </c>
      <c r="Q755" s="68" t="s">
        <v>62</v>
      </c>
      <c r="R755" s="68" t="s">
        <v>62</v>
      </c>
      <c r="S755" s="68"/>
      <c r="T755" s="68" t="s">
        <v>62</v>
      </c>
      <c r="U755" s="68" t="s">
        <v>62</v>
      </c>
      <c r="V755" s="68" t="s">
        <v>62</v>
      </c>
      <c r="W755" s="68" t="s">
        <v>62</v>
      </c>
      <c r="X755" s="68" t="s">
        <v>62</v>
      </c>
      <c r="Y755" s="68" t="s">
        <v>62</v>
      </c>
      <c r="Z755" s="68" t="s">
        <v>62</v>
      </c>
      <c r="AA755" s="68" t="s">
        <v>62</v>
      </c>
      <c r="AB755" s="68" t="s">
        <v>62</v>
      </c>
      <c r="AD755" s="22"/>
      <c r="AE755" s="22"/>
      <c r="AF755" s="22"/>
      <c r="AG755" s="22"/>
      <c r="AH755" s="22"/>
      <c r="AI755" s="22"/>
      <c r="AJ755" s="22"/>
      <c r="AK755" s="22"/>
      <c r="AL755" s="22"/>
      <c r="AM755" s="22"/>
      <c r="AN755" s="22"/>
      <c r="AO755" s="22"/>
      <c r="AP755" s="22"/>
    </row>
    <row r="756" ht="25.5" customHeight="1">
      <c r="A756" s="306">
        <f t="shared" si="3"/>
        <v>755</v>
      </c>
      <c r="B756" s="306" t="s">
        <v>61</v>
      </c>
      <c r="C756" s="39" t="s">
        <v>279</v>
      </c>
      <c r="D756" s="39" t="s">
        <v>515</v>
      </c>
      <c r="E756" s="307"/>
      <c r="F756" s="204" t="s">
        <v>76</v>
      </c>
      <c r="G756" s="204" t="s">
        <v>350</v>
      </c>
      <c r="H756" s="285" t="s">
        <v>349</v>
      </c>
      <c r="I756" s="285" t="s">
        <v>286</v>
      </c>
      <c r="J756" s="285" t="s">
        <v>2406</v>
      </c>
      <c r="K756" s="308" t="s">
        <v>2407</v>
      </c>
      <c r="L756" s="306" t="str">
        <f>CONCATENATE(J756,", ",H756,", Cali")</f>
        <v>calle 57N #2BN-30 Piso 02 B/Ciudad los Álamos, Cali, los alamos, Cali</v>
      </c>
      <c r="M756" s="306" t="s">
        <v>231</v>
      </c>
      <c r="N756" s="306" t="s">
        <v>233</v>
      </c>
      <c r="O756" s="22"/>
      <c r="P756" s="22"/>
      <c r="Q756" s="22"/>
      <c r="R756" s="122"/>
      <c r="S756" s="122"/>
      <c r="T756" s="122">
        <v>1.0</v>
      </c>
      <c r="U756" s="22"/>
      <c r="V756" s="22"/>
      <c r="W756" s="22"/>
      <c r="X756" s="22"/>
      <c r="Y756" s="22"/>
      <c r="Z756" s="306" t="s">
        <v>1598</v>
      </c>
      <c r="AA756" s="306"/>
      <c r="AB756" s="306"/>
      <c r="AD756" s="22"/>
      <c r="AE756" s="22"/>
      <c r="AF756" s="22"/>
      <c r="AG756" s="22"/>
      <c r="AH756" s="22"/>
      <c r="AI756" s="22"/>
      <c r="AJ756" s="22"/>
      <c r="AK756" s="22"/>
      <c r="AL756" s="22"/>
      <c r="AM756" s="22"/>
      <c r="AN756" s="22"/>
      <c r="AO756" s="22"/>
      <c r="AP756" s="22"/>
    </row>
    <row r="757" ht="25.5" customHeight="1">
      <c r="A757" s="63">
        <f t="shared" si="3"/>
        <v>756</v>
      </c>
      <c r="B757" s="63" t="s">
        <v>62</v>
      </c>
      <c r="C757" s="65" t="s">
        <v>133</v>
      </c>
      <c r="D757" s="108" t="s">
        <v>64</v>
      </c>
      <c r="E757" s="68" t="s">
        <v>62</v>
      </c>
      <c r="F757" s="70" t="s">
        <v>62</v>
      </c>
      <c r="G757" s="70" t="s">
        <v>62</v>
      </c>
      <c r="H757" s="71" t="s">
        <v>62</v>
      </c>
      <c r="I757" s="71" t="s">
        <v>62</v>
      </c>
      <c r="J757" s="68" t="s">
        <v>62</v>
      </c>
      <c r="K757" s="68" t="s">
        <v>62</v>
      </c>
      <c r="L757" s="68" t="s">
        <v>62</v>
      </c>
      <c r="M757" s="68" t="s">
        <v>62</v>
      </c>
      <c r="N757" s="68" t="s">
        <v>62</v>
      </c>
      <c r="O757" s="68" t="s">
        <v>62</v>
      </c>
      <c r="P757" s="68" t="s">
        <v>62</v>
      </c>
      <c r="Q757" s="68" t="s">
        <v>62</v>
      </c>
      <c r="R757" s="68" t="s">
        <v>62</v>
      </c>
      <c r="S757" s="68"/>
      <c r="T757" s="68" t="s">
        <v>62</v>
      </c>
      <c r="U757" s="68" t="s">
        <v>62</v>
      </c>
      <c r="V757" s="68" t="s">
        <v>62</v>
      </c>
      <c r="W757" s="68" t="s">
        <v>62</v>
      </c>
      <c r="X757" s="68" t="s">
        <v>62</v>
      </c>
      <c r="Y757" s="68" t="s">
        <v>62</v>
      </c>
      <c r="Z757" s="68" t="s">
        <v>62</v>
      </c>
      <c r="AA757" s="68" t="s">
        <v>62</v>
      </c>
      <c r="AB757" s="68" t="s">
        <v>62</v>
      </c>
      <c r="AD757" s="22"/>
      <c r="AE757" s="22"/>
      <c r="AF757" s="22"/>
      <c r="AG757" s="22"/>
      <c r="AH757" s="22"/>
      <c r="AI757" s="22"/>
      <c r="AJ757" s="22"/>
      <c r="AK757" s="22"/>
      <c r="AL757" s="22"/>
      <c r="AM757" s="22"/>
      <c r="AN757" s="22"/>
      <c r="AO757" s="22"/>
      <c r="AP757" s="22"/>
    </row>
    <row r="758" ht="25.5" customHeight="1">
      <c r="A758" s="306">
        <f t="shared" si="3"/>
        <v>757</v>
      </c>
      <c r="B758" s="306" t="s">
        <v>61</v>
      </c>
      <c r="C758" s="39" t="s">
        <v>279</v>
      </c>
      <c r="D758" s="39" t="s">
        <v>515</v>
      </c>
      <c r="E758" s="22"/>
      <c r="F758" s="204" t="s">
        <v>76</v>
      </c>
      <c r="G758" s="204" t="s">
        <v>350</v>
      </c>
      <c r="H758" s="39" t="s">
        <v>409</v>
      </c>
      <c r="I758" s="39" t="s">
        <v>38</v>
      </c>
      <c r="J758" s="39" t="s">
        <v>2408</v>
      </c>
      <c r="K758" s="22"/>
      <c r="L758" s="22" t="str">
        <f t="shared" ref="L758:L764" si="75">CONCATENATE(J758,", ",H758,", Cali")</f>
        <v>CALLE 55 A NORTE NROS. 2-AN-99 Y 2-AN-107, Pacara y Alamos, Cali</v>
      </c>
      <c r="M758" s="22" t="s">
        <v>231</v>
      </c>
      <c r="N758" s="22" t="s">
        <v>233</v>
      </c>
      <c r="O758" s="22"/>
      <c r="P758" s="22"/>
      <c r="Q758" s="22"/>
      <c r="R758" s="122"/>
      <c r="S758" s="122"/>
      <c r="T758" s="122">
        <v>1.0</v>
      </c>
      <c r="U758" s="22"/>
      <c r="V758" s="22"/>
      <c r="W758" s="22"/>
      <c r="X758" s="22"/>
      <c r="Y758" s="22"/>
      <c r="Z758" s="39" t="s">
        <v>2409</v>
      </c>
      <c r="AA758" s="39"/>
      <c r="AB758" s="39"/>
      <c r="AD758" s="22"/>
      <c r="AE758" s="22"/>
      <c r="AF758" s="22"/>
      <c r="AG758" s="22"/>
      <c r="AH758" s="22"/>
      <c r="AI758" s="22"/>
      <c r="AJ758" s="22"/>
      <c r="AK758" s="22"/>
      <c r="AL758" s="22"/>
      <c r="AM758" s="22"/>
      <c r="AN758" s="22"/>
      <c r="AO758" s="22"/>
      <c r="AP758" s="22"/>
    </row>
    <row r="759" ht="25.5" customHeight="1">
      <c r="A759" s="306">
        <f t="shared" si="3"/>
        <v>758</v>
      </c>
      <c r="B759" s="306" t="s">
        <v>61</v>
      </c>
      <c r="C759" s="39" t="s">
        <v>279</v>
      </c>
      <c r="D759" s="39" t="s">
        <v>515</v>
      </c>
      <c r="E759" s="22"/>
      <c r="F759" s="204" t="s">
        <v>76</v>
      </c>
      <c r="G759" s="204" t="s">
        <v>350</v>
      </c>
      <c r="H759" s="39" t="s">
        <v>482</v>
      </c>
      <c r="I759" s="39" t="s">
        <v>286</v>
      </c>
      <c r="J759" s="39" t="s">
        <v>2410</v>
      </c>
      <c r="K759" s="22"/>
      <c r="L759" s="22" t="str">
        <f t="shared" si="75"/>
        <v>Av 1 oeste # 6-28 piso 1, Santa rita, Cali</v>
      </c>
      <c r="M759" s="22" t="s">
        <v>231</v>
      </c>
      <c r="N759" s="22" t="s">
        <v>233</v>
      </c>
      <c r="O759" s="22"/>
      <c r="P759" s="22"/>
      <c r="Q759" s="22"/>
      <c r="R759" s="122"/>
      <c r="S759" s="122"/>
      <c r="T759" s="122">
        <v>1.0</v>
      </c>
      <c r="U759" s="22"/>
      <c r="V759" s="22"/>
      <c r="W759" s="22"/>
      <c r="X759" s="22"/>
      <c r="Y759" s="22"/>
      <c r="Z759" s="39" t="s">
        <v>2411</v>
      </c>
      <c r="AA759" s="39"/>
      <c r="AB759" s="39"/>
      <c r="AD759" s="22"/>
      <c r="AE759" s="22"/>
      <c r="AF759" s="22"/>
      <c r="AG759" s="22"/>
      <c r="AH759" s="22"/>
      <c r="AI759" s="22"/>
      <c r="AJ759" s="22"/>
      <c r="AK759" s="22"/>
      <c r="AL759" s="22"/>
      <c r="AM759" s="22"/>
      <c r="AN759" s="22"/>
      <c r="AO759" s="22"/>
      <c r="AP759" s="22"/>
    </row>
    <row r="760" ht="25.5" customHeight="1">
      <c r="A760" s="306">
        <f t="shared" si="3"/>
        <v>759</v>
      </c>
      <c r="B760" s="306" t="s">
        <v>61</v>
      </c>
      <c r="C760" s="39" t="s">
        <v>279</v>
      </c>
      <c r="D760" s="39" t="s">
        <v>515</v>
      </c>
      <c r="E760" s="22"/>
      <c r="F760" s="204" t="s">
        <v>35</v>
      </c>
      <c r="G760" s="204" t="s">
        <v>1300</v>
      </c>
      <c r="H760" s="39" t="s">
        <v>1316</v>
      </c>
      <c r="I760" s="39" t="s">
        <v>286</v>
      </c>
      <c r="J760" s="39" t="s">
        <v>2412</v>
      </c>
      <c r="K760" s="39" t="s">
        <v>2413</v>
      </c>
      <c r="L760" s="39" t="str">
        <f t="shared" si="75"/>
        <v>calle 5c #29-54, san fernando, Cali</v>
      </c>
      <c r="M760" s="337" t="s">
        <v>2414</v>
      </c>
      <c r="N760" s="337" t="s">
        <v>233</v>
      </c>
      <c r="O760" s="22"/>
      <c r="P760" s="22"/>
      <c r="Q760" s="22"/>
      <c r="R760" s="122"/>
      <c r="S760" s="122"/>
      <c r="T760" s="122">
        <v>1.0</v>
      </c>
      <c r="U760" s="22"/>
      <c r="V760" s="22"/>
      <c r="W760" s="22"/>
      <c r="X760" s="22"/>
      <c r="Y760" s="22"/>
      <c r="Z760" s="22"/>
      <c r="AA760" s="22"/>
      <c r="AB760" s="22"/>
      <c r="AD760" s="22"/>
      <c r="AE760" s="22"/>
      <c r="AF760" s="22"/>
      <c r="AG760" s="22"/>
      <c r="AH760" s="22"/>
      <c r="AI760" s="22"/>
      <c r="AJ760" s="22"/>
      <c r="AK760" s="22"/>
      <c r="AL760" s="22"/>
      <c r="AM760" s="22"/>
      <c r="AN760" s="22"/>
      <c r="AO760" s="22"/>
      <c r="AP760" s="22"/>
    </row>
    <row r="761" ht="25.5" customHeight="1">
      <c r="A761" s="312">
        <f t="shared" si="3"/>
        <v>760</v>
      </c>
      <c r="B761" s="312" t="s">
        <v>61</v>
      </c>
      <c r="C761" s="27" t="s">
        <v>279</v>
      </c>
      <c r="D761" s="27" t="s">
        <v>515</v>
      </c>
      <c r="E761" s="33"/>
      <c r="F761" s="30" t="s">
        <v>76</v>
      </c>
      <c r="G761" s="30" t="s">
        <v>350</v>
      </c>
      <c r="H761" s="27" t="s">
        <v>432</v>
      </c>
      <c r="I761" s="27" t="s">
        <v>38</v>
      </c>
      <c r="J761" s="27" t="s">
        <v>2415</v>
      </c>
      <c r="K761" s="33"/>
      <c r="L761" s="33" t="str">
        <f t="shared" si="75"/>
        <v>Ave 2 bn 32 an 33 - rincón de la flora dos etapa d, Prados del Norte, Cali</v>
      </c>
      <c r="M761" s="337" t="s">
        <v>2414</v>
      </c>
      <c r="N761" s="337" t="s">
        <v>233</v>
      </c>
      <c r="O761" s="22"/>
      <c r="P761" s="22"/>
      <c r="Q761" s="22"/>
      <c r="R761" s="122"/>
      <c r="S761" s="122"/>
      <c r="T761" s="122">
        <v>1.0</v>
      </c>
      <c r="U761" s="22"/>
      <c r="V761" s="22"/>
      <c r="W761" s="22"/>
      <c r="X761" s="22"/>
      <c r="Y761" s="22"/>
      <c r="Z761" s="39" t="s">
        <v>2416</v>
      </c>
      <c r="AA761" s="39"/>
      <c r="AB761" s="39"/>
      <c r="AD761" s="22"/>
      <c r="AE761" s="22"/>
      <c r="AF761" s="22"/>
      <c r="AG761" s="22"/>
      <c r="AH761" s="22"/>
      <c r="AI761" s="22"/>
      <c r="AJ761" s="22"/>
      <c r="AK761" s="22"/>
      <c r="AL761" s="22"/>
      <c r="AM761" s="22"/>
      <c r="AN761" s="22"/>
      <c r="AO761" s="22"/>
      <c r="AP761" s="22"/>
    </row>
    <row r="762" ht="25.5" customHeight="1">
      <c r="A762" s="306">
        <f t="shared" si="3"/>
        <v>761</v>
      </c>
      <c r="B762" s="306" t="s">
        <v>61</v>
      </c>
      <c r="C762" s="39" t="s">
        <v>279</v>
      </c>
      <c r="D762" s="39" t="s">
        <v>515</v>
      </c>
      <c r="E762" s="22"/>
      <c r="F762" s="204" t="s">
        <v>76</v>
      </c>
      <c r="G762" s="204" t="s">
        <v>350</v>
      </c>
      <c r="H762" s="39" t="s">
        <v>1768</v>
      </c>
      <c r="I762" s="39" t="s">
        <v>38</v>
      </c>
      <c r="J762" s="39" t="s">
        <v>2417</v>
      </c>
      <c r="K762" s="22"/>
      <c r="L762" s="22" t="str">
        <f t="shared" si="75"/>
        <v>Calle 47 norte # 2i-24 edificio 3 pisos, La merced, Cali</v>
      </c>
      <c r="M762" s="337" t="s">
        <v>2414</v>
      </c>
      <c r="N762" s="337" t="s">
        <v>233</v>
      </c>
      <c r="O762" s="22"/>
      <c r="P762" s="22"/>
      <c r="Q762" s="22"/>
      <c r="R762" s="122"/>
      <c r="S762" s="122"/>
      <c r="T762" s="122">
        <v>1.0</v>
      </c>
      <c r="U762" s="22"/>
      <c r="V762" s="22"/>
      <c r="W762" s="22"/>
      <c r="X762" s="22"/>
      <c r="Y762" s="22"/>
      <c r="Z762" s="39" t="s">
        <v>2418</v>
      </c>
      <c r="AA762" s="39"/>
      <c r="AB762" s="39"/>
      <c r="AD762" s="22"/>
      <c r="AE762" s="22"/>
      <c r="AF762" s="22"/>
      <c r="AG762" s="22"/>
      <c r="AH762" s="22"/>
      <c r="AI762" s="22"/>
      <c r="AJ762" s="22"/>
      <c r="AK762" s="22"/>
      <c r="AL762" s="22"/>
      <c r="AM762" s="22"/>
      <c r="AN762" s="22"/>
      <c r="AO762" s="22"/>
      <c r="AP762" s="22"/>
    </row>
    <row r="763" ht="25.5" customHeight="1">
      <c r="A763" s="306">
        <f t="shared" si="3"/>
        <v>762</v>
      </c>
      <c r="B763" s="306" t="s">
        <v>61</v>
      </c>
      <c r="C763" s="39" t="s">
        <v>279</v>
      </c>
      <c r="D763" s="39" t="s">
        <v>515</v>
      </c>
      <c r="E763" s="22"/>
      <c r="F763" s="122" t="s">
        <v>60</v>
      </c>
      <c r="G763" s="204" t="s">
        <v>36</v>
      </c>
      <c r="H763" s="39" t="s">
        <v>2372</v>
      </c>
      <c r="I763" s="39" t="s">
        <v>38</v>
      </c>
      <c r="J763" s="39" t="s">
        <v>2419</v>
      </c>
      <c r="K763" s="39" t="s">
        <v>2420</v>
      </c>
      <c r="L763" s="39" t="str">
        <f t="shared" si="75"/>
        <v>Calle 12-A. No 50-25, Santa Anita, Cali</v>
      </c>
      <c r="M763" s="39" t="s">
        <v>231</v>
      </c>
      <c r="N763" s="39" t="s">
        <v>233</v>
      </c>
      <c r="O763" s="22"/>
      <c r="P763" s="22"/>
      <c r="Q763" s="22"/>
      <c r="R763" s="122"/>
      <c r="S763" s="122"/>
      <c r="T763" s="122">
        <v>1.0</v>
      </c>
      <c r="U763" s="22"/>
      <c r="V763" s="22"/>
      <c r="W763" s="22"/>
      <c r="X763" s="22"/>
      <c r="Y763" s="22"/>
      <c r="Z763" s="39" t="s">
        <v>2421</v>
      </c>
      <c r="AA763" s="39"/>
      <c r="AB763" s="39"/>
      <c r="AD763" s="22"/>
      <c r="AE763" s="22"/>
      <c r="AF763" s="22"/>
      <c r="AG763" s="22"/>
      <c r="AH763" s="22"/>
      <c r="AI763" s="22"/>
      <c r="AJ763" s="22"/>
      <c r="AK763" s="22"/>
      <c r="AL763" s="22"/>
      <c r="AM763" s="22"/>
      <c r="AN763" s="22"/>
      <c r="AO763" s="22"/>
      <c r="AP763" s="22"/>
    </row>
    <row r="764" ht="57.75" customHeight="1">
      <c r="A764" s="20">
        <f t="shared" si="3"/>
        <v>763</v>
      </c>
      <c r="B764" s="20" t="s">
        <v>32</v>
      </c>
      <c r="C764" s="20" t="s">
        <v>279</v>
      </c>
      <c r="D764" s="20" t="s">
        <v>335</v>
      </c>
      <c r="E764" s="107"/>
      <c r="F764" s="179" t="s">
        <v>35</v>
      </c>
      <c r="G764" s="105" t="s">
        <v>36</v>
      </c>
      <c r="H764" s="20" t="s">
        <v>2422</v>
      </c>
      <c r="I764" s="20" t="s">
        <v>2423</v>
      </c>
      <c r="J764" s="20" t="s">
        <v>2424</v>
      </c>
      <c r="K764" s="20" t="s">
        <v>286</v>
      </c>
      <c r="L764" s="20" t="str">
        <f t="shared" si="75"/>
        <v>Carrea 36 c # 5 B 1-60, San fernando nuevo, Cali</v>
      </c>
      <c r="M764" s="338" t="s">
        <v>2425</v>
      </c>
      <c r="N764" s="338" t="s">
        <v>233</v>
      </c>
      <c r="O764" s="107"/>
      <c r="P764" s="107"/>
      <c r="Q764" s="107"/>
      <c r="R764" s="339"/>
      <c r="S764" s="339"/>
      <c r="T764" s="339">
        <v>1.0</v>
      </c>
      <c r="U764" s="107"/>
      <c r="V764" s="107"/>
      <c r="W764" s="107"/>
      <c r="X764" s="107"/>
      <c r="Y764" s="107"/>
      <c r="Z764" s="20" t="s">
        <v>2426</v>
      </c>
      <c r="AA764" s="20"/>
      <c r="AB764" s="20"/>
      <c r="AD764" s="22"/>
      <c r="AE764" s="22"/>
      <c r="AF764" s="22"/>
      <c r="AG764" s="22"/>
      <c r="AH764" s="22"/>
      <c r="AI764" s="22"/>
      <c r="AJ764" s="22"/>
      <c r="AK764" s="22"/>
      <c r="AL764" s="22"/>
      <c r="AM764" s="22"/>
      <c r="AN764" s="22"/>
      <c r="AO764" s="22"/>
      <c r="AP764" s="22"/>
    </row>
    <row r="765" ht="25.5" customHeight="1">
      <c r="A765" s="63">
        <f t="shared" si="3"/>
        <v>764</v>
      </c>
      <c r="B765" s="63" t="s">
        <v>62</v>
      </c>
      <c r="C765" s="65" t="s">
        <v>133</v>
      </c>
      <c r="D765" s="108" t="s">
        <v>64</v>
      </c>
      <c r="E765" s="68" t="s">
        <v>62</v>
      </c>
      <c r="F765" s="70" t="s">
        <v>62</v>
      </c>
      <c r="G765" s="70" t="s">
        <v>62</v>
      </c>
      <c r="H765" s="71" t="s">
        <v>62</v>
      </c>
      <c r="I765" s="71" t="s">
        <v>62</v>
      </c>
      <c r="J765" s="68" t="s">
        <v>62</v>
      </c>
      <c r="K765" s="68" t="s">
        <v>62</v>
      </c>
      <c r="L765" s="68" t="s">
        <v>62</v>
      </c>
      <c r="M765" s="68" t="s">
        <v>62</v>
      </c>
      <c r="N765" s="68" t="s">
        <v>62</v>
      </c>
      <c r="O765" s="68" t="s">
        <v>62</v>
      </c>
      <c r="P765" s="68" t="s">
        <v>62</v>
      </c>
      <c r="Q765" s="68" t="s">
        <v>62</v>
      </c>
      <c r="R765" s="68" t="s">
        <v>62</v>
      </c>
      <c r="S765" s="68"/>
      <c r="T765" s="68" t="s">
        <v>62</v>
      </c>
      <c r="U765" s="68" t="s">
        <v>62</v>
      </c>
      <c r="V765" s="68" t="s">
        <v>62</v>
      </c>
      <c r="W765" s="68" t="s">
        <v>62</v>
      </c>
      <c r="X765" s="68" t="s">
        <v>62</v>
      </c>
      <c r="Y765" s="68" t="s">
        <v>62</v>
      </c>
      <c r="Z765" s="68" t="s">
        <v>62</v>
      </c>
      <c r="AA765" s="68" t="s">
        <v>62</v>
      </c>
      <c r="AB765" s="68" t="s">
        <v>62</v>
      </c>
      <c r="AD765" s="22"/>
      <c r="AE765" s="22"/>
      <c r="AF765" s="22"/>
      <c r="AG765" s="22"/>
      <c r="AH765" s="22"/>
      <c r="AI765" s="22"/>
      <c r="AJ765" s="22"/>
      <c r="AK765" s="22"/>
      <c r="AL765" s="22"/>
      <c r="AM765" s="22"/>
      <c r="AN765" s="22"/>
      <c r="AO765" s="22"/>
      <c r="AP765" s="22"/>
    </row>
    <row r="766" ht="25.5" customHeight="1">
      <c r="A766" s="306">
        <f t="shared" si="3"/>
        <v>765</v>
      </c>
      <c r="B766" s="306" t="s">
        <v>61</v>
      </c>
      <c r="C766" s="39" t="s">
        <v>279</v>
      </c>
      <c r="D766" s="39" t="s">
        <v>515</v>
      </c>
      <c r="E766" s="22"/>
      <c r="F766" s="204" t="s">
        <v>192</v>
      </c>
      <c r="G766" s="204" t="s">
        <v>426</v>
      </c>
      <c r="H766" s="298" t="s">
        <v>218</v>
      </c>
      <c r="I766" s="39" t="s">
        <v>546</v>
      </c>
      <c r="J766" s="298" t="s">
        <v>2427</v>
      </c>
      <c r="K766" s="22"/>
      <c r="L766" s="22" t="str">
        <f t="shared" ref="L766:L767" si="76">CONCATENATE(J766,", ",H766,", Cali")</f>
        <v>Calle 55A # 30B-50, Comuneros I, Cali</v>
      </c>
      <c r="M766" s="22" t="s">
        <v>231</v>
      </c>
      <c r="N766" s="22" t="s">
        <v>233</v>
      </c>
      <c r="O766" s="22"/>
      <c r="P766" s="22"/>
      <c r="Q766" s="22"/>
      <c r="R766" s="122"/>
      <c r="S766" s="122"/>
      <c r="T766" s="122">
        <v>1.0</v>
      </c>
      <c r="U766" s="22"/>
      <c r="V766" s="22"/>
      <c r="W766" s="22"/>
      <c r="X766" s="22"/>
      <c r="Y766" s="22"/>
      <c r="Z766" s="22"/>
      <c r="AA766" s="22"/>
      <c r="AB766" s="22"/>
      <c r="AD766" s="22"/>
      <c r="AE766" s="22"/>
      <c r="AF766" s="22"/>
      <c r="AG766" s="22"/>
      <c r="AH766" s="22"/>
      <c r="AI766" s="22"/>
      <c r="AJ766" s="22"/>
      <c r="AK766" s="22"/>
      <c r="AL766" s="22"/>
      <c r="AM766" s="22"/>
      <c r="AN766" s="22"/>
      <c r="AO766" s="22"/>
      <c r="AP766" s="22"/>
    </row>
    <row r="767" ht="25.5" customHeight="1">
      <c r="A767" s="39">
        <f t="shared" si="3"/>
        <v>766</v>
      </c>
      <c r="B767" s="39" t="s">
        <v>307</v>
      </c>
      <c r="C767" s="39" t="s">
        <v>279</v>
      </c>
      <c r="D767" s="39" t="s">
        <v>515</v>
      </c>
      <c r="E767" s="22"/>
      <c r="F767" s="204" t="s">
        <v>87</v>
      </c>
      <c r="G767" s="204" t="s">
        <v>1960</v>
      </c>
      <c r="H767" s="39" t="s">
        <v>2428</v>
      </c>
      <c r="I767" s="39" t="s">
        <v>1715</v>
      </c>
      <c r="J767" s="39" t="s">
        <v>2429</v>
      </c>
      <c r="K767" s="39">
        <v>3.015002549E9</v>
      </c>
      <c r="L767" s="39" t="str">
        <f t="shared" si="76"/>
        <v>calle 3 # 71-03, buenos aires, Cali</v>
      </c>
      <c r="M767" s="340" t="s">
        <v>2430</v>
      </c>
      <c r="N767" s="340" t="s">
        <v>642</v>
      </c>
      <c r="O767" s="22"/>
      <c r="P767" s="22"/>
      <c r="Q767" s="22"/>
      <c r="R767" s="122"/>
      <c r="S767" s="122"/>
      <c r="T767" s="122">
        <v>1.0</v>
      </c>
      <c r="U767" s="22"/>
      <c r="V767" s="22"/>
      <c r="W767" s="22"/>
      <c r="X767" s="22"/>
      <c r="Y767" s="22"/>
      <c r="Z767" s="22"/>
      <c r="AA767" s="22"/>
      <c r="AB767" s="22"/>
      <c r="AD767" s="22"/>
      <c r="AE767" s="22"/>
      <c r="AF767" s="22"/>
      <c r="AG767" s="22"/>
      <c r="AH767" s="22"/>
      <c r="AI767" s="22"/>
      <c r="AJ767" s="22"/>
      <c r="AK767" s="22"/>
      <c r="AL767" s="22"/>
      <c r="AM767" s="22"/>
      <c r="AN767" s="22"/>
      <c r="AO767" s="22"/>
      <c r="AP767" s="22"/>
    </row>
    <row r="768" ht="25.5" customHeight="1">
      <c r="A768" s="63">
        <f t="shared" si="3"/>
        <v>767</v>
      </c>
      <c r="B768" s="63" t="s">
        <v>62</v>
      </c>
      <c r="C768" s="65" t="s">
        <v>133</v>
      </c>
      <c r="D768" s="108" t="s">
        <v>64</v>
      </c>
      <c r="E768" s="68" t="s">
        <v>62</v>
      </c>
      <c r="F768" s="70" t="s">
        <v>62</v>
      </c>
      <c r="G768" s="70" t="s">
        <v>62</v>
      </c>
      <c r="H768" s="71" t="s">
        <v>62</v>
      </c>
      <c r="I768" s="71" t="s">
        <v>62</v>
      </c>
      <c r="J768" s="68" t="s">
        <v>62</v>
      </c>
      <c r="K768" s="68" t="s">
        <v>62</v>
      </c>
      <c r="L768" s="68" t="s">
        <v>62</v>
      </c>
      <c r="M768" s="68" t="s">
        <v>62</v>
      </c>
      <c r="N768" s="68" t="s">
        <v>62</v>
      </c>
      <c r="O768" s="68" t="s">
        <v>62</v>
      </c>
      <c r="P768" s="68" t="s">
        <v>62</v>
      </c>
      <c r="Q768" s="68" t="s">
        <v>62</v>
      </c>
      <c r="R768" s="68" t="s">
        <v>62</v>
      </c>
      <c r="S768" s="68"/>
      <c r="T768" s="68" t="s">
        <v>62</v>
      </c>
      <c r="U768" s="68" t="s">
        <v>62</v>
      </c>
      <c r="V768" s="68" t="s">
        <v>62</v>
      </c>
      <c r="W768" s="68" t="s">
        <v>62</v>
      </c>
      <c r="X768" s="68" t="s">
        <v>62</v>
      </c>
      <c r="Y768" s="68" t="s">
        <v>62</v>
      </c>
      <c r="Z768" s="68" t="s">
        <v>62</v>
      </c>
      <c r="AA768" s="68" t="s">
        <v>62</v>
      </c>
      <c r="AB768" s="68" t="s">
        <v>62</v>
      </c>
      <c r="AD768" s="22"/>
      <c r="AE768" s="22"/>
      <c r="AF768" s="22"/>
      <c r="AG768" s="22"/>
      <c r="AH768" s="22"/>
      <c r="AI768" s="22"/>
      <c r="AJ768" s="22"/>
      <c r="AK768" s="22"/>
      <c r="AL768" s="22"/>
      <c r="AM768" s="22"/>
      <c r="AN768" s="22"/>
      <c r="AO768" s="22"/>
      <c r="AP768" s="22"/>
    </row>
    <row r="769" ht="25.5" customHeight="1">
      <c r="A769" s="306">
        <f t="shared" si="3"/>
        <v>768</v>
      </c>
      <c r="B769" s="306" t="s">
        <v>61</v>
      </c>
      <c r="C769" s="39" t="s">
        <v>279</v>
      </c>
      <c r="D769" s="39" t="s">
        <v>515</v>
      </c>
      <c r="E769" s="22"/>
      <c r="F769" s="204" t="s">
        <v>85</v>
      </c>
      <c r="G769" s="204" t="s">
        <v>350</v>
      </c>
      <c r="H769" s="39" t="s">
        <v>84</v>
      </c>
      <c r="I769" s="39" t="s">
        <v>38</v>
      </c>
      <c r="J769" s="39" t="s">
        <v>2431</v>
      </c>
      <c r="K769" s="22"/>
      <c r="L769" s="22" t="str">
        <f t="shared" ref="L769:L858" si="77">CONCATENATE(J769,", ",H769,", Cali")</f>
        <v>Cra 7Lbis # 76-96, Alfonso López, Cali</v>
      </c>
      <c r="M769" s="22" t="s">
        <v>231</v>
      </c>
      <c r="N769" s="22" t="s">
        <v>233</v>
      </c>
      <c r="O769" s="22"/>
      <c r="P769" s="22"/>
      <c r="Q769" s="22"/>
      <c r="R769" s="122"/>
      <c r="S769" s="122"/>
      <c r="T769" s="122">
        <v>1.0</v>
      </c>
      <c r="U769" s="22"/>
      <c r="V769" s="22"/>
      <c r="W769" s="22"/>
      <c r="X769" s="22"/>
      <c r="Y769" s="22"/>
      <c r="Z769" s="39" t="s">
        <v>2432</v>
      </c>
      <c r="AA769" s="39"/>
      <c r="AB769" s="39"/>
      <c r="AD769" s="22"/>
      <c r="AE769" s="22"/>
      <c r="AF769" s="22"/>
      <c r="AG769" s="22"/>
      <c r="AH769" s="22"/>
      <c r="AI769" s="22"/>
      <c r="AJ769" s="22"/>
      <c r="AK769" s="22"/>
      <c r="AL769" s="22"/>
      <c r="AM769" s="22"/>
      <c r="AN769" s="22"/>
      <c r="AO769" s="22"/>
      <c r="AP769" s="22"/>
    </row>
    <row r="770" ht="25.5" customHeight="1">
      <c r="A770" s="306">
        <f t="shared" si="3"/>
        <v>769</v>
      </c>
      <c r="B770" s="306" t="s">
        <v>61</v>
      </c>
      <c r="C770" s="39" t="s">
        <v>279</v>
      </c>
      <c r="D770" s="39" t="s">
        <v>515</v>
      </c>
      <c r="E770" s="22"/>
      <c r="F770" s="204" t="s">
        <v>70</v>
      </c>
      <c r="G770" s="204" t="s">
        <v>36</v>
      </c>
      <c r="H770" s="298" t="s">
        <v>211</v>
      </c>
      <c r="I770" s="298" t="s">
        <v>286</v>
      </c>
      <c r="J770" s="298" t="s">
        <v>2433</v>
      </c>
      <c r="K770" s="39" t="s">
        <v>2434</v>
      </c>
      <c r="L770" s="39" t="str">
        <f t="shared" si="77"/>
        <v>Carrera 32 # 12C-25, Colseguros, Cali</v>
      </c>
      <c r="M770" s="39" t="s">
        <v>231</v>
      </c>
      <c r="N770" s="39" t="s">
        <v>233</v>
      </c>
      <c r="O770" s="22"/>
      <c r="P770" s="22"/>
      <c r="Q770" s="22"/>
      <c r="R770" s="122"/>
      <c r="S770" s="122"/>
      <c r="T770" s="122">
        <v>1.0</v>
      </c>
      <c r="U770" s="22"/>
      <c r="V770" s="22"/>
      <c r="W770" s="22"/>
      <c r="X770" s="22"/>
      <c r="Y770" s="22"/>
      <c r="Z770" s="22"/>
      <c r="AA770" s="22"/>
      <c r="AB770" s="22"/>
      <c r="AD770" s="22"/>
      <c r="AE770" s="22"/>
      <c r="AF770" s="22"/>
      <c r="AG770" s="22"/>
      <c r="AH770" s="22"/>
      <c r="AI770" s="22"/>
      <c r="AJ770" s="22"/>
      <c r="AK770" s="22"/>
      <c r="AL770" s="22"/>
      <c r="AM770" s="22"/>
      <c r="AN770" s="22"/>
      <c r="AO770" s="22"/>
      <c r="AP770" s="22"/>
    </row>
    <row r="771" ht="25.5" customHeight="1">
      <c r="A771" s="306">
        <f t="shared" si="3"/>
        <v>770</v>
      </c>
      <c r="B771" s="306" t="s">
        <v>61</v>
      </c>
      <c r="C771" s="39" t="s">
        <v>279</v>
      </c>
      <c r="D771" s="39" t="s">
        <v>515</v>
      </c>
      <c r="E771" s="22"/>
      <c r="F771" s="204" t="s">
        <v>73</v>
      </c>
      <c r="G771" s="204" t="s">
        <v>144</v>
      </c>
      <c r="H771" s="39" t="s">
        <v>447</v>
      </c>
      <c r="I771" s="39" t="s">
        <v>286</v>
      </c>
      <c r="J771" s="39" t="s">
        <v>2435</v>
      </c>
      <c r="K771" s="341" t="s">
        <v>2436</v>
      </c>
      <c r="L771" s="22" t="str">
        <f t="shared" si="77"/>
        <v>Carrera 15 # 8 - 50 hasta el 56, San Bosco, Cali</v>
      </c>
      <c r="M771" s="22" t="s">
        <v>231</v>
      </c>
      <c r="N771" s="22" t="s">
        <v>233</v>
      </c>
      <c r="O771" s="22"/>
      <c r="P771" s="22"/>
      <c r="Q771" s="22"/>
      <c r="R771" s="122"/>
      <c r="S771" s="122"/>
      <c r="T771" s="122">
        <v>1.0</v>
      </c>
      <c r="U771" s="22"/>
      <c r="V771" s="22"/>
      <c r="W771" s="22"/>
      <c r="X771" s="22"/>
      <c r="Y771" s="22"/>
      <c r="Z771" s="22"/>
      <c r="AA771" s="22"/>
      <c r="AB771" s="22"/>
      <c r="AD771" s="22"/>
      <c r="AE771" s="22"/>
      <c r="AF771" s="22"/>
      <c r="AG771" s="22"/>
      <c r="AH771" s="22"/>
      <c r="AI771" s="22"/>
      <c r="AJ771" s="22"/>
      <c r="AK771" s="22"/>
      <c r="AL771" s="22"/>
      <c r="AM771" s="22"/>
      <c r="AN771" s="22"/>
      <c r="AO771" s="22"/>
      <c r="AP771" s="22"/>
    </row>
    <row r="772" ht="25.5" customHeight="1">
      <c r="A772" s="306">
        <f t="shared" si="3"/>
        <v>771</v>
      </c>
      <c r="B772" s="306" t="s">
        <v>61</v>
      </c>
      <c r="C772" s="39" t="s">
        <v>279</v>
      </c>
      <c r="D772" s="39" t="s">
        <v>515</v>
      </c>
      <c r="E772" s="22"/>
      <c r="F772" s="204" t="s">
        <v>436</v>
      </c>
      <c r="G772" s="204" t="s">
        <v>426</v>
      </c>
      <c r="H772" s="39" t="s">
        <v>435</v>
      </c>
      <c r="I772" s="22" t="s">
        <v>286</v>
      </c>
      <c r="J772" s="39" t="s">
        <v>2437</v>
      </c>
      <c r="K772" s="39" t="s">
        <v>2438</v>
      </c>
      <c r="L772" s="39" t="str">
        <f t="shared" si="77"/>
        <v>Calle 99 # 55 - 250, Puertas del sol, Cali</v>
      </c>
      <c r="M772" s="39" t="s">
        <v>231</v>
      </c>
      <c r="N772" s="39" t="s">
        <v>233</v>
      </c>
      <c r="O772" s="22"/>
      <c r="P772" s="22"/>
      <c r="Q772" s="22"/>
      <c r="R772" s="122"/>
      <c r="S772" s="122"/>
      <c r="T772" s="122">
        <v>1.0</v>
      </c>
      <c r="U772" s="22"/>
      <c r="V772" s="22"/>
      <c r="W772" s="22"/>
      <c r="X772" s="22"/>
      <c r="Y772" s="22"/>
      <c r="Z772" s="22"/>
      <c r="AA772" s="22"/>
      <c r="AB772" s="22"/>
      <c r="AD772" s="22"/>
      <c r="AE772" s="22"/>
      <c r="AF772" s="22"/>
      <c r="AG772" s="22"/>
      <c r="AH772" s="22"/>
      <c r="AI772" s="22"/>
      <c r="AJ772" s="22"/>
      <c r="AK772" s="22"/>
      <c r="AL772" s="22"/>
      <c r="AM772" s="22"/>
      <c r="AN772" s="22"/>
      <c r="AO772" s="22"/>
      <c r="AP772" s="22"/>
    </row>
    <row r="773" ht="25.5" customHeight="1">
      <c r="A773" s="306">
        <f t="shared" si="3"/>
        <v>772</v>
      </c>
      <c r="B773" s="306" t="s">
        <v>61</v>
      </c>
      <c r="C773" s="39" t="s">
        <v>279</v>
      </c>
      <c r="D773" s="39" t="s">
        <v>515</v>
      </c>
      <c r="E773" s="22"/>
      <c r="F773" s="204" t="s">
        <v>2439</v>
      </c>
      <c r="G773" s="204" t="s">
        <v>36</v>
      </c>
      <c r="H773" s="39" t="s">
        <v>504</v>
      </c>
      <c r="I773" s="39" t="s">
        <v>2440</v>
      </c>
      <c r="J773" s="39" t="s">
        <v>2441</v>
      </c>
      <c r="K773" s="39" t="s">
        <v>2442</v>
      </c>
      <c r="L773" s="39" t="str">
        <f t="shared" si="77"/>
        <v>Carrer 100 # 34 96, Valle del Lili, Cali</v>
      </c>
      <c r="M773" s="39" t="s">
        <v>231</v>
      </c>
      <c r="N773" s="39" t="s">
        <v>233</v>
      </c>
      <c r="O773" s="22"/>
      <c r="P773" s="22"/>
      <c r="Q773" s="22"/>
      <c r="R773" s="122"/>
      <c r="S773" s="122"/>
      <c r="T773" s="122">
        <v>1.0</v>
      </c>
      <c r="U773" s="22"/>
      <c r="V773" s="22"/>
      <c r="W773" s="22"/>
      <c r="X773" s="22"/>
      <c r="Y773" s="22"/>
      <c r="Z773" s="22"/>
      <c r="AA773" s="22"/>
      <c r="AB773" s="22"/>
      <c r="AD773" s="22"/>
      <c r="AE773" s="22"/>
      <c r="AF773" s="22"/>
      <c r="AG773" s="22"/>
      <c r="AH773" s="22"/>
      <c r="AI773" s="22"/>
      <c r="AJ773" s="22"/>
      <c r="AK773" s="22"/>
      <c r="AL773" s="22"/>
      <c r="AM773" s="22"/>
      <c r="AN773" s="22"/>
      <c r="AO773" s="22"/>
      <c r="AP773" s="22"/>
    </row>
    <row r="774" ht="25.5" customHeight="1">
      <c r="A774" s="306">
        <f t="shared" si="3"/>
        <v>773</v>
      </c>
      <c r="B774" s="39" t="s">
        <v>32</v>
      </c>
      <c r="C774" s="39" t="s">
        <v>279</v>
      </c>
      <c r="D774" s="39" t="s">
        <v>515</v>
      </c>
      <c r="E774" s="22"/>
      <c r="F774" s="204" t="s">
        <v>353</v>
      </c>
      <c r="G774" s="204" t="s">
        <v>176</v>
      </c>
      <c r="H774" s="39" t="s">
        <v>457</v>
      </c>
      <c r="I774" s="39" t="s">
        <v>2443</v>
      </c>
      <c r="J774" s="39" t="s">
        <v>2444</v>
      </c>
      <c r="K774" s="39" t="s">
        <v>2445</v>
      </c>
      <c r="L774" s="39" t="str">
        <f t="shared" si="77"/>
        <v>Carrera 14 # 5-19, San Juan Bosco, Cali</v>
      </c>
      <c r="M774" s="39" t="s">
        <v>231</v>
      </c>
      <c r="N774" s="39" t="s">
        <v>233</v>
      </c>
      <c r="O774" s="22"/>
      <c r="P774" s="22"/>
      <c r="Q774" s="22"/>
      <c r="R774" s="122"/>
      <c r="S774" s="122"/>
      <c r="T774" s="122">
        <v>1.0</v>
      </c>
      <c r="U774" s="22"/>
      <c r="V774" s="22"/>
      <c r="W774" s="22"/>
      <c r="X774" s="22"/>
      <c r="Y774" s="22"/>
      <c r="Z774" s="39" t="s">
        <v>2446</v>
      </c>
      <c r="AA774" s="39"/>
      <c r="AB774" s="39"/>
      <c r="AD774" s="22"/>
      <c r="AE774" s="22"/>
      <c r="AF774" s="22"/>
      <c r="AG774" s="22"/>
      <c r="AH774" s="22"/>
      <c r="AI774" s="22"/>
      <c r="AJ774" s="22"/>
      <c r="AK774" s="22"/>
      <c r="AL774" s="22"/>
      <c r="AM774" s="22"/>
      <c r="AN774" s="22"/>
      <c r="AO774" s="22"/>
      <c r="AP774" s="22"/>
    </row>
    <row r="775" ht="25.5" customHeight="1">
      <c r="A775" s="306">
        <f t="shared" si="3"/>
        <v>774</v>
      </c>
      <c r="B775" s="306" t="s">
        <v>61</v>
      </c>
      <c r="C775" s="39" t="s">
        <v>279</v>
      </c>
      <c r="D775" s="39" t="s">
        <v>515</v>
      </c>
      <c r="E775" s="22"/>
      <c r="F775" s="204" t="s">
        <v>469</v>
      </c>
      <c r="G775" s="204" t="s">
        <v>176</v>
      </c>
      <c r="H775" s="39" t="s">
        <v>1361</v>
      </c>
      <c r="I775" s="22" t="s">
        <v>286</v>
      </c>
      <c r="J775" s="39" t="s">
        <v>2447</v>
      </c>
      <c r="K775" s="39" t="s">
        <v>2448</v>
      </c>
      <c r="L775" s="39" t="str">
        <f t="shared" si="77"/>
        <v>Carrera 8 # 10 - 47, San pedro, Cali</v>
      </c>
      <c r="M775" s="39" t="s">
        <v>231</v>
      </c>
      <c r="N775" s="39" t="s">
        <v>233</v>
      </c>
      <c r="O775" s="22"/>
      <c r="P775" s="22"/>
      <c r="Q775" s="22"/>
      <c r="R775" s="122"/>
      <c r="S775" s="122"/>
      <c r="T775" s="122">
        <v>1.0</v>
      </c>
      <c r="U775" s="22"/>
      <c r="V775" s="22"/>
      <c r="W775" s="22"/>
      <c r="X775" s="22"/>
      <c r="Y775" s="22"/>
      <c r="Z775" s="22"/>
      <c r="AA775" s="22"/>
      <c r="AB775" s="22"/>
      <c r="AD775" s="22"/>
      <c r="AE775" s="22"/>
      <c r="AF775" s="22"/>
      <c r="AG775" s="22"/>
      <c r="AH775" s="22"/>
      <c r="AI775" s="22"/>
      <c r="AJ775" s="22"/>
      <c r="AK775" s="22"/>
      <c r="AL775" s="22"/>
      <c r="AM775" s="22"/>
      <c r="AN775" s="22"/>
      <c r="AO775" s="22"/>
      <c r="AP775" s="22"/>
    </row>
    <row r="776" ht="25.5" customHeight="1">
      <c r="A776" s="306">
        <f t="shared" si="3"/>
        <v>775</v>
      </c>
      <c r="B776" s="306" t="s">
        <v>61</v>
      </c>
      <c r="C776" s="39" t="s">
        <v>279</v>
      </c>
      <c r="D776" s="39" t="s">
        <v>515</v>
      </c>
      <c r="E776" s="22"/>
      <c r="F776" s="204" t="s">
        <v>363</v>
      </c>
      <c r="G776" s="122" t="s">
        <v>939</v>
      </c>
      <c r="H776" s="39" t="s">
        <v>219</v>
      </c>
      <c r="I776" s="39" t="s">
        <v>38</v>
      </c>
      <c r="J776" s="39" t="s">
        <v>2449</v>
      </c>
      <c r="K776" s="39" t="s">
        <v>2450</v>
      </c>
      <c r="L776" s="39" t="str">
        <f t="shared" si="77"/>
        <v>Carrera 38 # 9a Oste -50, Cristales, Cali</v>
      </c>
      <c r="M776" s="39" t="s">
        <v>231</v>
      </c>
      <c r="N776" s="39" t="s">
        <v>233</v>
      </c>
      <c r="O776" s="22"/>
      <c r="P776" s="22"/>
      <c r="R776" s="50"/>
      <c r="S776" s="50"/>
      <c r="T776" s="50">
        <v>1.0</v>
      </c>
      <c r="Y776" s="22"/>
      <c r="Z776" s="22"/>
      <c r="AA776" s="22"/>
      <c r="AB776" s="22"/>
      <c r="AD776" s="22"/>
      <c r="AE776" s="22"/>
      <c r="AF776" s="22"/>
      <c r="AG776" s="22"/>
      <c r="AH776" s="22"/>
      <c r="AI776" s="22"/>
      <c r="AJ776" s="22"/>
      <c r="AK776" s="22"/>
      <c r="AL776" s="22"/>
      <c r="AM776" s="22"/>
      <c r="AN776" s="22"/>
      <c r="AO776" s="22"/>
      <c r="AP776" s="22"/>
    </row>
    <row r="777" ht="25.5" customHeight="1">
      <c r="A777" s="306">
        <f t="shared" si="3"/>
        <v>776</v>
      </c>
      <c r="B777" s="306" t="s">
        <v>61</v>
      </c>
      <c r="C777" s="39" t="s">
        <v>279</v>
      </c>
      <c r="D777" s="39" t="s">
        <v>515</v>
      </c>
      <c r="E777" s="22"/>
      <c r="F777" s="204" t="s">
        <v>101</v>
      </c>
      <c r="G777" s="204" t="s">
        <v>1875</v>
      </c>
      <c r="H777" s="39" t="s">
        <v>100</v>
      </c>
      <c r="I777" s="39" t="s">
        <v>2451</v>
      </c>
      <c r="J777" s="39" t="s">
        <v>2452</v>
      </c>
      <c r="K777" s="39" t="s">
        <v>2453</v>
      </c>
      <c r="L777" s="39" t="str">
        <f t="shared" si="77"/>
        <v>Carrera 14 # 74-55, Andres Sanin, Cali</v>
      </c>
      <c r="M777" s="340" t="s">
        <v>2454</v>
      </c>
      <c r="N777" s="340" t="s">
        <v>233</v>
      </c>
      <c r="O777" s="39" t="s">
        <v>46</v>
      </c>
      <c r="P777" s="22"/>
      <c r="Q777" s="22"/>
      <c r="R777" s="122"/>
      <c r="S777" s="122"/>
      <c r="T777" s="122">
        <v>1.0</v>
      </c>
      <c r="U777" s="22"/>
      <c r="V777" s="22"/>
      <c r="W777" s="22"/>
      <c r="X777" s="22"/>
      <c r="Y777" s="22"/>
      <c r="Z777" s="22"/>
      <c r="AA777" s="22"/>
      <c r="AB777" s="22"/>
      <c r="AD777" s="22"/>
      <c r="AE777" s="22"/>
      <c r="AF777" s="22"/>
      <c r="AG777" s="22"/>
      <c r="AH777" s="22"/>
      <c r="AI777" s="22"/>
      <c r="AJ777" s="22"/>
      <c r="AK777" s="22"/>
      <c r="AL777" s="22"/>
      <c r="AM777" s="22"/>
      <c r="AN777" s="22"/>
      <c r="AO777" s="22"/>
      <c r="AP777" s="22"/>
    </row>
    <row r="778" ht="25.5" customHeight="1">
      <c r="A778" s="312">
        <f t="shared" si="3"/>
        <v>777</v>
      </c>
      <c r="B778" s="312" t="s">
        <v>61</v>
      </c>
      <c r="C778" s="27" t="s">
        <v>279</v>
      </c>
      <c r="D778" s="27" t="s">
        <v>515</v>
      </c>
      <c r="E778" s="33"/>
      <c r="F778" s="30" t="s">
        <v>309</v>
      </c>
      <c r="G778" s="30" t="s">
        <v>2011</v>
      </c>
      <c r="H778" s="27" t="s">
        <v>308</v>
      </c>
      <c r="I778" s="27" t="s">
        <v>286</v>
      </c>
      <c r="J778" s="27" t="s">
        <v>2455</v>
      </c>
      <c r="K778" s="33"/>
      <c r="L778" s="33" t="str">
        <f t="shared" si="77"/>
        <v>Avenida 10n # 7n -10 apart 502, Juananbu, Cali</v>
      </c>
      <c r="M778" s="340" t="s">
        <v>2456</v>
      </c>
      <c r="N778" s="340" t="s">
        <v>642</v>
      </c>
      <c r="O778" s="22"/>
      <c r="P778" s="22"/>
      <c r="Q778" s="22"/>
      <c r="R778" s="122"/>
      <c r="S778" s="122"/>
      <c r="T778" s="122">
        <v>1.0</v>
      </c>
      <c r="U778" s="22"/>
      <c r="V778" s="22"/>
      <c r="W778" s="22"/>
      <c r="X778" s="22"/>
      <c r="Y778" s="22"/>
      <c r="Z778" s="22"/>
      <c r="AA778" s="22"/>
      <c r="AB778" s="22"/>
      <c r="AD778" s="22"/>
      <c r="AE778" s="22"/>
      <c r="AF778" s="22"/>
      <c r="AG778" s="22"/>
      <c r="AH778" s="22"/>
      <c r="AI778" s="22"/>
      <c r="AJ778" s="22"/>
      <c r="AK778" s="22"/>
      <c r="AL778" s="22"/>
      <c r="AM778" s="22"/>
      <c r="AN778" s="22"/>
      <c r="AO778" s="22"/>
      <c r="AP778" s="22"/>
    </row>
    <row r="779" ht="25.5" customHeight="1">
      <c r="A779" s="306">
        <f t="shared" si="3"/>
        <v>778</v>
      </c>
      <c r="B779" s="306" t="s">
        <v>61</v>
      </c>
      <c r="C779" s="39" t="s">
        <v>279</v>
      </c>
      <c r="D779" s="39" t="s">
        <v>515</v>
      </c>
      <c r="E779" s="22"/>
      <c r="F779" s="204" t="s">
        <v>363</v>
      </c>
      <c r="G779" s="204" t="s">
        <v>939</v>
      </c>
      <c r="H779" s="39" t="s">
        <v>442</v>
      </c>
      <c r="I779" s="39" t="s">
        <v>1238</v>
      </c>
      <c r="J779" s="39" t="s">
        <v>2457</v>
      </c>
      <c r="K779" s="39" t="s">
        <v>2458</v>
      </c>
      <c r="L779" s="39" t="str">
        <f t="shared" si="77"/>
        <v>Calle 2 #66B-19, apto 203, Refugio, Cali</v>
      </c>
      <c r="M779" s="340" t="s">
        <v>2459</v>
      </c>
      <c r="N779" s="340" t="s">
        <v>233</v>
      </c>
      <c r="O779" s="22"/>
      <c r="P779" s="22"/>
      <c r="Q779" s="22"/>
      <c r="R779" s="122"/>
      <c r="S779" s="122"/>
      <c r="T779" s="122">
        <v>1.0</v>
      </c>
      <c r="U779" s="22"/>
      <c r="V779" s="22"/>
      <c r="W779" s="22"/>
      <c r="X779" s="22"/>
      <c r="Y779" s="22"/>
      <c r="Z779" s="39" t="s">
        <v>2460</v>
      </c>
      <c r="AA779" s="39"/>
      <c r="AB779" s="39"/>
      <c r="AD779" s="22"/>
      <c r="AE779" s="22"/>
      <c r="AF779" s="22"/>
      <c r="AG779" s="22"/>
      <c r="AH779" s="22"/>
      <c r="AI779" s="22"/>
      <c r="AJ779" s="22"/>
      <c r="AK779" s="22"/>
      <c r="AL779" s="22"/>
      <c r="AM779" s="22"/>
      <c r="AN779" s="22"/>
      <c r="AO779" s="22"/>
      <c r="AP779" s="22"/>
    </row>
    <row r="780" ht="25.5" customHeight="1">
      <c r="A780" s="306">
        <f t="shared" si="3"/>
        <v>779</v>
      </c>
      <c r="B780" s="306" t="s">
        <v>61</v>
      </c>
      <c r="C780" s="39" t="s">
        <v>279</v>
      </c>
      <c r="D780" s="39" t="s">
        <v>515</v>
      </c>
      <c r="E780" s="22"/>
      <c r="F780" s="204" t="s">
        <v>101</v>
      </c>
      <c r="G780" s="204" t="s">
        <v>1875</v>
      </c>
      <c r="H780" s="39" t="s">
        <v>438</v>
      </c>
      <c r="I780" s="39" t="s">
        <v>2461</v>
      </c>
      <c r="J780" s="39" t="s">
        <v>2462</v>
      </c>
      <c r="K780" s="39" t="s">
        <v>2463</v>
      </c>
      <c r="L780" s="39" t="str">
        <f t="shared" si="77"/>
        <v>Calle 79 # 9A-32, puerto mallarino, Cali</v>
      </c>
      <c r="M780" s="340" t="s">
        <v>2464</v>
      </c>
      <c r="N780" s="340" t="s">
        <v>233</v>
      </c>
      <c r="O780" s="22"/>
      <c r="P780" s="22"/>
      <c r="Q780" s="22"/>
      <c r="R780" s="122"/>
      <c r="S780" s="122"/>
      <c r="T780" s="122">
        <v>1.0</v>
      </c>
      <c r="U780" s="22"/>
      <c r="V780" s="22"/>
      <c r="W780" s="22"/>
      <c r="X780" s="22"/>
      <c r="Y780" s="22"/>
      <c r="Z780" s="22"/>
      <c r="AA780" s="22"/>
      <c r="AB780" s="22"/>
      <c r="AD780" s="22"/>
      <c r="AE780" s="22"/>
      <c r="AF780" s="22"/>
      <c r="AG780" s="22"/>
      <c r="AH780" s="22"/>
      <c r="AI780" s="22"/>
      <c r="AJ780" s="22"/>
      <c r="AK780" s="22"/>
      <c r="AL780" s="22"/>
      <c r="AM780" s="22"/>
      <c r="AN780" s="22"/>
      <c r="AO780" s="22"/>
      <c r="AP780" s="22"/>
    </row>
    <row r="781" ht="25.5" customHeight="1">
      <c r="A781" s="306">
        <f t="shared" si="3"/>
        <v>780</v>
      </c>
      <c r="B781" s="306" t="s">
        <v>61</v>
      </c>
      <c r="C781" s="39" t="s">
        <v>279</v>
      </c>
      <c r="D781" s="39" t="s">
        <v>515</v>
      </c>
      <c r="E781" s="22"/>
      <c r="F781" s="204" t="s">
        <v>459</v>
      </c>
      <c r="G781" s="204" t="s">
        <v>1960</v>
      </c>
      <c r="H781" s="39" t="s">
        <v>458</v>
      </c>
      <c r="I781" s="39" t="s">
        <v>286</v>
      </c>
      <c r="J781" s="39" t="s">
        <v>2465</v>
      </c>
      <c r="K781" s="22"/>
      <c r="L781" s="22" t="str">
        <f t="shared" si="77"/>
        <v>carrera 41a #16_40, San Judas, Cali</v>
      </c>
      <c r="M781" s="342" t="s">
        <v>2466</v>
      </c>
      <c r="N781" s="342" t="s">
        <v>233</v>
      </c>
      <c r="O781" s="22"/>
      <c r="P781" s="22"/>
      <c r="Q781" s="22"/>
      <c r="R781" s="122"/>
      <c r="S781" s="122"/>
      <c r="T781" s="122">
        <v>1.0</v>
      </c>
      <c r="U781" s="22"/>
      <c r="V781" s="22"/>
      <c r="W781" s="22"/>
      <c r="X781" s="22"/>
      <c r="Y781" s="22"/>
      <c r="Z781" s="39" t="s">
        <v>2467</v>
      </c>
      <c r="AA781" s="39"/>
      <c r="AB781" s="39"/>
      <c r="AD781" s="22"/>
      <c r="AE781" s="22"/>
      <c r="AF781" s="22"/>
      <c r="AG781" s="22"/>
      <c r="AH781" s="22"/>
      <c r="AI781" s="22"/>
      <c r="AJ781" s="22"/>
      <c r="AK781" s="22"/>
      <c r="AL781" s="22"/>
      <c r="AM781" s="22"/>
      <c r="AN781" s="22"/>
      <c r="AO781" s="22"/>
      <c r="AP781" s="22"/>
    </row>
    <row r="782" ht="34.5" customHeight="1">
      <c r="A782" s="20">
        <f t="shared" si="3"/>
        <v>781</v>
      </c>
      <c r="B782" s="20" t="s">
        <v>32</v>
      </c>
      <c r="C782" s="20" t="s">
        <v>279</v>
      </c>
      <c r="D782" s="20" t="s">
        <v>335</v>
      </c>
      <c r="E782" s="20" t="s">
        <v>46</v>
      </c>
      <c r="F782" s="105" t="s">
        <v>363</v>
      </c>
      <c r="G782" s="105" t="s">
        <v>36</v>
      </c>
      <c r="H782" s="20" t="s">
        <v>2422</v>
      </c>
      <c r="I782" s="20" t="s">
        <v>286</v>
      </c>
      <c r="J782" s="20" t="s">
        <v>2468</v>
      </c>
      <c r="K782" s="20" t="s">
        <v>2469</v>
      </c>
      <c r="L782" s="20" t="str">
        <f t="shared" si="77"/>
        <v>Calle 5 B 3 # 38 16, San fernando nuevo, Cali</v>
      </c>
      <c r="M782" s="343" t="s">
        <v>2470</v>
      </c>
      <c r="N782" s="343" t="s">
        <v>642</v>
      </c>
      <c r="O782" s="107"/>
      <c r="P782" s="107"/>
      <c r="Q782" s="107"/>
      <c r="R782" s="339"/>
      <c r="S782" s="339"/>
      <c r="T782" s="339">
        <v>1.0</v>
      </c>
      <c r="U782" s="107"/>
      <c r="V782" s="107"/>
      <c r="W782" s="107"/>
      <c r="X782" s="107"/>
      <c r="Y782" s="107"/>
      <c r="Z782" s="20" t="s">
        <v>2471</v>
      </c>
      <c r="AA782" s="20"/>
      <c r="AB782" s="20"/>
      <c r="AD782" s="22"/>
      <c r="AE782" s="22"/>
      <c r="AF782" s="22"/>
      <c r="AG782" s="22"/>
      <c r="AH782" s="22"/>
      <c r="AI782" s="22"/>
      <c r="AJ782" s="22"/>
      <c r="AK782" s="22"/>
      <c r="AL782" s="22"/>
      <c r="AM782" s="22"/>
      <c r="AN782" s="22"/>
      <c r="AO782" s="22"/>
      <c r="AP782" s="22"/>
    </row>
    <row r="783" ht="25.5" customHeight="1">
      <c r="A783" s="312">
        <f t="shared" si="3"/>
        <v>782</v>
      </c>
      <c r="B783" s="344" t="s">
        <v>61</v>
      </c>
      <c r="C783" s="156" t="s">
        <v>279</v>
      </c>
      <c r="D783" s="27" t="s">
        <v>515</v>
      </c>
      <c r="E783" s="263"/>
      <c r="F783" s="11" t="s">
        <v>353</v>
      </c>
      <c r="G783" s="11" t="s">
        <v>2472</v>
      </c>
      <c r="H783" s="121" t="s">
        <v>351</v>
      </c>
      <c r="I783" s="121" t="s">
        <v>1238</v>
      </c>
      <c r="J783" s="121" t="s">
        <v>2473</v>
      </c>
      <c r="K783" s="121" t="s">
        <v>351</v>
      </c>
      <c r="L783" s="263" t="str">
        <f t="shared" si="77"/>
        <v>Cra 1 No. 4 A 70D 08 bloque 95 apto 101, Los Alcazares, Cali</v>
      </c>
      <c r="M783" s="340" t="s">
        <v>2474</v>
      </c>
      <c r="N783" s="340" t="s">
        <v>233</v>
      </c>
      <c r="O783" s="272"/>
      <c r="P783" s="272"/>
      <c r="Q783" s="345"/>
      <c r="R783" s="346"/>
      <c r="S783" s="346"/>
      <c r="T783" s="346">
        <v>1.0</v>
      </c>
      <c r="U783" s="345"/>
      <c r="V783" s="345"/>
      <c r="W783" s="345"/>
      <c r="X783" s="345"/>
      <c r="Y783" s="272"/>
      <c r="Z783" s="347" t="s">
        <v>2475</v>
      </c>
      <c r="AA783" s="347"/>
      <c r="AB783" s="347"/>
      <c r="AD783" s="272"/>
      <c r="AE783" s="272"/>
      <c r="AF783" s="272"/>
      <c r="AG783" s="272"/>
      <c r="AH783" s="272"/>
      <c r="AI783" s="272"/>
      <c r="AJ783" s="272"/>
      <c r="AK783" s="272"/>
      <c r="AL783" s="272"/>
      <c r="AM783" s="272"/>
      <c r="AN783" s="272"/>
      <c r="AO783" s="272"/>
      <c r="AP783" s="272"/>
    </row>
    <row r="784" ht="25.5" customHeight="1">
      <c r="A784" s="306">
        <f t="shared" si="3"/>
        <v>783</v>
      </c>
      <c r="B784" s="348" t="s">
        <v>61</v>
      </c>
      <c r="C784" s="349" t="s">
        <v>279</v>
      </c>
      <c r="D784" s="39" t="s">
        <v>515</v>
      </c>
      <c r="E784" s="22"/>
      <c r="F784" s="204" t="s">
        <v>73</v>
      </c>
      <c r="G784" s="204" t="s">
        <v>36</v>
      </c>
      <c r="H784" s="39" t="s">
        <v>144</v>
      </c>
      <c r="I784" s="39" t="s">
        <v>286</v>
      </c>
      <c r="J784" s="347" t="s">
        <v>2476</v>
      </c>
      <c r="K784" s="39" t="s">
        <v>286</v>
      </c>
      <c r="L784" s="22" t="str">
        <f t="shared" si="77"/>
        <v>Calle 10 # 21 47, Bretaña, Cali</v>
      </c>
      <c r="M784" s="340" t="s">
        <v>2477</v>
      </c>
      <c r="N784" s="340" t="s">
        <v>233</v>
      </c>
      <c r="O784" s="22"/>
      <c r="P784" s="22"/>
      <c r="Q784" s="22"/>
      <c r="R784" s="122"/>
      <c r="S784" s="122"/>
      <c r="T784" s="122">
        <v>1.0</v>
      </c>
      <c r="U784" s="22"/>
      <c r="V784" s="22"/>
      <c r="W784" s="22"/>
      <c r="X784" s="22"/>
      <c r="Y784" s="22"/>
      <c r="Z784" s="39" t="s">
        <v>2478</v>
      </c>
      <c r="AA784" s="39"/>
      <c r="AB784" s="39"/>
      <c r="AD784" s="22"/>
      <c r="AE784" s="22"/>
      <c r="AF784" s="22"/>
      <c r="AG784" s="22"/>
      <c r="AH784" s="22"/>
      <c r="AI784" s="22"/>
      <c r="AJ784" s="22"/>
      <c r="AK784" s="22"/>
      <c r="AL784" s="22"/>
      <c r="AM784" s="22"/>
      <c r="AN784" s="22"/>
      <c r="AO784" s="22"/>
      <c r="AP784" s="22"/>
    </row>
    <row r="785" ht="25.5" customHeight="1">
      <c r="A785" s="306">
        <f t="shared" si="3"/>
        <v>784</v>
      </c>
      <c r="B785" s="348" t="s">
        <v>61</v>
      </c>
      <c r="C785" s="349" t="s">
        <v>279</v>
      </c>
      <c r="D785" s="39" t="s">
        <v>515</v>
      </c>
      <c r="E785" s="22"/>
      <c r="F785" s="204" t="s">
        <v>363</v>
      </c>
      <c r="G785" s="204" t="s">
        <v>939</v>
      </c>
      <c r="H785" s="39" t="s">
        <v>362</v>
      </c>
      <c r="I785" s="39" t="s">
        <v>38</v>
      </c>
      <c r="J785" s="39" t="s">
        <v>2479</v>
      </c>
      <c r="K785" s="22"/>
      <c r="L785" s="22" t="str">
        <f t="shared" si="77"/>
        <v>Carrera 36d #12 oeste - 143, Los Cristales, Cali</v>
      </c>
      <c r="M785" s="340" t="s">
        <v>2480</v>
      </c>
      <c r="N785" s="340" t="s">
        <v>233</v>
      </c>
      <c r="O785" s="22"/>
      <c r="P785" s="22"/>
      <c r="Q785" s="22"/>
      <c r="R785" s="122"/>
      <c r="S785" s="122"/>
      <c r="T785" s="122">
        <v>1.0</v>
      </c>
      <c r="U785" s="22"/>
      <c r="V785" s="22"/>
      <c r="W785" s="22"/>
      <c r="X785" s="22"/>
      <c r="Y785" s="22"/>
      <c r="Z785" s="39" t="s">
        <v>2481</v>
      </c>
      <c r="AA785" s="39"/>
      <c r="AB785" s="39"/>
      <c r="AD785" s="22"/>
      <c r="AE785" s="22"/>
      <c r="AF785" s="22"/>
      <c r="AG785" s="22"/>
      <c r="AH785" s="22"/>
      <c r="AI785" s="22"/>
      <c r="AJ785" s="22"/>
      <c r="AK785" s="22"/>
      <c r="AL785" s="22"/>
      <c r="AM785" s="22"/>
      <c r="AN785" s="22"/>
      <c r="AO785" s="22"/>
      <c r="AP785" s="22"/>
    </row>
    <row r="786" ht="25.5" customHeight="1">
      <c r="A786" s="306">
        <f t="shared" si="3"/>
        <v>785</v>
      </c>
      <c r="B786" s="348" t="s">
        <v>61</v>
      </c>
      <c r="C786" s="349" t="s">
        <v>279</v>
      </c>
      <c r="D786" s="39" t="s">
        <v>515</v>
      </c>
      <c r="E786" s="22"/>
      <c r="F786" s="204" t="s">
        <v>363</v>
      </c>
      <c r="G786" s="204" t="s">
        <v>939</v>
      </c>
      <c r="H786" s="39" t="s">
        <v>158</v>
      </c>
      <c r="I786" s="39" t="s">
        <v>38</v>
      </c>
      <c r="J786" s="39" t="s">
        <v>2482</v>
      </c>
      <c r="K786" s="39" t="s">
        <v>2483</v>
      </c>
      <c r="L786" s="22" t="str">
        <f t="shared" si="77"/>
        <v>Carrera 59# 1-10, Cuarto de Legua, Cali</v>
      </c>
      <c r="M786" s="340" t="s">
        <v>2484</v>
      </c>
      <c r="N786" s="340" t="s">
        <v>233</v>
      </c>
      <c r="O786" s="22"/>
      <c r="P786" s="22"/>
      <c r="Q786" s="22"/>
      <c r="R786" s="122"/>
      <c r="S786" s="122"/>
      <c r="T786" s="122">
        <v>1.0</v>
      </c>
      <c r="U786" s="22"/>
      <c r="V786" s="22"/>
      <c r="W786" s="22"/>
      <c r="X786" s="22"/>
      <c r="Y786" s="22"/>
      <c r="Z786" s="39" t="s">
        <v>2485</v>
      </c>
      <c r="AA786" s="39"/>
      <c r="AB786" s="39"/>
      <c r="AD786" s="22"/>
      <c r="AE786" s="22"/>
      <c r="AF786" s="22"/>
      <c r="AG786" s="22"/>
      <c r="AH786" s="22"/>
      <c r="AI786" s="22"/>
      <c r="AJ786" s="22"/>
      <c r="AK786" s="22"/>
      <c r="AL786" s="22"/>
      <c r="AM786" s="22"/>
      <c r="AN786" s="22"/>
      <c r="AO786" s="22"/>
      <c r="AP786" s="22"/>
    </row>
    <row r="787" ht="25.5" customHeight="1">
      <c r="A787" s="306">
        <f t="shared" si="3"/>
        <v>786</v>
      </c>
      <c r="B787" s="348" t="s">
        <v>61</v>
      </c>
      <c r="C787" s="349" t="s">
        <v>279</v>
      </c>
      <c r="D787" s="39" t="s">
        <v>515</v>
      </c>
      <c r="E787" s="22"/>
      <c r="F787" s="204" t="s">
        <v>459</v>
      </c>
      <c r="G787" s="204" t="s">
        <v>1960</v>
      </c>
      <c r="H787" s="39" t="s">
        <v>240</v>
      </c>
      <c r="I787" s="39" t="s">
        <v>38</v>
      </c>
      <c r="J787" s="39" t="s">
        <v>2486</v>
      </c>
      <c r="K787" s="39" t="s">
        <v>2487</v>
      </c>
      <c r="L787" s="22" t="str">
        <f t="shared" si="77"/>
        <v>Calle 14 #42-12, El Guabal, Cali</v>
      </c>
      <c r="M787" s="340" t="s">
        <v>2488</v>
      </c>
      <c r="N787" s="340" t="s">
        <v>233</v>
      </c>
      <c r="O787" s="22"/>
      <c r="P787" s="22"/>
      <c r="Q787" s="22"/>
      <c r="R787" s="122"/>
      <c r="S787" s="122"/>
      <c r="T787" s="122">
        <v>1.0</v>
      </c>
      <c r="U787" s="22"/>
      <c r="V787" s="22"/>
      <c r="W787" s="22"/>
      <c r="X787" s="22"/>
      <c r="Y787" s="22"/>
      <c r="Z787" s="39" t="s">
        <v>2489</v>
      </c>
      <c r="AA787" s="39"/>
      <c r="AB787" s="39"/>
      <c r="AD787" s="22"/>
      <c r="AE787" s="22"/>
      <c r="AF787" s="22"/>
      <c r="AG787" s="22"/>
      <c r="AH787" s="22"/>
      <c r="AI787" s="22"/>
      <c r="AJ787" s="22"/>
      <c r="AK787" s="22"/>
      <c r="AL787" s="22"/>
      <c r="AM787" s="22"/>
      <c r="AN787" s="22"/>
      <c r="AO787" s="22"/>
      <c r="AP787" s="22"/>
    </row>
    <row r="788" ht="25.5" customHeight="1">
      <c r="A788" s="306">
        <f t="shared" si="3"/>
        <v>787</v>
      </c>
      <c r="B788" s="348" t="s">
        <v>61</v>
      </c>
      <c r="C788" s="349" t="s">
        <v>279</v>
      </c>
      <c r="D788" s="39" t="s">
        <v>515</v>
      </c>
      <c r="E788" s="22"/>
      <c r="F788" s="204" t="s">
        <v>309</v>
      </c>
      <c r="G788" s="204" t="s">
        <v>2011</v>
      </c>
      <c r="H788" s="39" t="s">
        <v>1612</v>
      </c>
      <c r="I788" s="22"/>
      <c r="J788" s="39" t="s">
        <v>2490</v>
      </c>
      <c r="K788" s="22"/>
      <c r="L788" s="22" t="str">
        <f t="shared" si="77"/>
        <v>Avenida 4 con 37 A, La flora, Cali</v>
      </c>
      <c r="M788" s="22" t="s">
        <v>231</v>
      </c>
      <c r="N788" s="22" t="s">
        <v>233</v>
      </c>
      <c r="O788" s="22"/>
      <c r="P788" s="22"/>
      <c r="Q788" s="22"/>
      <c r="R788" s="122"/>
      <c r="S788" s="122"/>
      <c r="T788" s="122">
        <v>1.0</v>
      </c>
      <c r="U788" s="22"/>
      <c r="V788" s="22"/>
      <c r="W788" s="22"/>
      <c r="X788" s="22"/>
      <c r="Y788" s="22"/>
      <c r="Z788" s="22"/>
      <c r="AA788" s="22"/>
      <c r="AB788" s="22"/>
      <c r="AD788" s="22"/>
      <c r="AE788" s="22"/>
      <c r="AF788" s="22"/>
      <c r="AG788" s="22"/>
      <c r="AH788" s="22"/>
      <c r="AI788" s="22"/>
      <c r="AJ788" s="22"/>
      <c r="AK788" s="22"/>
      <c r="AL788" s="22"/>
      <c r="AM788" s="22"/>
      <c r="AN788" s="22"/>
      <c r="AO788" s="22"/>
      <c r="AP788" s="22"/>
    </row>
    <row r="789" ht="25.5" customHeight="1">
      <c r="A789" s="312">
        <f t="shared" si="3"/>
        <v>788</v>
      </c>
      <c r="B789" s="344" t="s">
        <v>61</v>
      </c>
      <c r="C789" s="156" t="s">
        <v>279</v>
      </c>
      <c r="D789" s="27" t="s">
        <v>515</v>
      </c>
      <c r="E789" s="33"/>
      <c r="F789" s="30" t="s">
        <v>309</v>
      </c>
      <c r="G789" s="30" t="s">
        <v>2011</v>
      </c>
      <c r="H789" s="27" t="s">
        <v>2491</v>
      </c>
      <c r="I789" s="33"/>
      <c r="J789" s="27" t="s">
        <v>2492</v>
      </c>
      <c r="K789" s="33"/>
      <c r="L789" s="33" t="str">
        <f t="shared" si="77"/>
        <v>Avenida 3H con Calle 37 (prados del Norte), prados del norte, Cali</v>
      </c>
      <c r="M789" s="22" t="s">
        <v>231</v>
      </c>
      <c r="N789" s="22" t="s">
        <v>233</v>
      </c>
      <c r="O789" s="22"/>
      <c r="P789" s="22"/>
      <c r="Q789" s="22"/>
      <c r="R789" s="122"/>
      <c r="S789" s="122"/>
      <c r="T789" s="122">
        <v>1.0</v>
      </c>
      <c r="U789" s="22"/>
      <c r="V789" s="22"/>
      <c r="W789" s="22"/>
      <c r="X789" s="22"/>
      <c r="Y789" s="22"/>
      <c r="Z789" s="22"/>
      <c r="AA789" s="22"/>
      <c r="AB789" s="22"/>
      <c r="AD789" s="22"/>
      <c r="AE789" s="22"/>
      <c r="AF789" s="22"/>
      <c r="AG789" s="22"/>
      <c r="AH789" s="22"/>
      <c r="AI789" s="22"/>
      <c r="AJ789" s="22"/>
      <c r="AK789" s="22"/>
      <c r="AL789" s="22"/>
      <c r="AM789" s="22"/>
      <c r="AN789" s="22"/>
      <c r="AO789" s="22"/>
      <c r="AP789" s="22"/>
    </row>
    <row r="790" ht="25.5" customHeight="1">
      <c r="A790" s="39">
        <f t="shared" si="3"/>
        <v>789</v>
      </c>
      <c r="B790" s="349" t="s">
        <v>32</v>
      </c>
      <c r="C790" s="349" t="s">
        <v>279</v>
      </c>
      <c r="D790" s="39" t="s">
        <v>335</v>
      </c>
      <c r="E790" s="22"/>
      <c r="F790" s="204" t="s">
        <v>353</v>
      </c>
      <c r="G790" s="204" t="s">
        <v>2472</v>
      </c>
      <c r="H790" s="39" t="s">
        <v>447</v>
      </c>
      <c r="I790" s="39" t="s">
        <v>38</v>
      </c>
      <c r="J790" s="39" t="s">
        <v>2493</v>
      </c>
      <c r="K790" s="39" t="s">
        <v>2494</v>
      </c>
      <c r="L790" s="22" t="str">
        <f t="shared" si="77"/>
        <v>CAlle 10 #12-63, San Bosco, Cali</v>
      </c>
      <c r="M790" s="340" t="s">
        <v>2495</v>
      </c>
      <c r="N790" s="340" t="s">
        <v>642</v>
      </c>
      <c r="O790" s="22"/>
      <c r="P790" s="22"/>
      <c r="Q790" s="22"/>
      <c r="S790" s="122"/>
      <c r="T790" s="122">
        <v>1.0</v>
      </c>
      <c r="U790" s="22"/>
      <c r="V790" s="22"/>
      <c r="W790" s="22"/>
      <c r="X790" s="22"/>
      <c r="Y790" s="22"/>
      <c r="Z790" s="39" t="s">
        <v>2496</v>
      </c>
      <c r="AA790" s="39"/>
      <c r="AB790" s="39"/>
      <c r="AD790" s="22"/>
      <c r="AE790" s="22"/>
      <c r="AF790" s="22"/>
      <c r="AG790" s="22"/>
      <c r="AH790" s="22"/>
      <c r="AI790" s="22"/>
      <c r="AJ790" s="22"/>
      <c r="AK790" s="22"/>
      <c r="AL790" s="22"/>
      <c r="AM790" s="22"/>
      <c r="AN790" s="22"/>
      <c r="AO790" s="22"/>
      <c r="AP790" s="22"/>
    </row>
    <row r="791" ht="25.5" customHeight="1">
      <c r="A791" s="39">
        <f t="shared" si="3"/>
        <v>790</v>
      </c>
      <c r="B791" s="349" t="s">
        <v>32</v>
      </c>
      <c r="C791" s="349" t="s">
        <v>279</v>
      </c>
      <c r="D791" s="39" t="s">
        <v>335</v>
      </c>
      <c r="E791" s="22"/>
      <c r="F791" s="204" t="s">
        <v>353</v>
      </c>
      <c r="G791" s="204" t="s">
        <v>2472</v>
      </c>
      <c r="H791" s="39" t="s">
        <v>447</v>
      </c>
      <c r="I791" s="39" t="s">
        <v>38</v>
      </c>
      <c r="J791" s="39" t="s">
        <v>2497</v>
      </c>
      <c r="K791" s="39" t="s">
        <v>2498</v>
      </c>
      <c r="L791" s="22" t="str">
        <f t="shared" si="77"/>
        <v>Calle 10 #12-69, San Bosco, Cali</v>
      </c>
      <c r="M791" s="340" t="s">
        <v>2495</v>
      </c>
      <c r="N791" s="340" t="s">
        <v>642</v>
      </c>
      <c r="O791" s="22"/>
      <c r="P791" s="22"/>
      <c r="Q791" s="22"/>
      <c r="S791" s="122"/>
      <c r="T791" s="122">
        <v>1.0</v>
      </c>
      <c r="U791" s="22"/>
      <c r="V791" s="22"/>
      <c r="W791" s="22"/>
      <c r="X791" s="22"/>
      <c r="Y791" s="22"/>
      <c r="Z791" s="39" t="s">
        <v>2496</v>
      </c>
      <c r="AA791" s="39"/>
      <c r="AB791" s="39"/>
      <c r="AD791" s="22"/>
      <c r="AE791" s="22"/>
      <c r="AF791" s="22"/>
      <c r="AG791" s="22"/>
      <c r="AH791" s="22"/>
      <c r="AI791" s="22"/>
      <c r="AJ791" s="22"/>
      <c r="AK791" s="22"/>
      <c r="AL791" s="22"/>
      <c r="AM791" s="22"/>
      <c r="AN791" s="22"/>
      <c r="AO791" s="22"/>
      <c r="AP791" s="22"/>
    </row>
    <row r="792" ht="25.5" customHeight="1">
      <c r="A792" s="306">
        <f t="shared" si="3"/>
        <v>791</v>
      </c>
      <c r="B792" s="348" t="s">
        <v>61</v>
      </c>
      <c r="C792" s="349" t="s">
        <v>279</v>
      </c>
      <c r="D792" s="39" t="s">
        <v>515</v>
      </c>
      <c r="E792" s="22"/>
      <c r="F792" s="204" t="s">
        <v>331</v>
      </c>
      <c r="G792" s="204" t="s">
        <v>426</v>
      </c>
      <c r="H792" s="39" t="s">
        <v>497</v>
      </c>
      <c r="I792" s="22"/>
      <c r="J792" s="39" t="s">
        <v>2499</v>
      </c>
      <c r="K792" s="22"/>
      <c r="L792" s="22" t="str">
        <f t="shared" si="77"/>
        <v>Calle 39 N avenida 36 Esquina entre 3H y 36 (la juana), Union de Vivienda Popular, Cali</v>
      </c>
      <c r="M792" s="22" t="s">
        <v>231</v>
      </c>
      <c r="N792" s="22" t="s">
        <v>233</v>
      </c>
      <c r="O792" s="22"/>
      <c r="P792" s="22"/>
      <c r="Q792" s="22"/>
      <c r="R792" s="122"/>
      <c r="S792" s="122"/>
      <c r="T792" s="122">
        <v>1.0</v>
      </c>
      <c r="U792" s="22"/>
      <c r="V792" s="22"/>
      <c r="W792" s="22"/>
      <c r="X792" s="22"/>
      <c r="Y792" s="22"/>
      <c r="Z792" s="22"/>
      <c r="AA792" s="22"/>
      <c r="AB792" s="22"/>
      <c r="AD792" s="22"/>
      <c r="AE792" s="22"/>
      <c r="AF792" s="22"/>
      <c r="AG792" s="22"/>
      <c r="AH792" s="22"/>
      <c r="AI792" s="22"/>
      <c r="AJ792" s="22"/>
      <c r="AK792" s="22"/>
      <c r="AL792" s="22"/>
      <c r="AM792" s="22"/>
      <c r="AN792" s="22"/>
      <c r="AO792" s="22"/>
      <c r="AP792" s="22"/>
    </row>
    <row r="793" ht="25.5" customHeight="1">
      <c r="A793" s="306">
        <f t="shared" si="3"/>
        <v>792</v>
      </c>
      <c r="B793" s="348" t="s">
        <v>61</v>
      </c>
      <c r="C793" s="349" t="s">
        <v>279</v>
      </c>
      <c r="D793" s="39" t="s">
        <v>515</v>
      </c>
      <c r="E793" s="22"/>
      <c r="F793" s="204" t="s">
        <v>309</v>
      </c>
      <c r="G793" s="204" t="s">
        <v>2011</v>
      </c>
      <c r="H793" s="39" t="s">
        <v>285</v>
      </c>
      <c r="I793" s="39" t="s">
        <v>38</v>
      </c>
      <c r="J793" s="39" t="s">
        <v>2500</v>
      </c>
      <c r="K793" s="22"/>
      <c r="L793" s="22" t="str">
        <f t="shared" si="77"/>
        <v>Calle 12 A Norte 6N 50 (bloque 3 apto 902), Granada, Cali</v>
      </c>
      <c r="M793" s="22" t="s">
        <v>231</v>
      </c>
      <c r="N793" s="22" t="s">
        <v>233</v>
      </c>
      <c r="O793" s="22"/>
      <c r="P793" s="22"/>
      <c r="Q793" s="22"/>
      <c r="R793" s="122"/>
      <c r="S793" s="122"/>
      <c r="T793" s="122">
        <v>1.0</v>
      </c>
      <c r="U793" s="22"/>
      <c r="V793" s="22"/>
      <c r="W793" s="22"/>
      <c r="X793" s="22"/>
      <c r="Y793" s="22"/>
      <c r="Z793" s="22"/>
      <c r="AA793" s="22"/>
      <c r="AB793" s="22"/>
      <c r="AD793" s="22"/>
      <c r="AE793" s="22"/>
      <c r="AF793" s="22"/>
      <c r="AG793" s="22"/>
      <c r="AH793" s="22"/>
      <c r="AI793" s="22"/>
      <c r="AJ793" s="22"/>
      <c r="AK793" s="22"/>
      <c r="AL793" s="22"/>
      <c r="AM793" s="22"/>
      <c r="AN793" s="22"/>
      <c r="AO793" s="22"/>
      <c r="AP793" s="22"/>
    </row>
    <row r="794" ht="25.5" customHeight="1">
      <c r="A794" s="306">
        <f t="shared" si="3"/>
        <v>793</v>
      </c>
      <c r="B794" s="348" t="s">
        <v>61</v>
      </c>
      <c r="C794" s="349" t="s">
        <v>279</v>
      </c>
      <c r="D794" s="39" t="s">
        <v>515</v>
      </c>
      <c r="E794" s="22"/>
      <c r="F794" s="204" t="s">
        <v>331</v>
      </c>
      <c r="G794" s="204" t="s">
        <v>1875</v>
      </c>
      <c r="H794" s="39" t="s">
        <v>2501</v>
      </c>
      <c r="I794" s="22"/>
      <c r="J794" s="39" t="s">
        <v>2502</v>
      </c>
      <c r="K794" s="22"/>
      <c r="L794" s="22" t="str">
        <f t="shared" si="77"/>
        <v>Calle 42 # 7 - 49, Antonio nariño, Cali</v>
      </c>
      <c r="M794" s="22" t="s">
        <v>231</v>
      </c>
      <c r="N794" s="22" t="s">
        <v>233</v>
      </c>
      <c r="O794" s="22"/>
      <c r="P794" s="22"/>
      <c r="Q794" s="22"/>
      <c r="R794" s="122"/>
      <c r="S794" s="122"/>
      <c r="T794" s="122">
        <v>1.0</v>
      </c>
      <c r="U794" s="22"/>
      <c r="V794" s="22"/>
      <c r="W794" s="22"/>
      <c r="X794" s="22"/>
      <c r="Y794" s="22"/>
      <c r="Z794" s="22"/>
      <c r="AA794" s="22"/>
      <c r="AB794" s="22"/>
      <c r="AD794" s="22"/>
      <c r="AE794" s="22"/>
      <c r="AF794" s="22"/>
      <c r="AG794" s="22"/>
      <c r="AH794" s="22"/>
      <c r="AI794" s="22"/>
      <c r="AJ794" s="22"/>
      <c r="AK794" s="22"/>
      <c r="AL794" s="22"/>
      <c r="AM794" s="22"/>
      <c r="AN794" s="22"/>
      <c r="AO794" s="22"/>
      <c r="AP794" s="22"/>
    </row>
    <row r="795" ht="25.5" customHeight="1">
      <c r="A795" s="306">
        <f t="shared" si="3"/>
        <v>794</v>
      </c>
      <c r="B795" s="348" t="s">
        <v>61</v>
      </c>
      <c r="C795" s="349" t="s">
        <v>279</v>
      </c>
      <c r="D795" s="39" t="s">
        <v>515</v>
      </c>
      <c r="E795" s="22"/>
      <c r="F795" s="122"/>
      <c r="G795" s="122"/>
      <c r="H795" s="39" t="s">
        <v>227</v>
      </c>
      <c r="I795" s="39" t="s">
        <v>38</v>
      </c>
      <c r="J795" s="39" t="s">
        <v>2503</v>
      </c>
      <c r="K795" s="39" t="s">
        <v>2504</v>
      </c>
      <c r="L795" s="22" t="str">
        <f t="shared" si="77"/>
        <v>Calle 8 A No. 42-56, Los Cámbulos, Cali</v>
      </c>
      <c r="M795" s="340" t="s">
        <v>2505</v>
      </c>
      <c r="N795" s="340" t="s">
        <v>233</v>
      </c>
      <c r="O795" s="22"/>
      <c r="P795" s="22"/>
      <c r="Q795" s="22"/>
      <c r="R795" s="122"/>
      <c r="S795" s="122"/>
      <c r="T795" s="122">
        <v>1.0</v>
      </c>
      <c r="U795" s="22"/>
      <c r="V795" s="22"/>
      <c r="W795" s="22"/>
      <c r="X795" s="22"/>
      <c r="Y795" s="22"/>
      <c r="Z795" s="39" t="s">
        <v>2506</v>
      </c>
      <c r="AA795" s="39"/>
      <c r="AB795" s="39"/>
      <c r="AD795" s="22"/>
      <c r="AE795" s="22"/>
      <c r="AF795" s="22"/>
      <c r="AG795" s="22"/>
      <c r="AH795" s="22"/>
      <c r="AI795" s="22"/>
      <c r="AJ795" s="22"/>
      <c r="AK795" s="22"/>
      <c r="AL795" s="22"/>
      <c r="AM795" s="22"/>
      <c r="AN795" s="22"/>
      <c r="AO795" s="22"/>
      <c r="AP795" s="22"/>
    </row>
    <row r="796" ht="25.5" customHeight="1">
      <c r="A796" s="306">
        <f t="shared" si="3"/>
        <v>795</v>
      </c>
      <c r="B796" s="348" t="s">
        <v>61</v>
      </c>
      <c r="C796" s="349" t="s">
        <v>279</v>
      </c>
      <c r="D796" s="39" t="s">
        <v>515</v>
      </c>
      <c r="E796" s="22"/>
      <c r="F796" s="122"/>
      <c r="G796" s="122"/>
      <c r="H796" s="39" t="s">
        <v>278</v>
      </c>
      <c r="I796" s="39" t="s">
        <v>38</v>
      </c>
      <c r="J796" s="39" t="s">
        <v>2507</v>
      </c>
      <c r="K796" s="39" t="s">
        <v>2508</v>
      </c>
      <c r="L796" s="22" t="str">
        <f t="shared" si="77"/>
        <v>Carrera 27 No. 4 Oeste-74, San Fernando, Cali</v>
      </c>
      <c r="M796" s="340" t="s">
        <v>2509</v>
      </c>
      <c r="N796" s="340" t="s">
        <v>233</v>
      </c>
      <c r="O796" s="22"/>
      <c r="P796" s="22"/>
      <c r="Q796" s="22"/>
      <c r="R796" s="122"/>
      <c r="S796" s="122"/>
      <c r="T796" s="122">
        <v>1.0</v>
      </c>
      <c r="U796" s="22"/>
      <c r="V796" s="22"/>
      <c r="W796" s="22"/>
      <c r="X796" s="22"/>
      <c r="Y796" s="22"/>
      <c r="Z796" s="39" t="s">
        <v>2506</v>
      </c>
      <c r="AA796" s="39"/>
      <c r="AB796" s="39"/>
      <c r="AD796" s="22"/>
      <c r="AE796" s="22"/>
      <c r="AF796" s="22"/>
      <c r="AG796" s="22"/>
      <c r="AH796" s="22"/>
      <c r="AI796" s="22"/>
      <c r="AJ796" s="22"/>
      <c r="AK796" s="22"/>
      <c r="AL796" s="22"/>
      <c r="AM796" s="22"/>
      <c r="AN796" s="22"/>
      <c r="AO796" s="22"/>
      <c r="AP796" s="22"/>
    </row>
    <row r="797" ht="25.5" customHeight="1">
      <c r="A797" s="306">
        <f t="shared" si="3"/>
        <v>796</v>
      </c>
      <c r="B797" s="348" t="s">
        <v>61</v>
      </c>
      <c r="C797" s="349" t="s">
        <v>279</v>
      </c>
      <c r="D797" s="39" t="s">
        <v>515</v>
      </c>
      <c r="E797" s="22"/>
      <c r="F797" s="122"/>
      <c r="G797" s="122"/>
      <c r="H797" s="39" t="s">
        <v>2510</v>
      </c>
      <c r="I797" s="39" t="s">
        <v>38</v>
      </c>
      <c r="J797" s="39" t="s">
        <v>2511</v>
      </c>
      <c r="K797" s="39" t="s">
        <v>2512</v>
      </c>
      <c r="L797" s="22" t="str">
        <f t="shared" si="77"/>
        <v>Cl. 13c #49-15, La Selva, Cali</v>
      </c>
      <c r="M797" s="340" t="s">
        <v>2505</v>
      </c>
      <c r="N797" s="340" t="s">
        <v>233</v>
      </c>
      <c r="O797" s="22"/>
      <c r="P797" s="22"/>
      <c r="Q797" s="22"/>
      <c r="R797" s="122"/>
      <c r="S797" s="122"/>
      <c r="T797" s="122">
        <v>1.0</v>
      </c>
      <c r="U797" s="22"/>
      <c r="V797" s="22"/>
      <c r="W797" s="22"/>
      <c r="X797" s="22"/>
      <c r="Y797" s="22"/>
      <c r="Z797" s="39" t="s">
        <v>2513</v>
      </c>
      <c r="AA797" s="39"/>
      <c r="AB797" s="39"/>
      <c r="AD797" s="22"/>
      <c r="AE797" s="22"/>
      <c r="AF797" s="22"/>
      <c r="AG797" s="22"/>
      <c r="AH797" s="22"/>
      <c r="AI797" s="22"/>
      <c r="AJ797" s="22"/>
      <c r="AK797" s="22"/>
      <c r="AL797" s="22"/>
      <c r="AM797" s="22"/>
      <c r="AN797" s="22"/>
      <c r="AO797" s="22"/>
      <c r="AP797" s="22"/>
    </row>
    <row r="798" ht="25.5" customHeight="1">
      <c r="A798" s="306">
        <f t="shared" si="3"/>
        <v>797</v>
      </c>
      <c r="B798" s="348" t="s">
        <v>61</v>
      </c>
      <c r="C798" s="349" t="s">
        <v>279</v>
      </c>
      <c r="D798" s="39" t="s">
        <v>515</v>
      </c>
      <c r="E798" s="22"/>
      <c r="F798" s="122"/>
      <c r="G798" s="204" t="s">
        <v>350</v>
      </c>
      <c r="H798" s="22"/>
      <c r="I798" s="39" t="s">
        <v>38</v>
      </c>
      <c r="J798" s="39" t="s">
        <v>2514</v>
      </c>
      <c r="K798" s="39" t="s">
        <v>2515</v>
      </c>
      <c r="L798" s="22" t="str">
        <f t="shared" si="77"/>
        <v>Calle 26 norte #6-13, , Cali</v>
      </c>
      <c r="M798" s="340" t="s">
        <v>2516</v>
      </c>
      <c r="N798" s="340" t="s">
        <v>233</v>
      </c>
      <c r="O798" s="22"/>
      <c r="P798" s="22"/>
      <c r="Q798" s="22"/>
      <c r="R798" s="122"/>
      <c r="S798" s="122"/>
      <c r="T798" s="122">
        <v>1.0</v>
      </c>
      <c r="U798" s="22"/>
      <c r="V798" s="22"/>
      <c r="W798" s="22"/>
      <c r="X798" s="22"/>
      <c r="Y798" s="22"/>
      <c r="Z798" s="39" t="s">
        <v>2517</v>
      </c>
      <c r="AA798" s="39"/>
      <c r="AB798" s="39"/>
      <c r="AD798" s="22"/>
      <c r="AE798" s="22"/>
      <c r="AF798" s="22"/>
      <c r="AG798" s="22"/>
      <c r="AH798" s="22"/>
      <c r="AI798" s="22"/>
      <c r="AJ798" s="22"/>
      <c r="AK798" s="22"/>
      <c r="AL798" s="22"/>
      <c r="AM798" s="22"/>
      <c r="AN798" s="22"/>
      <c r="AO798" s="22"/>
      <c r="AP798" s="22"/>
    </row>
    <row r="799" ht="25.5" customHeight="1">
      <c r="A799" s="306">
        <f t="shared" si="3"/>
        <v>798</v>
      </c>
      <c r="B799" s="348" t="s">
        <v>61</v>
      </c>
      <c r="C799" s="349" t="s">
        <v>279</v>
      </c>
      <c r="D799" s="39" t="s">
        <v>515</v>
      </c>
      <c r="E799" s="22"/>
      <c r="F799" s="204" t="s">
        <v>35</v>
      </c>
      <c r="G799" s="204" t="s">
        <v>36</v>
      </c>
      <c r="H799" s="39" t="s">
        <v>442</v>
      </c>
      <c r="I799" s="39" t="s">
        <v>38</v>
      </c>
      <c r="J799" s="39" t="s">
        <v>2518</v>
      </c>
      <c r="K799" s="22"/>
      <c r="L799" s="22" t="str">
        <f t="shared" si="77"/>
        <v>Calle 2c # 66b -47, Refugio, Cali</v>
      </c>
      <c r="M799" s="340" t="s">
        <v>2519</v>
      </c>
      <c r="N799" s="340" t="s">
        <v>233</v>
      </c>
      <c r="O799" s="22"/>
      <c r="P799" s="22"/>
      <c r="Q799" s="22"/>
      <c r="R799" s="122"/>
      <c r="S799" s="122"/>
      <c r="T799" s="122">
        <v>1.0</v>
      </c>
      <c r="U799" s="22"/>
      <c r="V799" s="22"/>
      <c r="W799" s="22"/>
      <c r="X799" s="22"/>
      <c r="Y799" s="22"/>
      <c r="Z799" s="22"/>
      <c r="AA799" s="22"/>
      <c r="AB799" s="22"/>
      <c r="AD799" s="22"/>
      <c r="AE799" s="22"/>
      <c r="AF799" s="22"/>
      <c r="AG799" s="22"/>
      <c r="AH799" s="22"/>
      <c r="AI799" s="22"/>
      <c r="AJ799" s="22"/>
      <c r="AK799" s="22"/>
      <c r="AL799" s="22"/>
      <c r="AM799" s="22"/>
      <c r="AN799" s="22"/>
      <c r="AO799" s="22"/>
      <c r="AP799" s="22"/>
    </row>
    <row r="800" ht="25.5" customHeight="1">
      <c r="A800" s="306">
        <f t="shared" si="3"/>
        <v>799</v>
      </c>
      <c r="B800" s="348" t="s">
        <v>61</v>
      </c>
      <c r="C800" s="349" t="s">
        <v>279</v>
      </c>
      <c r="D800" s="39" t="s">
        <v>515</v>
      </c>
      <c r="E800" s="22"/>
      <c r="F800" s="122"/>
      <c r="G800" s="204" t="s">
        <v>426</v>
      </c>
      <c r="H800" s="39" t="s">
        <v>2520</v>
      </c>
      <c r="I800" s="39" t="s">
        <v>286</v>
      </c>
      <c r="J800" s="39" t="s">
        <v>2521</v>
      </c>
      <c r="K800" s="39" t="s">
        <v>2522</v>
      </c>
      <c r="L800" s="22" t="str">
        <f t="shared" si="77"/>
        <v>Carrea 38 # 55 a 29, El Vallado, Cali</v>
      </c>
      <c r="M800" s="350" t="s">
        <v>2523</v>
      </c>
      <c r="N800" s="350" t="s">
        <v>233</v>
      </c>
      <c r="O800" s="22"/>
      <c r="P800" s="22"/>
      <c r="R800" s="50"/>
      <c r="S800" s="50"/>
      <c r="T800" s="50">
        <v>1.0</v>
      </c>
      <c r="Y800" s="22"/>
      <c r="Z800" s="39" t="s">
        <v>2524</v>
      </c>
      <c r="AA800" s="39"/>
      <c r="AB800" s="39"/>
      <c r="AD800" s="22"/>
      <c r="AE800" s="22"/>
      <c r="AF800" s="22"/>
      <c r="AG800" s="22"/>
      <c r="AH800" s="22"/>
      <c r="AI800" s="22"/>
      <c r="AJ800" s="22"/>
      <c r="AK800" s="22"/>
      <c r="AL800" s="22"/>
      <c r="AM800" s="22"/>
      <c r="AN800" s="22"/>
      <c r="AO800" s="22"/>
      <c r="AP800" s="22"/>
    </row>
    <row r="801" ht="25.5" customHeight="1">
      <c r="A801" s="351">
        <f t="shared" si="3"/>
        <v>800</v>
      </c>
      <c r="B801" s="52" t="s">
        <v>307</v>
      </c>
      <c r="C801" s="52" t="s">
        <v>279</v>
      </c>
      <c r="D801" s="39" t="s">
        <v>515</v>
      </c>
      <c r="F801" s="50" t="s">
        <v>60</v>
      </c>
      <c r="G801" s="352" t="s">
        <v>426</v>
      </c>
      <c r="H801" s="286" t="s">
        <v>2525</v>
      </c>
      <c r="I801" s="286" t="s">
        <v>38</v>
      </c>
      <c r="J801" s="286" t="s">
        <v>2526</v>
      </c>
      <c r="K801" s="287"/>
      <c r="L801" s="22" t="str">
        <f t="shared" si="77"/>
        <v>Calle 12A-No.57-21CR Palmar de Coomeva II, Primero de Mayo, Cali</v>
      </c>
      <c r="M801" s="52" t="s">
        <v>2527</v>
      </c>
      <c r="N801" s="52" t="s">
        <v>642</v>
      </c>
      <c r="O801" s="52" t="s">
        <v>46</v>
      </c>
      <c r="R801" s="50"/>
      <c r="S801" s="153"/>
      <c r="T801" s="153">
        <v>1.0</v>
      </c>
      <c r="Z801" s="353" t="s">
        <v>2528</v>
      </c>
      <c r="AD801" s="22"/>
      <c r="AE801" s="22"/>
      <c r="AF801" s="22"/>
      <c r="AG801" s="22"/>
      <c r="AH801" s="22"/>
      <c r="AI801" s="22"/>
      <c r="AJ801" s="22"/>
      <c r="AK801" s="22"/>
      <c r="AL801" s="22"/>
      <c r="AM801" s="22"/>
      <c r="AN801" s="22"/>
      <c r="AO801" s="22"/>
      <c r="AP801" s="22"/>
    </row>
    <row r="802" ht="25.5" customHeight="1">
      <c r="A802" s="351">
        <f t="shared" si="3"/>
        <v>801</v>
      </c>
      <c r="B802" s="52" t="s">
        <v>32</v>
      </c>
      <c r="C802" s="52" t="s">
        <v>279</v>
      </c>
      <c r="D802" s="39" t="s">
        <v>515</v>
      </c>
      <c r="F802" s="153" t="s">
        <v>395</v>
      </c>
      <c r="G802" s="153" t="s">
        <v>443</v>
      </c>
      <c r="H802" s="354" t="s">
        <v>443</v>
      </c>
      <c r="I802" s="286" t="s">
        <v>286</v>
      </c>
      <c r="J802" s="286" t="s">
        <v>2529</v>
      </c>
      <c r="K802" s="355" t="s">
        <v>2530</v>
      </c>
      <c r="L802" s="22" t="str">
        <f t="shared" si="77"/>
        <v>Calle 7 oeste avenida 43B-33, Rural, Cali</v>
      </c>
      <c r="M802" s="52" t="s">
        <v>2531</v>
      </c>
      <c r="N802" s="52" t="s">
        <v>233</v>
      </c>
      <c r="R802" s="50"/>
      <c r="S802" s="153"/>
      <c r="T802" s="153">
        <v>1.0</v>
      </c>
      <c r="Z802" s="52" t="s">
        <v>2532</v>
      </c>
      <c r="AD802" s="22"/>
      <c r="AE802" s="22"/>
      <c r="AF802" s="22"/>
      <c r="AG802" s="22"/>
      <c r="AH802" s="22"/>
      <c r="AI802" s="22"/>
      <c r="AJ802" s="22"/>
      <c r="AK802" s="22"/>
      <c r="AL802" s="22"/>
      <c r="AM802" s="22"/>
      <c r="AN802" s="22"/>
      <c r="AO802" s="22"/>
      <c r="AP802" s="22"/>
    </row>
    <row r="803" ht="25.5" customHeight="1">
      <c r="A803" s="351">
        <f t="shared" si="3"/>
        <v>802</v>
      </c>
      <c r="B803" s="52" t="s">
        <v>307</v>
      </c>
      <c r="C803" s="52" t="s">
        <v>279</v>
      </c>
      <c r="D803" s="39" t="s">
        <v>515</v>
      </c>
      <c r="F803" s="204" t="s">
        <v>87</v>
      </c>
      <c r="G803" s="352" t="s">
        <v>939</v>
      </c>
      <c r="H803" s="286" t="s">
        <v>92</v>
      </c>
      <c r="I803" s="286" t="s">
        <v>286</v>
      </c>
      <c r="J803" s="286" t="s">
        <v>2533</v>
      </c>
      <c r="K803" s="355" t="s">
        <v>2534</v>
      </c>
      <c r="L803" s="22" t="str">
        <f t="shared" si="77"/>
        <v>Calle 3 oeste # 94A-35, Alto Polvorines, Cali</v>
      </c>
      <c r="M803" s="52" t="s">
        <v>2535</v>
      </c>
      <c r="N803" s="52" t="s">
        <v>642</v>
      </c>
      <c r="R803" s="50"/>
      <c r="S803" s="153"/>
      <c r="T803" s="153">
        <v>1.0</v>
      </c>
      <c r="Z803" s="52"/>
      <c r="AD803" s="22"/>
      <c r="AE803" s="22"/>
      <c r="AF803" s="22"/>
      <c r="AG803" s="22"/>
      <c r="AH803" s="22"/>
      <c r="AI803" s="22"/>
      <c r="AJ803" s="22"/>
      <c r="AK803" s="22"/>
      <c r="AL803" s="22"/>
      <c r="AM803" s="22"/>
      <c r="AN803" s="22"/>
      <c r="AO803" s="22"/>
      <c r="AP803" s="22"/>
    </row>
    <row r="804" ht="25.5" customHeight="1">
      <c r="A804" s="351">
        <f t="shared" si="3"/>
        <v>803</v>
      </c>
      <c r="B804" s="52" t="s">
        <v>32</v>
      </c>
      <c r="C804" s="52" t="s">
        <v>279</v>
      </c>
      <c r="D804" s="39" t="s">
        <v>515</v>
      </c>
      <c r="F804" s="204" t="s">
        <v>35</v>
      </c>
      <c r="G804" s="352" t="s">
        <v>1960</v>
      </c>
      <c r="H804" s="286" t="s">
        <v>158</v>
      </c>
      <c r="I804" s="286" t="s">
        <v>1715</v>
      </c>
      <c r="J804" s="286" t="s">
        <v>2536</v>
      </c>
      <c r="K804" s="355" t="s">
        <v>2537</v>
      </c>
      <c r="L804" s="22" t="str">
        <f t="shared" si="77"/>
        <v>avenida Guadalupe # 2-157, Cuarto de Legua, Cali</v>
      </c>
      <c r="M804" s="52" t="s">
        <v>2538</v>
      </c>
      <c r="N804" s="52" t="s">
        <v>642</v>
      </c>
      <c r="O804" s="52" t="s">
        <v>46</v>
      </c>
      <c r="R804" s="50"/>
      <c r="S804" s="153"/>
      <c r="T804" s="153">
        <v>1.0</v>
      </c>
      <c r="U804" s="52"/>
      <c r="Z804" s="52" t="s">
        <v>2539</v>
      </c>
      <c r="AD804" s="22"/>
      <c r="AE804" s="22"/>
      <c r="AF804" s="22"/>
      <c r="AG804" s="22"/>
      <c r="AH804" s="22"/>
      <c r="AI804" s="22"/>
      <c r="AJ804" s="22"/>
      <c r="AK804" s="22"/>
      <c r="AL804" s="22"/>
      <c r="AM804" s="22"/>
      <c r="AN804" s="22"/>
      <c r="AO804" s="22"/>
      <c r="AP804" s="22"/>
    </row>
    <row r="805" ht="25.5" customHeight="1">
      <c r="A805" s="351">
        <f t="shared" si="3"/>
        <v>804</v>
      </c>
      <c r="B805" s="348" t="s">
        <v>61</v>
      </c>
      <c r="C805" s="349" t="s">
        <v>279</v>
      </c>
      <c r="D805" s="39" t="s">
        <v>515</v>
      </c>
      <c r="F805" s="204" t="s">
        <v>35</v>
      </c>
      <c r="G805" s="352" t="s">
        <v>1960</v>
      </c>
      <c r="H805" s="286" t="s">
        <v>255</v>
      </c>
      <c r="I805" s="286" t="s">
        <v>38</v>
      </c>
      <c r="J805" s="286" t="s">
        <v>2540</v>
      </c>
      <c r="K805" s="355" t="s">
        <v>2541</v>
      </c>
      <c r="L805" s="22" t="str">
        <f t="shared" si="77"/>
        <v>Calle 2 # 66B-87, El Refugio, Cali</v>
      </c>
      <c r="M805" s="52" t="s">
        <v>2542</v>
      </c>
      <c r="N805" s="52" t="s">
        <v>642</v>
      </c>
      <c r="R805" s="50"/>
      <c r="S805" s="153"/>
      <c r="T805" s="153">
        <v>1.0</v>
      </c>
      <c r="Z805" s="52" t="s">
        <v>2543</v>
      </c>
      <c r="AD805" s="22"/>
      <c r="AE805" s="22"/>
      <c r="AF805" s="22"/>
      <c r="AG805" s="22"/>
      <c r="AH805" s="22"/>
      <c r="AI805" s="22"/>
      <c r="AJ805" s="22"/>
      <c r="AK805" s="22"/>
      <c r="AL805" s="22"/>
      <c r="AM805" s="22"/>
      <c r="AN805" s="22"/>
      <c r="AO805" s="22"/>
      <c r="AP805" s="22"/>
    </row>
    <row r="806" ht="25.5" customHeight="1">
      <c r="A806" s="356">
        <f t="shared" si="3"/>
        <v>805</v>
      </c>
      <c r="B806" s="356" t="s">
        <v>307</v>
      </c>
      <c r="C806" s="356" t="s">
        <v>279</v>
      </c>
      <c r="D806" s="251" t="s">
        <v>515</v>
      </c>
      <c r="E806" s="357"/>
      <c r="F806" s="179" t="s">
        <v>91</v>
      </c>
      <c r="G806" s="358" t="s">
        <v>426</v>
      </c>
      <c r="H806" s="356" t="s">
        <v>422</v>
      </c>
      <c r="I806" s="356" t="s">
        <v>38</v>
      </c>
      <c r="J806" s="356" t="s">
        <v>2544</v>
      </c>
      <c r="K806" s="356" t="s">
        <v>2545</v>
      </c>
      <c r="L806" s="356" t="str">
        <f t="shared" si="77"/>
        <v>Calle 72W # 28B1-06, Poblado 2, Cali</v>
      </c>
      <c r="M806" s="359" t="s">
        <v>2546</v>
      </c>
      <c r="N806" s="359" t="s">
        <v>642</v>
      </c>
      <c r="O806" s="357"/>
      <c r="P806" s="357"/>
      <c r="Q806" s="356"/>
      <c r="R806" s="360"/>
      <c r="S806" s="358"/>
      <c r="T806" s="358">
        <v>1.0</v>
      </c>
      <c r="U806" s="360"/>
      <c r="V806" s="360"/>
      <c r="W806" s="360"/>
      <c r="X806" s="360"/>
      <c r="Y806" s="360"/>
      <c r="Z806" s="356" t="s">
        <v>2547</v>
      </c>
      <c r="AA806" s="357"/>
      <c r="AB806" s="357"/>
      <c r="AD806" s="361"/>
      <c r="AE806" s="361"/>
      <c r="AF806" s="361"/>
      <c r="AG806" s="361"/>
      <c r="AH806" s="361"/>
      <c r="AI806" s="361"/>
      <c r="AJ806" s="361"/>
      <c r="AK806" s="361"/>
      <c r="AL806" s="361"/>
      <c r="AM806" s="361"/>
      <c r="AN806" s="361"/>
      <c r="AO806" s="361"/>
      <c r="AP806" s="361"/>
    </row>
    <row r="807" ht="25.5" customHeight="1">
      <c r="A807" s="351">
        <f t="shared" si="3"/>
        <v>806</v>
      </c>
      <c r="B807" s="349" t="s">
        <v>32</v>
      </c>
      <c r="C807" s="349" t="s">
        <v>279</v>
      </c>
      <c r="D807" s="39" t="s">
        <v>515</v>
      </c>
      <c r="F807" s="204" t="s">
        <v>87</v>
      </c>
      <c r="G807" s="352" t="s">
        <v>1960</v>
      </c>
      <c r="H807" s="286" t="s">
        <v>1301</v>
      </c>
      <c r="I807" s="286" t="s">
        <v>1834</v>
      </c>
      <c r="J807" s="286" t="s">
        <v>2548</v>
      </c>
      <c r="K807" s="355"/>
      <c r="L807" s="22" t="str">
        <f t="shared" si="77"/>
        <v>calle 2A 93A - 176, melendez, Cali</v>
      </c>
      <c r="M807" s="22" t="s">
        <v>231</v>
      </c>
      <c r="N807" s="22" t="s">
        <v>233</v>
      </c>
      <c r="R807" s="50"/>
      <c r="S807" s="153"/>
      <c r="T807" s="153">
        <v>1.0</v>
      </c>
      <c r="Y807" s="52"/>
      <c r="AD807" s="22"/>
      <c r="AE807" s="22"/>
      <c r="AF807" s="22"/>
      <c r="AG807" s="22"/>
      <c r="AH807" s="22"/>
      <c r="AI807" s="22"/>
      <c r="AJ807" s="22"/>
      <c r="AK807" s="22"/>
      <c r="AL807" s="22"/>
      <c r="AM807" s="22"/>
      <c r="AN807" s="22"/>
      <c r="AO807" s="22"/>
      <c r="AP807" s="22"/>
    </row>
    <row r="808" ht="25.5" customHeight="1">
      <c r="A808" s="351">
        <f t="shared" si="3"/>
        <v>807</v>
      </c>
      <c r="B808" s="362" t="s">
        <v>307</v>
      </c>
      <c r="C808" s="349" t="s">
        <v>279</v>
      </c>
      <c r="D808" s="39" t="s">
        <v>515</v>
      </c>
      <c r="F808" s="204" t="s">
        <v>60</v>
      </c>
      <c r="G808" s="352" t="s">
        <v>1960</v>
      </c>
      <c r="H808" s="286" t="s">
        <v>2549</v>
      </c>
      <c r="I808" s="286" t="s">
        <v>38</v>
      </c>
      <c r="J808" s="286" t="s">
        <v>2550</v>
      </c>
      <c r="K808" s="355" t="s">
        <v>2551</v>
      </c>
      <c r="L808" s="22" t="str">
        <f t="shared" si="77"/>
        <v>calle 13 A # 69-74, La hacienda, Cali</v>
      </c>
      <c r="M808" s="39" t="s">
        <v>2552</v>
      </c>
      <c r="N808" s="22"/>
      <c r="R808" s="50"/>
      <c r="S808" s="153"/>
      <c r="T808" s="153"/>
      <c r="Y808" s="52"/>
      <c r="AD808" s="22"/>
      <c r="AE808" s="22"/>
      <c r="AF808" s="22"/>
      <c r="AG808" s="22"/>
      <c r="AH808" s="22"/>
      <c r="AI808" s="22"/>
      <c r="AJ808" s="22"/>
      <c r="AK808" s="22"/>
      <c r="AL808" s="22"/>
      <c r="AM808" s="22"/>
      <c r="AN808" s="22"/>
      <c r="AO808" s="22"/>
      <c r="AP808" s="22"/>
    </row>
    <row r="809" ht="25.5" customHeight="1">
      <c r="A809" s="351">
        <f t="shared" si="3"/>
        <v>808</v>
      </c>
      <c r="B809" s="362" t="s">
        <v>307</v>
      </c>
      <c r="C809" s="349" t="s">
        <v>279</v>
      </c>
      <c r="D809" s="39" t="s">
        <v>515</v>
      </c>
      <c r="F809" s="204" t="s">
        <v>73</v>
      </c>
      <c r="G809" s="352" t="s">
        <v>1960</v>
      </c>
      <c r="H809" s="286" t="s">
        <v>72</v>
      </c>
      <c r="I809" s="286" t="s">
        <v>38</v>
      </c>
      <c r="J809" s="39" t="s">
        <v>2553</v>
      </c>
      <c r="K809" s="355"/>
      <c r="L809" s="22" t="str">
        <f t="shared" si="77"/>
        <v>Calle 9 # 27 - 60 Alameda, Alameda, Cali</v>
      </c>
      <c r="M809" s="39" t="s">
        <v>2554</v>
      </c>
      <c r="N809" s="22"/>
      <c r="R809" s="50"/>
      <c r="S809" s="153"/>
      <c r="T809" s="153"/>
      <c r="Y809" s="52"/>
      <c r="AD809" s="22"/>
      <c r="AE809" s="22"/>
      <c r="AF809" s="22"/>
      <c r="AG809" s="22"/>
      <c r="AH809" s="22"/>
      <c r="AI809" s="22"/>
      <c r="AJ809" s="22"/>
      <c r="AK809" s="22"/>
      <c r="AL809" s="22"/>
      <c r="AM809" s="22"/>
      <c r="AN809" s="22"/>
      <c r="AO809" s="22"/>
      <c r="AP809" s="22"/>
    </row>
    <row r="810" ht="25.5" customHeight="1">
      <c r="A810" s="351">
        <f t="shared" si="3"/>
        <v>809</v>
      </c>
      <c r="B810" s="362" t="s">
        <v>32</v>
      </c>
      <c r="C810" s="362" t="s">
        <v>279</v>
      </c>
      <c r="D810" s="39" t="s">
        <v>515</v>
      </c>
      <c r="F810" s="204" t="s">
        <v>2439</v>
      </c>
      <c r="G810" s="352" t="s">
        <v>1960</v>
      </c>
      <c r="H810" s="286" t="s">
        <v>471</v>
      </c>
      <c r="I810" s="286" t="s">
        <v>38</v>
      </c>
      <c r="J810" s="286" t="s">
        <v>2555</v>
      </c>
      <c r="K810" s="355" t="s">
        <v>2556</v>
      </c>
      <c r="L810" s="22" t="str">
        <f t="shared" si="77"/>
        <v>Cl 12A #56-25, santa anita, Cali</v>
      </c>
      <c r="M810" s="39" t="s">
        <v>2557</v>
      </c>
      <c r="N810" s="22"/>
      <c r="R810" s="50"/>
      <c r="S810" s="153"/>
      <c r="T810" s="153"/>
      <c r="Y810" s="52"/>
      <c r="AD810" s="22"/>
      <c r="AE810" s="22"/>
      <c r="AF810" s="22"/>
      <c r="AG810" s="22"/>
      <c r="AH810" s="22"/>
      <c r="AI810" s="22"/>
      <c r="AJ810" s="22"/>
      <c r="AK810" s="22"/>
      <c r="AL810" s="22"/>
      <c r="AM810" s="22"/>
      <c r="AN810" s="22"/>
      <c r="AO810" s="22"/>
      <c r="AP810" s="22"/>
    </row>
    <row r="811" ht="25.5" customHeight="1">
      <c r="A811" s="351">
        <f t="shared" si="3"/>
        <v>810</v>
      </c>
      <c r="B811" s="362" t="s">
        <v>32</v>
      </c>
      <c r="C811" s="362" t="s">
        <v>279</v>
      </c>
      <c r="D811" s="39" t="s">
        <v>515</v>
      </c>
      <c r="F811" s="204" t="s">
        <v>78</v>
      </c>
      <c r="G811" s="352" t="s">
        <v>1300</v>
      </c>
      <c r="H811" s="286" t="s">
        <v>424</v>
      </c>
      <c r="I811" s="286" t="s">
        <v>1834</v>
      </c>
      <c r="J811" s="286" t="s">
        <v>2558</v>
      </c>
      <c r="K811" s="355" t="s">
        <v>2559</v>
      </c>
      <c r="L811" s="22" t="str">
        <f t="shared" si="77"/>
        <v>Calle 3 oeste No 94A35 Barrio alto Polvorines, polvorines, Cali</v>
      </c>
      <c r="M811" s="39" t="s">
        <v>2560</v>
      </c>
      <c r="N811" s="22"/>
      <c r="R811" s="50"/>
      <c r="S811" s="153"/>
      <c r="T811" s="153"/>
      <c r="Y811" s="52"/>
      <c r="AD811" s="22"/>
      <c r="AE811" s="22"/>
      <c r="AF811" s="22"/>
      <c r="AG811" s="22"/>
      <c r="AH811" s="22"/>
      <c r="AI811" s="22"/>
      <c r="AJ811" s="22"/>
      <c r="AK811" s="22"/>
      <c r="AL811" s="22"/>
      <c r="AM811" s="22"/>
      <c r="AN811" s="22"/>
      <c r="AO811" s="22"/>
      <c r="AP811" s="22"/>
    </row>
    <row r="812" ht="25.5" customHeight="1">
      <c r="A812" s="351">
        <f t="shared" si="3"/>
        <v>811</v>
      </c>
      <c r="B812" s="362" t="s">
        <v>2561</v>
      </c>
      <c r="C812" s="362" t="s">
        <v>279</v>
      </c>
      <c r="D812" s="39" t="s">
        <v>515</v>
      </c>
      <c r="F812" s="204" t="s">
        <v>2439</v>
      </c>
      <c r="G812" s="352" t="s">
        <v>1960</v>
      </c>
      <c r="H812" s="286" t="s">
        <v>471</v>
      </c>
      <c r="I812" s="286" t="s">
        <v>1715</v>
      </c>
      <c r="J812" s="286" t="s">
        <v>2562</v>
      </c>
      <c r="K812" s="355" t="s">
        <v>2563</v>
      </c>
      <c r="L812" s="22" t="str">
        <f t="shared" si="77"/>
        <v>Calle 12A-No.57-21, santa anita, Cali</v>
      </c>
      <c r="M812" s="39" t="s">
        <v>2564</v>
      </c>
      <c r="N812" s="22"/>
      <c r="O812" s="52" t="s">
        <v>46</v>
      </c>
      <c r="R812" s="50"/>
      <c r="S812" s="153"/>
      <c r="T812" s="153"/>
      <c r="Y812" s="52"/>
      <c r="AD812" s="22"/>
      <c r="AE812" s="22"/>
      <c r="AF812" s="22"/>
      <c r="AG812" s="22"/>
      <c r="AH812" s="22"/>
      <c r="AI812" s="22"/>
      <c r="AJ812" s="22"/>
      <c r="AK812" s="22"/>
      <c r="AL812" s="22"/>
      <c r="AM812" s="22"/>
      <c r="AN812" s="22"/>
      <c r="AO812" s="22"/>
      <c r="AP812" s="22"/>
    </row>
    <row r="813" ht="25.5" customHeight="1">
      <c r="A813" s="351">
        <v>812.0</v>
      </c>
      <c r="B813" s="362" t="s">
        <v>32</v>
      </c>
      <c r="C813" s="362" t="s">
        <v>279</v>
      </c>
      <c r="D813" s="39" t="s">
        <v>515</v>
      </c>
      <c r="F813" s="204" t="s">
        <v>363</v>
      </c>
      <c r="G813" s="352" t="s">
        <v>1960</v>
      </c>
      <c r="H813" s="286" t="s">
        <v>157</v>
      </c>
      <c r="I813" s="286" t="s">
        <v>38</v>
      </c>
      <c r="J813" s="363" t="s">
        <v>2565</v>
      </c>
      <c r="K813" s="355"/>
      <c r="L813" s="22" t="str">
        <f t="shared" si="77"/>
        <v>Calle 8 # 42 - 55, Cámbulos, Cali</v>
      </c>
      <c r="M813" s="39" t="s">
        <v>2566</v>
      </c>
      <c r="N813" s="22"/>
      <c r="O813" s="52" t="s">
        <v>46</v>
      </c>
      <c r="R813" s="50"/>
      <c r="S813" s="153"/>
      <c r="T813" s="153"/>
      <c r="Y813" s="52"/>
      <c r="AD813" s="22"/>
      <c r="AE813" s="22"/>
      <c r="AF813" s="22"/>
      <c r="AG813" s="22"/>
      <c r="AH813" s="22"/>
      <c r="AI813" s="22"/>
      <c r="AJ813" s="22"/>
      <c r="AK813" s="22"/>
      <c r="AL813" s="22"/>
      <c r="AM813" s="22"/>
      <c r="AN813" s="22"/>
      <c r="AO813" s="22"/>
      <c r="AP813" s="22"/>
    </row>
    <row r="814" ht="25.5" customHeight="1">
      <c r="A814" s="351">
        <v>813.0</v>
      </c>
      <c r="B814" s="362" t="s">
        <v>2561</v>
      </c>
      <c r="C814" s="362" t="s">
        <v>279</v>
      </c>
      <c r="D814" s="39" t="s">
        <v>515</v>
      </c>
      <c r="F814" s="204" t="s">
        <v>180</v>
      </c>
      <c r="G814" s="352" t="s">
        <v>426</v>
      </c>
      <c r="H814" s="286" t="s">
        <v>2166</v>
      </c>
      <c r="I814" s="286" t="s">
        <v>38</v>
      </c>
      <c r="J814" s="364" t="s">
        <v>2567</v>
      </c>
      <c r="K814" s="355"/>
      <c r="L814" s="22" t="str">
        <f t="shared" si="77"/>
        <v>Calle 51 # 8H - 10, la base, Cali</v>
      </c>
      <c r="M814" s="39" t="s">
        <v>2557</v>
      </c>
      <c r="N814" s="22"/>
      <c r="R814" s="50"/>
      <c r="S814" s="153"/>
      <c r="T814" s="153"/>
      <c r="Y814" s="52"/>
      <c r="AD814" s="22"/>
      <c r="AE814" s="22"/>
      <c r="AF814" s="22"/>
      <c r="AG814" s="22"/>
      <c r="AH814" s="22"/>
      <c r="AI814" s="22"/>
      <c r="AJ814" s="22"/>
      <c r="AK814" s="22"/>
      <c r="AL814" s="22"/>
      <c r="AM814" s="22"/>
      <c r="AN814" s="22"/>
      <c r="AO814" s="22"/>
      <c r="AP814" s="22"/>
    </row>
    <row r="815" ht="25.5" customHeight="1">
      <c r="A815" s="351">
        <v>814.0</v>
      </c>
      <c r="B815" s="362" t="s">
        <v>2561</v>
      </c>
      <c r="C815" s="362" t="s">
        <v>279</v>
      </c>
      <c r="D815" s="39" t="s">
        <v>515</v>
      </c>
      <c r="F815" s="204" t="s">
        <v>331</v>
      </c>
      <c r="G815" s="352" t="s">
        <v>426</v>
      </c>
      <c r="H815" s="286" t="s">
        <v>330</v>
      </c>
      <c r="I815" s="286" t="s">
        <v>1834</v>
      </c>
      <c r="J815" s="286" t="s">
        <v>2568</v>
      </c>
      <c r="K815" s="355"/>
      <c r="L815" s="22" t="str">
        <f t="shared" si="77"/>
        <v>Carrera 42A1 #42-88, la union, Cali</v>
      </c>
      <c r="M815" s="39" t="s">
        <v>2569</v>
      </c>
      <c r="N815" s="22"/>
      <c r="R815" s="50"/>
      <c r="S815" s="153"/>
      <c r="T815" s="153"/>
      <c r="Y815" s="52"/>
      <c r="AD815" s="22"/>
      <c r="AE815" s="22"/>
      <c r="AF815" s="22"/>
      <c r="AG815" s="22"/>
      <c r="AH815" s="22"/>
      <c r="AI815" s="22"/>
      <c r="AJ815" s="22"/>
      <c r="AK815" s="22"/>
      <c r="AL815" s="22"/>
      <c r="AM815" s="22"/>
      <c r="AN815" s="22"/>
      <c r="AO815" s="22"/>
      <c r="AP815" s="22"/>
    </row>
    <row r="816" ht="25.5" customHeight="1">
      <c r="A816" s="351">
        <f t="shared" ref="A816:A864" si="78">A815+1</f>
        <v>815</v>
      </c>
      <c r="B816" s="362" t="s">
        <v>2561</v>
      </c>
      <c r="C816" s="362" t="s">
        <v>279</v>
      </c>
      <c r="D816" s="39" t="s">
        <v>515</v>
      </c>
      <c r="F816" s="204" t="s">
        <v>73</v>
      </c>
      <c r="G816" s="352" t="s">
        <v>2472</v>
      </c>
      <c r="H816" s="286" t="s">
        <v>144</v>
      </c>
      <c r="I816" s="286" t="s">
        <v>1834</v>
      </c>
      <c r="J816" s="304" t="s">
        <v>2570</v>
      </c>
      <c r="K816" s="355"/>
      <c r="L816" s="22" t="str">
        <f t="shared" si="77"/>
        <v>Cra. 23 #8-07, Bretaña, Cali</v>
      </c>
      <c r="M816" s="365" t="s">
        <v>2557</v>
      </c>
      <c r="N816" s="39" t="s">
        <v>233</v>
      </c>
      <c r="R816" s="50"/>
      <c r="S816" s="153"/>
      <c r="T816" s="153"/>
      <c r="Y816" s="52"/>
      <c r="Z816" s="52" t="s">
        <v>2571</v>
      </c>
      <c r="AD816" s="22"/>
      <c r="AE816" s="22"/>
      <c r="AF816" s="22"/>
      <c r="AG816" s="22"/>
      <c r="AH816" s="22"/>
      <c r="AI816" s="22"/>
      <c r="AJ816" s="22"/>
      <c r="AK816" s="22"/>
      <c r="AL816" s="22"/>
      <c r="AM816" s="22"/>
      <c r="AN816" s="22"/>
      <c r="AO816" s="22"/>
      <c r="AP816" s="22"/>
    </row>
    <row r="817" ht="25.5" customHeight="1">
      <c r="A817" s="351">
        <f t="shared" si="78"/>
        <v>816</v>
      </c>
      <c r="B817" s="362" t="s">
        <v>61</v>
      </c>
      <c r="C817" s="362" t="s">
        <v>279</v>
      </c>
      <c r="D817" s="39" t="s">
        <v>515</v>
      </c>
      <c r="F817" s="204" t="s">
        <v>35</v>
      </c>
      <c r="G817" s="352" t="s">
        <v>36</v>
      </c>
      <c r="H817" s="286" t="s">
        <v>134</v>
      </c>
      <c r="I817" s="286" t="s">
        <v>38</v>
      </c>
      <c r="J817" s="286" t="s">
        <v>2572</v>
      </c>
      <c r="K817" s="355"/>
      <c r="L817" s="22" t="str">
        <f t="shared" si="77"/>
        <v>Calle 13 oeste # 55 - 72 Edificio Gualanday, Bella Suiza, Cali</v>
      </c>
      <c r="M817" s="39" t="s">
        <v>2573</v>
      </c>
      <c r="N817" s="39" t="s">
        <v>233</v>
      </c>
      <c r="O817" s="52" t="s">
        <v>83</v>
      </c>
      <c r="R817" s="50"/>
      <c r="S817" s="153"/>
      <c r="T817" s="153">
        <v>1.0</v>
      </c>
      <c r="Y817" s="52"/>
      <c r="Z817" s="52" t="s">
        <v>2574</v>
      </c>
      <c r="AD817" s="22"/>
      <c r="AE817" s="22"/>
      <c r="AF817" s="22"/>
      <c r="AG817" s="22"/>
      <c r="AH817" s="22"/>
      <c r="AI817" s="22"/>
      <c r="AJ817" s="22"/>
      <c r="AK817" s="22"/>
      <c r="AL817" s="22"/>
      <c r="AM817" s="22"/>
      <c r="AN817" s="22"/>
      <c r="AO817" s="22"/>
      <c r="AP817" s="22"/>
    </row>
    <row r="818" ht="25.5" customHeight="1">
      <c r="A818" s="351">
        <f t="shared" si="78"/>
        <v>817</v>
      </c>
      <c r="B818" s="362" t="s">
        <v>2561</v>
      </c>
      <c r="C818" s="362" t="s">
        <v>279</v>
      </c>
      <c r="D818" s="39" t="s">
        <v>515</v>
      </c>
      <c r="F818" s="204" t="s">
        <v>70</v>
      </c>
      <c r="G818" s="352" t="s">
        <v>36</v>
      </c>
      <c r="H818" s="286" t="s">
        <v>520</v>
      </c>
      <c r="I818" s="286" t="s">
        <v>38</v>
      </c>
      <c r="J818" s="286" t="s">
        <v>2575</v>
      </c>
      <c r="K818" s="355"/>
      <c r="L818" s="22" t="str">
        <f t="shared" si="77"/>
        <v>Calle 13c # 49 -15 conjunto multifamiliar triveca, Zaguasqui, Cali</v>
      </c>
      <c r="M818" s="39" t="s">
        <v>2576</v>
      </c>
      <c r="N818" s="39" t="s">
        <v>233</v>
      </c>
      <c r="O818" s="52" t="s">
        <v>46</v>
      </c>
      <c r="R818" s="50"/>
      <c r="S818" s="153">
        <v>1.0</v>
      </c>
      <c r="T818" s="153"/>
      <c r="Y818" s="52"/>
      <c r="Z818" s="52" t="s">
        <v>2577</v>
      </c>
      <c r="AD818" s="22"/>
      <c r="AE818" s="22"/>
      <c r="AF818" s="22"/>
      <c r="AG818" s="22"/>
      <c r="AH818" s="22"/>
      <c r="AI818" s="22"/>
      <c r="AJ818" s="22"/>
      <c r="AK818" s="22"/>
      <c r="AL818" s="22"/>
      <c r="AM818" s="22"/>
      <c r="AN818" s="22"/>
      <c r="AO818" s="22"/>
      <c r="AP818" s="22"/>
    </row>
    <row r="819" ht="25.5" customHeight="1">
      <c r="A819" s="351">
        <f t="shared" si="78"/>
        <v>818</v>
      </c>
      <c r="B819" s="362" t="s">
        <v>2561</v>
      </c>
      <c r="C819" s="349"/>
      <c r="D819" s="39" t="s">
        <v>515</v>
      </c>
      <c r="F819" s="204" t="s">
        <v>35</v>
      </c>
      <c r="G819" s="352" t="s">
        <v>36</v>
      </c>
      <c r="H819" s="286" t="s">
        <v>2578</v>
      </c>
      <c r="I819" s="286" t="s">
        <v>38</v>
      </c>
      <c r="J819" s="286" t="s">
        <v>2579</v>
      </c>
      <c r="K819" s="355"/>
      <c r="L819" s="22" t="str">
        <f t="shared" si="77"/>
        <v>Calle 7 # 30-21, El cedro, Cali</v>
      </c>
      <c r="M819" s="39" t="s">
        <v>2580</v>
      </c>
      <c r="N819" s="39" t="s">
        <v>233</v>
      </c>
      <c r="O819" s="52" t="s">
        <v>83</v>
      </c>
      <c r="R819" s="50"/>
      <c r="S819" s="153"/>
      <c r="T819" s="153">
        <v>1.0</v>
      </c>
      <c r="Y819" s="52"/>
      <c r="Z819" s="52" t="s">
        <v>2581</v>
      </c>
      <c r="AD819" s="22"/>
      <c r="AE819" s="22"/>
      <c r="AF819" s="22"/>
      <c r="AG819" s="22"/>
      <c r="AH819" s="22"/>
      <c r="AI819" s="22"/>
      <c r="AJ819" s="22"/>
      <c r="AK819" s="22"/>
      <c r="AL819" s="22"/>
      <c r="AM819" s="22"/>
      <c r="AN819" s="22"/>
      <c r="AO819" s="22"/>
      <c r="AP819" s="22"/>
    </row>
    <row r="820" ht="25.5" customHeight="1">
      <c r="A820" s="366">
        <f t="shared" si="78"/>
        <v>819</v>
      </c>
      <c r="B820" s="192" t="s">
        <v>61</v>
      </c>
      <c r="C820" s="156"/>
      <c r="D820" s="27" t="s">
        <v>515</v>
      </c>
      <c r="E820" s="98"/>
      <c r="F820" s="30" t="s">
        <v>53</v>
      </c>
      <c r="G820" s="367" t="s">
        <v>350</v>
      </c>
      <c r="H820" s="146" t="s">
        <v>2582</v>
      </c>
      <c r="I820" s="146" t="s">
        <v>286</v>
      </c>
      <c r="J820" s="146" t="s">
        <v>2583</v>
      </c>
      <c r="K820" s="368" t="s">
        <v>2584</v>
      </c>
      <c r="L820" s="22" t="str">
        <f t="shared" si="77"/>
        <v>Avenida 6N #26N -36, Santa Monica norte, Cali</v>
      </c>
      <c r="M820" s="39" t="s">
        <v>2585</v>
      </c>
      <c r="N820" s="340" t="s">
        <v>233</v>
      </c>
      <c r="O820" s="52" t="s">
        <v>83</v>
      </c>
      <c r="R820" s="50"/>
      <c r="S820" s="153"/>
      <c r="T820" s="153">
        <v>1.0</v>
      </c>
      <c r="Y820" s="52"/>
      <c r="Z820" s="52" t="s">
        <v>2586</v>
      </c>
      <c r="AD820" s="22"/>
      <c r="AE820" s="22"/>
      <c r="AF820" s="22"/>
      <c r="AG820" s="22"/>
      <c r="AH820" s="22"/>
      <c r="AI820" s="22"/>
      <c r="AJ820" s="22"/>
      <c r="AK820" s="22"/>
      <c r="AL820" s="22"/>
      <c r="AM820" s="22"/>
      <c r="AN820" s="22"/>
      <c r="AO820" s="22"/>
      <c r="AP820" s="22"/>
    </row>
    <row r="821" ht="25.5" customHeight="1">
      <c r="A821" s="351">
        <f t="shared" si="78"/>
        <v>820</v>
      </c>
      <c r="B821" s="362" t="s">
        <v>61</v>
      </c>
      <c r="C821" s="362" t="s">
        <v>279</v>
      </c>
      <c r="D821" s="39" t="s">
        <v>515</v>
      </c>
      <c r="F821" s="204" t="s">
        <v>139</v>
      </c>
      <c r="G821" s="352" t="s">
        <v>350</v>
      </c>
      <c r="H821" s="286" t="s">
        <v>420</v>
      </c>
      <c r="I821" s="286" t="s">
        <v>38</v>
      </c>
      <c r="J821" s="286" t="s">
        <v>2587</v>
      </c>
      <c r="K821" s="355" t="s">
        <v>2588</v>
      </c>
      <c r="L821" s="22" t="str">
        <f t="shared" si="77"/>
        <v>Carrera 2b # 78 -03, Petecuy etapa 1, Cali</v>
      </c>
      <c r="M821" s="39" t="s">
        <v>2589</v>
      </c>
      <c r="N821" s="340" t="s">
        <v>233</v>
      </c>
      <c r="O821" s="52" t="s">
        <v>83</v>
      </c>
      <c r="R821" s="50"/>
      <c r="S821" s="153"/>
      <c r="T821" s="153">
        <v>1.0</v>
      </c>
      <c r="Y821" s="52"/>
      <c r="Z821" s="52" t="s">
        <v>2590</v>
      </c>
      <c r="AD821" s="22"/>
      <c r="AE821" s="22"/>
      <c r="AF821" s="22"/>
      <c r="AG821" s="22"/>
      <c r="AH821" s="22"/>
      <c r="AI821" s="22"/>
      <c r="AJ821" s="22"/>
      <c r="AK821" s="22"/>
      <c r="AL821" s="22"/>
      <c r="AM821" s="22"/>
      <c r="AN821" s="22"/>
      <c r="AO821" s="22"/>
      <c r="AP821" s="22"/>
    </row>
    <row r="822" ht="25.5" customHeight="1">
      <c r="A822" s="351">
        <f t="shared" si="78"/>
        <v>821</v>
      </c>
      <c r="B822" s="362" t="s">
        <v>2561</v>
      </c>
      <c r="C822" s="362"/>
      <c r="D822" s="39" t="s">
        <v>515</v>
      </c>
      <c r="F822" s="204" t="s">
        <v>87</v>
      </c>
      <c r="G822" s="352" t="s">
        <v>36</v>
      </c>
      <c r="H822" s="286" t="s">
        <v>387</v>
      </c>
      <c r="I822" s="286" t="s">
        <v>2591</v>
      </c>
      <c r="J822" s="286" t="s">
        <v>2592</v>
      </c>
      <c r="K822" s="355"/>
      <c r="L822" s="22" t="str">
        <f t="shared" si="77"/>
        <v>Carrera 97 #2a -50, Melendez, Cali</v>
      </c>
      <c r="M822" s="39" t="s">
        <v>2593</v>
      </c>
      <c r="N822" s="340" t="s">
        <v>233</v>
      </c>
      <c r="O822" s="52"/>
      <c r="R822" s="50"/>
      <c r="S822" s="153">
        <v>1.0</v>
      </c>
      <c r="T822" s="153">
        <v>1.0</v>
      </c>
      <c r="Y822" s="52"/>
      <c r="Z822" s="52" t="s">
        <v>2594</v>
      </c>
      <c r="AD822" s="22"/>
      <c r="AE822" s="22"/>
      <c r="AF822" s="22"/>
      <c r="AG822" s="22"/>
      <c r="AH822" s="22"/>
      <c r="AI822" s="22"/>
      <c r="AJ822" s="22"/>
      <c r="AK822" s="22"/>
      <c r="AL822" s="22"/>
      <c r="AM822" s="22"/>
      <c r="AN822" s="22"/>
      <c r="AO822" s="22"/>
      <c r="AP822" s="22"/>
    </row>
    <row r="823" ht="25.5" customHeight="1">
      <c r="A823" s="351">
        <f t="shared" si="78"/>
        <v>822</v>
      </c>
      <c r="B823" s="362" t="s">
        <v>2561</v>
      </c>
      <c r="C823" s="272"/>
      <c r="D823" s="39" t="s">
        <v>515</v>
      </c>
      <c r="E823" s="272"/>
      <c r="F823" s="369" t="s">
        <v>60</v>
      </c>
      <c r="G823" s="369" t="s">
        <v>36</v>
      </c>
      <c r="H823" s="347" t="s">
        <v>103</v>
      </c>
      <c r="I823" s="347" t="s">
        <v>38</v>
      </c>
      <c r="J823" s="370" t="s">
        <v>1961</v>
      </c>
      <c r="K823" s="347" t="s">
        <v>513</v>
      </c>
      <c r="L823" s="22" t="str">
        <f t="shared" si="77"/>
        <v>Calle 14 # 54-15, Limonar, Cali</v>
      </c>
      <c r="M823" s="347" t="s">
        <v>2595</v>
      </c>
      <c r="N823" s="347" t="s">
        <v>2596</v>
      </c>
      <c r="O823" s="272"/>
      <c r="P823" s="272"/>
      <c r="Q823" s="347"/>
      <c r="R823" s="371"/>
      <c r="S823" s="371"/>
      <c r="T823" s="371"/>
      <c r="U823" s="371"/>
      <c r="V823" s="371"/>
      <c r="W823" s="371"/>
      <c r="X823" s="371"/>
      <c r="Y823" s="272"/>
      <c r="Z823" s="347" t="s">
        <v>2597</v>
      </c>
      <c r="AA823" s="272"/>
      <c r="AB823" s="272"/>
      <c r="AC823" s="345"/>
      <c r="AD823" s="272"/>
      <c r="AE823" s="272"/>
      <c r="AF823" s="272"/>
      <c r="AG823" s="272"/>
      <c r="AH823" s="272"/>
      <c r="AI823" s="272"/>
      <c r="AJ823" s="272"/>
      <c r="AK823" s="272"/>
      <c r="AL823" s="272"/>
      <c r="AM823" s="272"/>
      <c r="AN823" s="272"/>
      <c r="AO823" s="272"/>
      <c r="AP823" s="272"/>
    </row>
    <row r="824" ht="36.0" customHeight="1">
      <c r="A824" s="366">
        <f t="shared" si="78"/>
        <v>823</v>
      </c>
      <c r="B824" s="192" t="s">
        <v>2561</v>
      </c>
      <c r="C824" s="121"/>
      <c r="D824" s="27" t="s">
        <v>515</v>
      </c>
      <c r="E824" s="263"/>
      <c r="F824" s="11"/>
      <c r="G824" s="11" t="s">
        <v>350</v>
      </c>
      <c r="H824" s="121" t="s">
        <v>1612</v>
      </c>
      <c r="I824" s="121" t="s">
        <v>38</v>
      </c>
      <c r="J824" s="147" t="s">
        <v>2598</v>
      </c>
      <c r="K824" s="263" t="s">
        <v>2599</v>
      </c>
      <c r="L824" s="33" t="str">
        <f t="shared" si="77"/>
        <v>Calle 51 norte # 3 AN 175, La flora, Cali</v>
      </c>
      <c r="M824" s="121"/>
      <c r="N824" s="347"/>
      <c r="O824" s="347"/>
      <c r="P824" s="272"/>
      <c r="Q824" s="347"/>
      <c r="R824" s="371"/>
      <c r="S824" s="371"/>
      <c r="T824" s="369"/>
      <c r="U824" s="371"/>
      <c r="V824" s="371"/>
      <c r="W824" s="371"/>
      <c r="X824" s="371"/>
      <c r="Y824" s="272"/>
      <c r="Z824" s="347" t="s">
        <v>2600</v>
      </c>
      <c r="AA824" s="272"/>
      <c r="AB824" s="272"/>
      <c r="AC824" s="345"/>
      <c r="AD824" s="272"/>
      <c r="AE824" s="272"/>
      <c r="AF824" s="272"/>
      <c r="AG824" s="272"/>
      <c r="AH824" s="272"/>
      <c r="AI824" s="272"/>
      <c r="AJ824" s="272"/>
      <c r="AK824" s="272"/>
      <c r="AL824" s="272"/>
      <c r="AM824" s="272"/>
      <c r="AN824" s="272"/>
      <c r="AO824" s="272"/>
      <c r="AP824" s="272"/>
    </row>
    <row r="825" ht="25.5" customHeight="1">
      <c r="A825" s="351">
        <f t="shared" si="78"/>
        <v>824</v>
      </c>
      <c r="B825" s="362" t="s">
        <v>2561</v>
      </c>
      <c r="C825" s="272"/>
      <c r="D825" s="39" t="s">
        <v>515</v>
      </c>
      <c r="E825" s="272"/>
      <c r="F825" s="369" t="s">
        <v>87</v>
      </c>
      <c r="G825" s="371"/>
      <c r="H825" s="347" t="s">
        <v>387</v>
      </c>
      <c r="I825" s="347" t="s">
        <v>38</v>
      </c>
      <c r="J825" s="350" t="s">
        <v>2601</v>
      </c>
      <c r="K825" s="347" t="s">
        <v>2602</v>
      </c>
      <c r="L825" s="22" t="str">
        <f t="shared" si="77"/>
        <v>Carrera 100 oeste #1B-26, Melendez, Cali</v>
      </c>
      <c r="M825" s="347" t="s">
        <v>2603</v>
      </c>
      <c r="N825" s="272"/>
      <c r="O825" s="272"/>
      <c r="P825" s="272"/>
      <c r="Q825" s="347"/>
      <c r="R825" s="371"/>
      <c r="S825" s="371"/>
      <c r="T825" s="371"/>
      <c r="U825" s="371"/>
      <c r="V825" s="371"/>
      <c r="W825" s="371"/>
      <c r="X825" s="371"/>
      <c r="Y825" s="272"/>
      <c r="Z825" s="347" t="s">
        <v>2604</v>
      </c>
      <c r="AA825" s="272"/>
      <c r="AB825" s="272"/>
      <c r="AC825" s="345"/>
      <c r="AD825" s="272"/>
      <c r="AE825" s="272"/>
      <c r="AF825" s="272"/>
      <c r="AG825" s="272"/>
      <c r="AH825" s="272"/>
      <c r="AI825" s="272"/>
      <c r="AJ825" s="272"/>
      <c r="AK825" s="272"/>
      <c r="AL825" s="272"/>
      <c r="AM825" s="272"/>
      <c r="AN825" s="272"/>
      <c r="AO825" s="272"/>
      <c r="AP825" s="272"/>
    </row>
    <row r="826" ht="25.5" customHeight="1">
      <c r="A826" s="351">
        <f t="shared" si="78"/>
        <v>825</v>
      </c>
      <c r="B826" s="347" t="s">
        <v>61</v>
      </c>
      <c r="C826" s="347" t="s">
        <v>2605</v>
      </c>
      <c r="D826" s="39" t="s">
        <v>515</v>
      </c>
      <c r="E826" s="272"/>
      <c r="F826" s="369" t="s">
        <v>35</v>
      </c>
      <c r="G826" s="369" t="s">
        <v>36</v>
      </c>
      <c r="H826" s="347" t="s">
        <v>1698</v>
      </c>
      <c r="I826" s="347" t="s">
        <v>38</v>
      </c>
      <c r="J826" s="350"/>
      <c r="K826" s="272"/>
      <c r="L826" s="22" t="str">
        <f t="shared" si="77"/>
        <v>, San fernando viejo, Cali</v>
      </c>
      <c r="M826" s="347" t="s">
        <v>2606</v>
      </c>
      <c r="N826" s="347" t="s">
        <v>2596</v>
      </c>
      <c r="O826" s="347" t="s">
        <v>46</v>
      </c>
      <c r="P826" s="272"/>
      <c r="Q826" s="347"/>
      <c r="R826" s="371"/>
      <c r="S826" s="371"/>
      <c r="T826" s="369">
        <v>1.0</v>
      </c>
      <c r="U826" s="371"/>
      <c r="V826" s="371"/>
      <c r="W826" s="371"/>
      <c r="X826" s="371"/>
      <c r="Y826" s="272"/>
      <c r="Z826" s="347" t="s">
        <v>2607</v>
      </c>
      <c r="AA826" s="272"/>
      <c r="AB826" s="272"/>
      <c r="AC826" s="345"/>
      <c r="AD826" s="272"/>
      <c r="AE826" s="272"/>
      <c r="AF826" s="272"/>
      <c r="AG826" s="272"/>
      <c r="AH826" s="272"/>
      <c r="AI826" s="272"/>
      <c r="AJ826" s="272"/>
      <c r="AK826" s="272"/>
      <c r="AL826" s="272"/>
      <c r="AM826" s="272"/>
      <c r="AN826" s="272"/>
      <c r="AO826" s="272"/>
      <c r="AP826" s="272"/>
    </row>
    <row r="827" ht="43.5" customHeight="1">
      <c r="A827" s="351">
        <f t="shared" si="78"/>
        <v>826</v>
      </c>
      <c r="B827" s="362" t="s">
        <v>2561</v>
      </c>
      <c r="C827" s="272"/>
      <c r="D827" s="39" t="s">
        <v>515</v>
      </c>
      <c r="E827" s="272"/>
      <c r="F827" s="371"/>
      <c r="G827" s="369" t="s">
        <v>426</v>
      </c>
      <c r="H827" s="347" t="s">
        <v>367</v>
      </c>
      <c r="I827" s="347" t="s">
        <v>38</v>
      </c>
      <c r="J827" s="350" t="s">
        <v>2608</v>
      </c>
      <c r="K827" s="347" t="s">
        <v>2609</v>
      </c>
      <c r="L827" s="22" t="str">
        <f t="shared" si="77"/>
        <v>Calle 72 P # 26 H 3 - 58, Los lagos distrito de agua blanca, Cali</v>
      </c>
      <c r="M827" s="347" t="s">
        <v>2610</v>
      </c>
      <c r="N827" s="347" t="s">
        <v>2611</v>
      </c>
      <c r="O827" s="272"/>
      <c r="P827" s="272"/>
      <c r="Q827" s="347"/>
      <c r="R827" s="371"/>
      <c r="S827" s="371"/>
      <c r="T827" s="371"/>
      <c r="U827" s="371"/>
      <c r="V827" s="371"/>
      <c r="W827" s="371"/>
      <c r="X827" s="371"/>
      <c r="Y827" s="272"/>
      <c r="Z827" s="347" t="s">
        <v>2612</v>
      </c>
      <c r="AA827" s="272"/>
      <c r="AB827" s="272"/>
      <c r="AC827" s="345"/>
      <c r="AD827" s="272"/>
      <c r="AE827" s="272"/>
      <c r="AF827" s="272"/>
      <c r="AG827" s="272"/>
      <c r="AH827" s="272"/>
      <c r="AI827" s="272"/>
      <c r="AJ827" s="272"/>
      <c r="AK827" s="272"/>
      <c r="AL827" s="272"/>
      <c r="AM827" s="272"/>
      <c r="AN827" s="272"/>
      <c r="AO827" s="272"/>
      <c r="AP827" s="272"/>
    </row>
    <row r="828" ht="25.5" customHeight="1">
      <c r="A828" s="351">
        <f t="shared" si="78"/>
        <v>827</v>
      </c>
      <c r="B828" s="362" t="s">
        <v>2561</v>
      </c>
      <c r="C828" s="272"/>
      <c r="D828" s="39" t="s">
        <v>515</v>
      </c>
      <c r="E828" s="272"/>
      <c r="F828" s="371"/>
      <c r="G828" s="371"/>
      <c r="H828" s="272"/>
      <c r="I828" s="272"/>
      <c r="J828" s="372"/>
      <c r="K828" s="272"/>
      <c r="L828" s="22" t="str">
        <f t="shared" si="77"/>
        <v>, , Cali</v>
      </c>
      <c r="M828" s="272"/>
      <c r="N828" s="272"/>
      <c r="O828" s="272"/>
      <c r="P828" s="272"/>
      <c r="Q828" s="347"/>
      <c r="R828" s="371"/>
      <c r="S828" s="371"/>
      <c r="T828" s="371"/>
      <c r="U828" s="371"/>
      <c r="V828" s="371"/>
      <c r="W828" s="371"/>
      <c r="X828" s="371"/>
      <c r="Y828" s="272"/>
      <c r="Z828" s="272"/>
      <c r="AA828" s="272"/>
      <c r="AB828" s="272"/>
      <c r="AC828" s="345"/>
      <c r="AD828" s="272"/>
      <c r="AE828" s="272"/>
      <c r="AF828" s="272"/>
      <c r="AG828" s="272"/>
      <c r="AH828" s="272"/>
      <c r="AI828" s="272"/>
      <c r="AJ828" s="272"/>
      <c r="AK828" s="272"/>
      <c r="AL828" s="272"/>
      <c r="AM828" s="272"/>
      <c r="AN828" s="272"/>
      <c r="AO828" s="272"/>
      <c r="AP828" s="272"/>
    </row>
    <row r="829" ht="25.5" customHeight="1">
      <c r="A829" s="351">
        <f t="shared" si="78"/>
        <v>828</v>
      </c>
      <c r="B829" s="347" t="s">
        <v>61</v>
      </c>
      <c r="C829" s="347" t="s">
        <v>279</v>
      </c>
      <c r="D829" s="39" t="s">
        <v>515</v>
      </c>
      <c r="E829" s="272"/>
      <c r="F829" s="369" t="s">
        <v>35</v>
      </c>
      <c r="G829" s="369" t="s">
        <v>36</v>
      </c>
      <c r="H829" s="347" t="s">
        <v>1698</v>
      </c>
      <c r="I829" s="347" t="s">
        <v>38</v>
      </c>
      <c r="J829" s="350" t="s">
        <v>2613</v>
      </c>
      <c r="K829" s="272"/>
      <c r="L829" s="22" t="str">
        <f t="shared" si="77"/>
        <v>Calle 4b # 35 - 19 Edificio amarillo, San fernando viejo, Cali</v>
      </c>
      <c r="M829" s="347" t="s">
        <v>2614</v>
      </c>
      <c r="N829" s="347" t="s">
        <v>2596</v>
      </c>
      <c r="O829" s="347" t="s">
        <v>46</v>
      </c>
      <c r="P829" s="272"/>
      <c r="Q829" s="347"/>
      <c r="R829" s="371"/>
      <c r="S829" s="371"/>
      <c r="T829" s="369">
        <v>1.0</v>
      </c>
      <c r="U829" s="371"/>
      <c r="V829" s="371"/>
      <c r="W829" s="371"/>
      <c r="X829" s="371"/>
      <c r="Y829" s="272"/>
      <c r="Z829" s="347" t="s">
        <v>2607</v>
      </c>
      <c r="AA829" s="272"/>
      <c r="AB829" s="272"/>
      <c r="AC829" s="345"/>
      <c r="AD829" s="272"/>
      <c r="AE829" s="272"/>
      <c r="AF829" s="272"/>
      <c r="AG829" s="272"/>
      <c r="AH829" s="272"/>
      <c r="AI829" s="272"/>
      <c r="AJ829" s="272"/>
      <c r="AK829" s="272"/>
      <c r="AL829" s="272"/>
      <c r="AM829" s="272"/>
      <c r="AN829" s="272"/>
      <c r="AO829" s="272"/>
      <c r="AP829" s="272"/>
    </row>
    <row r="830" ht="37.5" customHeight="1">
      <c r="A830" s="351">
        <f t="shared" si="78"/>
        <v>829</v>
      </c>
      <c r="B830" s="362" t="s">
        <v>2561</v>
      </c>
      <c r="C830" s="347"/>
      <c r="D830" s="39" t="s">
        <v>515</v>
      </c>
      <c r="E830" s="272"/>
      <c r="F830" s="369"/>
      <c r="G830" s="369" t="s">
        <v>36</v>
      </c>
      <c r="H830" s="347" t="s">
        <v>264</v>
      </c>
      <c r="I830" s="347" t="s">
        <v>286</v>
      </c>
      <c r="J830" s="350" t="s">
        <v>2615</v>
      </c>
      <c r="K830" s="347" t="s">
        <v>2584</v>
      </c>
      <c r="L830" s="22" t="str">
        <f t="shared" si="77"/>
        <v>Carrera 38 # 6-58, El templete, Cali</v>
      </c>
      <c r="M830" s="347" t="s">
        <v>2616</v>
      </c>
      <c r="N830" s="347" t="s">
        <v>2611</v>
      </c>
      <c r="O830" s="347"/>
      <c r="P830" s="272"/>
      <c r="Q830" s="347"/>
      <c r="R830" s="371"/>
      <c r="S830" s="371"/>
      <c r="T830" s="369"/>
      <c r="U830" s="371"/>
      <c r="V830" s="371"/>
      <c r="W830" s="371"/>
      <c r="X830" s="371"/>
      <c r="Y830" s="272"/>
      <c r="Z830" s="347" t="s">
        <v>2617</v>
      </c>
      <c r="AA830" s="272"/>
      <c r="AB830" s="272"/>
      <c r="AC830" s="345"/>
      <c r="AD830" s="272"/>
      <c r="AE830" s="272"/>
      <c r="AF830" s="272"/>
      <c r="AG830" s="272"/>
      <c r="AH830" s="272"/>
      <c r="AI830" s="272"/>
      <c r="AJ830" s="272"/>
      <c r="AK830" s="272"/>
      <c r="AL830" s="272"/>
      <c r="AM830" s="272"/>
      <c r="AN830" s="272"/>
      <c r="AO830" s="272"/>
      <c r="AP830" s="272"/>
    </row>
    <row r="831" ht="25.5" customHeight="1">
      <c r="A831" s="351">
        <f t="shared" si="78"/>
        <v>830</v>
      </c>
      <c r="B831" s="347" t="s">
        <v>2561</v>
      </c>
      <c r="C831" s="347" t="s">
        <v>279</v>
      </c>
      <c r="D831" s="39" t="s">
        <v>515</v>
      </c>
      <c r="E831" s="272"/>
      <c r="F831" s="369" t="s">
        <v>35</v>
      </c>
      <c r="G831" s="369" t="s">
        <v>36</v>
      </c>
      <c r="H831" s="347" t="s">
        <v>2578</v>
      </c>
      <c r="I831" s="347" t="s">
        <v>286</v>
      </c>
      <c r="J831" s="350" t="s">
        <v>2618</v>
      </c>
      <c r="K831" s="272"/>
      <c r="L831" s="22" t="str">
        <f t="shared" si="77"/>
        <v>Carrera 28 # 7 -47, El cedro, Cali</v>
      </c>
      <c r="M831" s="347" t="s">
        <v>2619</v>
      </c>
      <c r="N831" s="347" t="s">
        <v>2611</v>
      </c>
      <c r="O831" s="347" t="s">
        <v>46</v>
      </c>
      <c r="P831" s="272"/>
      <c r="Q831" s="347"/>
      <c r="R831" s="371"/>
      <c r="S831" s="369">
        <v>1.0</v>
      </c>
      <c r="T831" s="369"/>
      <c r="U831" s="371"/>
      <c r="V831" s="371"/>
      <c r="W831" s="371"/>
      <c r="X831" s="371"/>
      <c r="Y831" s="272"/>
      <c r="Z831" s="347" t="s">
        <v>2620</v>
      </c>
      <c r="AA831" s="272"/>
      <c r="AB831" s="272"/>
      <c r="AC831" s="345"/>
      <c r="AD831" s="272"/>
      <c r="AE831" s="272"/>
      <c r="AF831" s="272"/>
      <c r="AG831" s="272"/>
      <c r="AH831" s="272"/>
      <c r="AI831" s="272"/>
      <c r="AJ831" s="272"/>
      <c r="AK831" s="272"/>
      <c r="AL831" s="272"/>
      <c r="AM831" s="272"/>
      <c r="AN831" s="272"/>
      <c r="AO831" s="272"/>
      <c r="AP831" s="272"/>
    </row>
    <row r="832" ht="25.5" customHeight="1">
      <c r="A832" s="351">
        <f t="shared" si="78"/>
        <v>831</v>
      </c>
      <c r="B832" s="362" t="s">
        <v>2561</v>
      </c>
      <c r="C832" s="373"/>
      <c r="D832" s="39" t="s">
        <v>515</v>
      </c>
      <c r="E832" s="373"/>
      <c r="F832" s="374"/>
      <c r="G832" s="375"/>
      <c r="H832" s="272"/>
      <c r="I832" s="376"/>
      <c r="J832" s="353"/>
      <c r="K832" s="373"/>
      <c r="L832" s="22" t="str">
        <f t="shared" si="77"/>
        <v>, , Cali</v>
      </c>
      <c r="M832" s="373"/>
      <c r="N832" s="373"/>
      <c r="O832" s="373"/>
      <c r="P832" s="373"/>
      <c r="Q832" s="377"/>
      <c r="R832" s="375"/>
      <c r="S832" s="375"/>
      <c r="T832" s="375"/>
      <c r="U832" s="375"/>
      <c r="V832" s="375"/>
      <c r="W832" s="375"/>
      <c r="X832" s="375"/>
      <c r="Y832" s="373"/>
      <c r="Z832" s="373"/>
      <c r="AA832" s="373"/>
      <c r="AB832" s="373"/>
      <c r="AD832" s="373"/>
      <c r="AE832" s="373"/>
      <c r="AF832" s="373"/>
      <c r="AG832" s="373"/>
      <c r="AH832" s="373"/>
      <c r="AI832" s="373"/>
      <c r="AJ832" s="373"/>
      <c r="AK832" s="373"/>
      <c r="AL832" s="373"/>
      <c r="AM832" s="373"/>
      <c r="AN832" s="373"/>
      <c r="AO832" s="373"/>
      <c r="AP832" s="373"/>
    </row>
    <row r="833" ht="25.5" customHeight="1">
      <c r="A833" s="351">
        <f t="shared" si="78"/>
        <v>832</v>
      </c>
      <c r="B833" s="362" t="s">
        <v>2561</v>
      </c>
      <c r="C833" s="272"/>
      <c r="D833" s="39" t="s">
        <v>515</v>
      </c>
      <c r="E833" s="272"/>
      <c r="F833" s="369" t="s">
        <v>35</v>
      </c>
      <c r="G833" s="369" t="s">
        <v>36</v>
      </c>
      <c r="H833" s="347" t="s">
        <v>69</v>
      </c>
      <c r="I833" s="347" t="s">
        <v>2621</v>
      </c>
      <c r="J833" s="350" t="s">
        <v>2622</v>
      </c>
      <c r="K833" s="347" t="s">
        <v>38</v>
      </c>
      <c r="L833" s="22" t="str">
        <f t="shared" si="77"/>
        <v>Carrera 27 #5B-29, 4 de Julio, Cali</v>
      </c>
      <c r="M833" s="347" t="s">
        <v>2623</v>
      </c>
      <c r="N833" s="347" t="s">
        <v>2624</v>
      </c>
      <c r="O833" s="347" t="s">
        <v>948</v>
      </c>
      <c r="P833" s="272"/>
      <c r="Q833" s="347"/>
      <c r="R833" s="371"/>
      <c r="S833" s="371"/>
      <c r="T833" s="371"/>
      <c r="U833" s="371"/>
      <c r="V833" s="371"/>
      <c r="W833" s="371"/>
      <c r="X833" s="371"/>
      <c r="Y833" s="272"/>
      <c r="Z833" s="347" t="s">
        <v>2625</v>
      </c>
      <c r="AA833" s="272"/>
      <c r="AB833" s="272"/>
      <c r="AC833" s="345"/>
      <c r="AD833" s="272"/>
      <c r="AE833" s="272"/>
      <c r="AF833" s="272"/>
      <c r="AG833" s="272"/>
      <c r="AH833" s="272"/>
      <c r="AI833" s="272"/>
      <c r="AJ833" s="272"/>
      <c r="AK833" s="272"/>
      <c r="AL833" s="272"/>
      <c r="AM833" s="272"/>
      <c r="AN833" s="272"/>
      <c r="AO833" s="272"/>
      <c r="AP833" s="272"/>
    </row>
    <row r="834" ht="25.5" customHeight="1">
      <c r="A834" s="351">
        <f t="shared" si="78"/>
        <v>833</v>
      </c>
      <c r="B834" s="362" t="s">
        <v>2561</v>
      </c>
      <c r="C834" s="272"/>
      <c r="D834" s="39" t="s">
        <v>515</v>
      </c>
      <c r="E834" s="272"/>
      <c r="F834" s="369" t="s">
        <v>128</v>
      </c>
      <c r="G834" s="369" t="s">
        <v>36</v>
      </c>
      <c r="H834" s="347" t="s">
        <v>144</v>
      </c>
      <c r="I834" s="347" t="s">
        <v>286</v>
      </c>
      <c r="J834" s="350" t="s">
        <v>2626</v>
      </c>
      <c r="K834" s="347" t="s">
        <v>2627</v>
      </c>
      <c r="L834" s="22" t="str">
        <f t="shared" si="77"/>
        <v>Carrera 23d # 10a - 02, Bretaña, Cali</v>
      </c>
      <c r="M834" s="347" t="s">
        <v>2628</v>
      </c>
      <c r="N834" s="347" t="s">
        <v>2624</v>
      </c>
      <c r="O834" s="347"/>
      <c r="P834" s="272"/>
      <c r="Q834" s="347"/>
      <c r="R834" s="371"/>
      <c r="S834" s="371"/>
      <c r="T834" s="369">
        <v>1.0</v>
      </c>
      <c r="U834" s="371"/>
      <c r="V834" s="371"/>
      <c r="W834" s="371"/>
      <c r="X834" s="371"/>
      <c r="Y834" s="272"/>
      <c r="Z834" s="347" t="s">
        <v>2629</v>
      </c>
      <c r="AA834" s="272"/>
      <c r="AB834" s="272"/>
      <c r="AC834" s="345"/>
      <c r="AD834" s="272"/>
      <c r="AE834" s="272"/>
      <c r="AF834" s="272"/>
      <c r="AG834" s="272"/>
      <c r="AH834" s="272"/>
      <c r="AI834" s="272"/>
      <c r="AJ834" s="272"/>
      <c r="AK834" s="272"/>
      <c r="AL834" s="272"/>
      <c r="AM834" s="272"/>
      <c r="AN834" s="272"/>
      <c r="AO834" s="272"/>
      <c r="AP834" s="272"/>
    </row>
    <row r="835" ht="25.5" customHeight="1">
      <c r="A835" s="351">
        <f t="shared" si="78"/>
        <v>834</v>
      </c>
      <c r="B835" s="362" t="s">
        <v>2561</v>
      </c>
      <c r="C835" s="272"/>
      <c r="D835" s="39" t="s">
        <v>515</v>
      </c>
      <c r="E835" s="272"/>
      <c r="F835" s="371"/>
      <c r="G835" s="371"/>
      <c r="H835" s="347" t="s">
        <v>157</v>
      </c>
      <c r="I835" s="347" t="s">
        <v>38</v>
      </c>
      <c r="J835" s="350" t="s">
        <v>2630</v>
      </c>
      <c r="K835" s="347" t="s">
        <v>2631</v>
      </c>
      <c r="L835" s="272" t="str">
        <f t="shared" si="77"/>
        <v>Carrera 42 # 6-29, Cámbulos, Cali</v>
      </c>
      <c r="M835" s="347" t="s">
        <v>2632</v>
      </c>
      <c r="N835" s="347" t="s">
        <v>2633</v>
      </c>
      <c r="O835" s="272"/>
      <c r="P835" s="272"/>
      <c r="Q835" s="347"/>
      <c r="R835" s="371"/>
      <c r="S835" s="371"/>
      <c r="T835" s="371"/>
      <c r="U835" s="371"/>
      <c r="V835" s="371"/>
      <c r="W835" s="371"/>
      <c r="X835" s="371"/>
      <c r="Y835" s="272"/>
      <c r="Z835" s="347" t="s">
        <v>2634</v>
      </c>
      <c r="AA835" s="272"/>
      <c r="AB835" s="272"/>
      <c r="AC835" s="345"/>
      <c r="AD835" s="272"/>
      <c r="AE835" s="272"/>
      <c r="AF835" s="272"/>
      <c r="AG835" s="272"/>
      <c r="AH835" s="272"/>
      <c r="AI835" s="272"/>
      <c r="AJ835" s="272"/>
      <c r="AK835" s="272"/>
      <c r="AL835" s="272"/>
      <c r="AM835" s="272"/>
      <c r="AN835" s="272"/>
      <c r="AO835" s="272"/>
      <c r="AP835" s="272"/>
    </row>
    <row r="836" ht="25.5" customHeight="1">
      <c r="A836" s="351">
        <f t="shared" si="78"/>
        <v>835</v>
      </c>
      <c r="B836" s="362" t="s">
        <v>2561</v>
      </c>
      <c r="C836" s="373"/>
      <c r="D836" s="39" t="s">
        <v>515</v>
      </c>
      <c r="E836" s="373"/>
      <c r="F836" s="374"/>
      <c r="G836" s="375"/>
      <c r="H836" s="373"/>
      <c r="I836" s="373"/>
      <c r="J836" s="378"/>
      <c r="K836" s="373"/>
      <c r="L836" s="22" t="str">
        <f t="shared" si="77"/>
        <v>, , Cali</v>
      </c>
      <c r="M836" s="373"/>
      <c r="N836" s="373"/>
      <c r="O836" s="373"/>
      <c r="P836" s="373"/>
      <c r="Q836" s="377"/>
      <c r="R836" s="375"/>
      <c r="S836" s="375"/>
      <c r="T836" s="375"/>
      <c r="U836" s="375"/>
      <c r="V836" s="375"/>
      <c r="W836" s="375"/>
      <c r="X836" s="375"/>
      <c r="Y836" s="373"/>
      <c r="Z836" s="373"/>
      <c r="AA836" s="373"/>
      <c r="AB836" s="373"/>
      <c r="AD836" s="373"/>
      <c r="AE836" s="373"/>
      <c r="AF836" s="373"/>
      <c r="AG836" s="373"/>
      <c r="AH836" s="373"/>
      <c r="AI836" s="373"/>
      <c r="AJ836" s="373"/>
      <c r="AK836" s="373"/>
      <c r="AL836" s="373"/>
      <c r="AM836" s="373"/>
      <c r="AN836" s="373"/>
      <c r="AO836" s="373"/>
      <c r="AP836" s="373"/>
    </row>
    <row r="837" ht="25.5" customHeight="1">
      <c r="A837" s="351">
        <f t="shared" si="78"/>
        <v>836</v>
      </c>
      <c r="B837" s="362" t="s">
        <v>2561</v>
      </c>
      <c r="C837" s="272"/>
      <c r="D837" s="39" t="s">
        <v>515</v>
      </c>
      <c r="E837" s="272"/>
      <c r="F837" s="369" t="s">
        <v>76</v>
      </c>
      <c r="G837" s="369" t="s">
        <v>350</v>
      </c>
      <c r="H837" s="347" t="s">
        <v>470</v>
      </c>
      <c r="I837" s="347" t="s">
        <v>38</v>
      </c>
      <c r="J837" s="350" t="s">
        <v>2635</v>
      </c>
      <c r="K837" s="347"/>
      <c r="L837" s="22" t="str">
        <f t="shared" si="77"/>
        <v>Avenida las americas # 22n _45 fondo nacional del ahorro, San Vicente, Cali</v>
      </c>
      <c r="M837" s="347" t="s">
        <v>2636</v>
      </c>
      <c r="N837" s="347" t="s">
        <v>2624</v>
      </c>
      <c r="O837" s="347" t="s">
        <v>46</v>
      </c>
      <c r="P837" s="272"/>
      <c r="Q837" s="347"/>
      <c r="R837" s="371"/>
      <c r="S837" s="371"/>
      <c r="T837" s="369">
        <v>1.0</v>
      </c>
      <c r="U837" s="371"/>
      <c r="V837" s="371"/>
      <c r="W837" s="371"/>
      <c r="X837" s="371"/>
      <c r="Y837" s="272"/>
      <c r="Z837" s="347" t="s">
        <v>2637</v>
      </c>
      <c r="AA837" s="272"/>
      <c r="AB837" s="272"/>
      <c r="AC837" s="345"/>
      <c r="AD837" s="272"/>
      <c r="AE837" s="272"/>
      <c r="AF837" s="272"/>
      <c r="AG837" s="272"/>
      <c r="AH837" s="272"/>
      <c r="AI837" s="272"/>
      <c r="AJ837" s="272"/>
      <c r="AK837" s="272"/>
      <c r="AL837" s="272"/>
      <c r="AM837" s="272"/>
      <c r="AN837" s="272"/>
      <c r="AO837" s="272"/>
      <c r="AP837" s="272"/>
    </row>
    <row r="838" ht="25.5" customHeight="1">
      <c r="A838" s="351">
        <f t="shared" si="78"/>
        <v>837</v>
      </c>
      <c r="B838" s="362" t="s">
        <v>2561</v>
      </c>
      <c r="C838" s="272"/>
      <c r="D838" s="39" t="s">
        <v>515</v>
      </c>
      <c r="E838" s="272"/>
      <c r="F838" s="369" t="s">
        <v>35</v>
      </c>
      <c r="G838" s="369" t="s">
        <v>36</v>
      </c>
      <c r="H838" s="347" t="s">
        <v>278</v>
      </c>
      <c r="I838" s="347" t="s">
        <v>2638</v>
      </c>
      <c r="J838" s="379"/>
      <c r="K838" s="347" t="s">
        <v>2639</v>
      </c>
      <c r="L838" s="22" t="str">
        <f t="shared" si="77"/>
        <v>, San Fernando, Cali</v>
      </c>
      <c r="M838" s="347" t="s">
        <v>2640</v>
      </c>
      <c r="N838" s="272"/>
      <c r="O838" s="272"/>
      <c r="P838" s="272"/>
      <c r="Q838" s="347"/>
      <c r="R838" s="371"/>
      <c r="S838" s="371"/>
      <c r="T838" s="371"/>
      <c r="U838" s="371"/>
      <c r="V838" s="371"/>
      <c r="W838" s="371"/>
      <c r="X838" s="371"/>
      <c r="Y838" s="272"/>
      <c r="Z838" s="347" t="s">
        <v>2641</v>
      </c>
      <c r="AA838" s="272"/>
      <c r="AB838" s="272"/>
      <c r="AC838" s="345"/>
      <c r="AD838" s="272"/>
      <c r="AE838" s="272"/>
      <c r="AF838" s="272"/>
      <c r="AG838" s="272"/>
      <c r="AH838" s="272"/>
      <c r="AI838" s="272"/>
      <c r="AJ838" s="272"/>
      <c r="AK838" s="272"/>
      <c r="AL838" s="272"/>
      <c r="AM838" s="272"/>
      <c r="AN838" s="272"/>
      <c r="AO838" s="272"/>
      <c r="AP838" s="272"/>
    </row>
    <row r="839" ht="25.5" customHeight="1">
      <c r="A839" s="351">
        <f t="shared" si="78"/>
        <v>838</v>
      </c>
      <c r="B839" s="362" t="s">
        <v>2561</v>
      </c>
      <c r="C839" s="272"/>
      <c r="D839" s="39" t="s">
        <v>515</v>
      </c>
      <c r="E839" s="272"/>
      <c r="F839" s="369" t="s">
        <v>35</v>
      </c>
      <c r="G839" s="369" t="s">
        <v>36</v>
      </c>
      <c r="H839" s="347" t="s">
        <v>294</v>
      </c>
      <c r="I839" s="347" t="s">
        <v>38</v>
      </c>
      <c r="J839" s="370" t="s">
        <v>2642</v>
      </c>
      <c r="K839" s="347" t="s">
        <v>2643</v>
      </c>
      <c r="L839" s="22" t="str">
        <f t="shared" si="77"/>
        <v>Carrera 56 # 5 -80, Guadalupe, Cali</v>
      </c>
      <c r="M839" s="347" t="s">
        <v>2644</v>
      </c>
      <c r="N839" s="347" t="s">
        <v>2624</v>
      </c>
      <c r="O839" s="347" t="s">
        <v>46</v>
      </c>
      <c r="P839" s="272"/>
      <c r="Q839" s="347"/>
      <c r="R839" s="371"/>
      <c r="S839" s="371"/>
      <c r="T839" s="369">
        <v>1.0</v>
      </c>
      <c r="U839" s="371"/>
      <c r="V839" s="371"/>
      <c r="W839" s="371"/>
      <c r="X839" s="371"/>
      <c r="Y839" s="272"/>
      <c r="Z839" s="347" t="s">
        <v>2637</v>
      </c>
      <c r="AA839" s="272"/>
      <c r="AB839" s="272"/>
      <c r="AC839" s="345"/>
      <c r="AD839" s="272"/>
      <c r="AE839" s="272"/>
      <c r="AF839" s="272"/>
      <c r="AG839" s="272"/>
      <c r="AH839" s="272"/>
      <c r="AI839" s="272"/>
      <c r="AJ839" s="272"/>
      <c r="AK839" s="272"/>
      <c r="AL839" s="272"/>
      <c r="AM839" s="272"/>
      <c r="AN839" s="272"/>
      <c r="AO839" s="272"/>
      <c r="AP839" s="272"/>
    </row>
    <row r="840" ht="33.75" customHeight="1">
      <c r="A840" s="351">
        <f t="shared" si="78"/>
        <v>839</v>
      </c>
      <c r="B840" s="362" t="s">
        <v>2561</v>
      </c>
      <c r="C840" s="373"/>
      <c r="D840" s="39" t="s">
        <v>515</v>
      </c>
      <c r="E840" s="373"/>
      <c r="F840" s="369" t="s">
        <v>139</v>
      </c>
      <c r="G840" s="369" t="s">
        <v>350</v>
      </c>
      <c r="H840" s="347" t="s">
        <v>2645</v>
      </c>
      <c r="I840" s="347" t="s">
        <v>286</v>
      </c>
      <c r="J840" s="380" t="s">
        <v>2646</v>
      </c>
      <c r="K840" s="347" t="s">
        <v>1772</v>
      </c>
      <c r="L840" s="22" t="str">
        <f t="shared" si="77"/>
        <v>Calle 71 a # 2 C 68, Jorge eliecer gaitan, Cali</v>
      </c>
      <c r="M840" s="347" t="s">
        <v>2647</v>
      </c>
      <c r="N840" s="272"/>
      <c r="O840" s="272"/>
      <c r="P840" s="272"/>
      <c r="Q840" s="347"/>
      <c r="R840" s="371"/>
      <c r="S840" s="371"/>
      <c r="T840" s="371"/>
      <c r="U840" s="371"/>
      <c r="V840" s="371"/>
      <c r="W840" s="371"/>
      <c r="X840" s="371"/>
      <c r="Y840" s="272"/>
      <c r="Z840" s="347" t="s">
        <v>2648</v>
      </c>
      <c r="AA840" s="373"/>
      <c r="AB840" s="373"/>
      <c r="AD840" s="373"/>
      <c r="AE840" s="373"/>
      <c r="AF840" s="373"/>
      <c r="AG840" s="373"/>
      <c r="AH840" s="373"/>
      <c r="AI840" s="373"/>
      <c r="AJ840" s="373"/>
      <c r="AK840" s="373"/>
      <c r="AL840" s="373"/>
      <c r="AM840" s="373"/>
      <c r="AN840" s="373"/>
      <c r="AO840" s="373"/>
      <c r="AP840" s="373"/>
    </row>
    <row r="841" ht="25.5" customHeight="1">
      <c r="A841" s="351">
        <f t="shared" si="78"/>
        <v>840</v>
      </c>
      <c r="B841" s="362" t="s">
        <v>2561</v>
      </c>
      <c r="C841" s="272"/>
      <c r="D841" s="39" t="s">
        <v>515</v>
      </c>
      <c r="E841" s="272"/>
      <c r="F841" s="369" t="s">
        <v>73</v>
      </c>
      <c r="G841" s="369" t="s">
        <v>176</v>
      </c>
      <c r="H841" s="347" t="s">
        <v>72</v>
      </c>
      <c r="I841" s="347" t="s">
        <v>38</v>
      </c>
      <c r="J841" s="350" t="s">
        <v>2649</v>
      </c>
      <c r="K841" s="347" t="s">
        <v>2650</v>
      </c>
      <c r="L841" s="22" t="str">
        <f t="shared" si="77"/>
        <v>Carrera 24 #7-71, Alameda, Cali</v>
      </c>
      <c r="M841" s="347" t="s">
        <v>2651</v>
      </c>
      <c r="N841" s="272"/>
      <c r="O841" s="272"/>
      <c r="P841" s="272"/>
      <c r="Q841" s="347"/>
      <c r="R841" s="371"/>
      <c r="S841" s="371"/>
      <c r="T841" s="371"/>
      <c r="U841" s="371"/>
      <c r="V841" s="371"/>
      <c r="W841" s="371"/>
      <c r="X841" s="371"/>
      <c r="Y841" s="272"/>
      <c r="Z841" s="347" t="s">
        <v>2652</v>
      </c>
      <c r="AA841" s="272"/>
      <c r="AB841" s="272"/>
      <c r="AC841" s="345"/>
      <c r="AD841" s="272"/>
      <c r="AE841" s="272"/>
      <c r="AF841" s="272"/>
      <c r="AG841" s="272"/>
      <c r="AH841" s="272"/>
      <c r="AI841" s="272"/>
      <c r="AJ841" s="272"/>
      <c r="AK841" s="272"/>
      <c r="AL841" s="272"/>
      <c r="AM841" s="272"/>
      <c r="AN841" s="272"/>
      <c r="AO841" s="272"/>
      <c r="AP841" s="272"/>
    </row>
    <row r="842" ht="25.5" customHeight="1">
      <c r="A842" s="351">
        <f t="shared" si="78"/>
        <v>841</v>
      </c>
      <c r="B842" s="362" t="s">
        <v>2561</v>
      </c>
      <c r="C842" s="373"/>
      <c r="D842" s="39" t="s">
        <v>515</v>
      </c>
      <c r="E842" s="373"/>
      <c r="F842" s="369" t="s">
        <v>121</v>
      </c>
      <c r="G842" s="369" t="s">
        <v>2653</v>
      </c>
      <c r="H842" s="347" t="s">
        <v>316</v>
      </c>
      <c r="I842" s="381" t="s">
        <v>286</v>
      </c>
      <c r="J842" s="378"/>
      <c r="K842" s="373"/>
      <c r="L842" s="22" t="str">
        <f t="shared" si="77"/>
        <v>, La base, Cali</v>
      </c>
      <c r="M842" s="373"/>
      <c r="N842" s="373"/>
      <c r="O842" s="373"/>
      <c r="P842" s="373"/>
      <c r="Q842" s="377"/>
      <c r="R842" s="375"/>
      <c r="S842" s="375"/>
      <c r="T842" s="375"/>
      <c r="U842" s="375"/>
      <c r="V842" s="375"/>
      <c r="W842" s="375"/>
      <c r="X842" s="375"/>
      <c r="Y842" s="373"/>
      <c r="Z842" s="373"/>
      <c r="AA842" s="373"/>
      <c r="AB842" s="373"/>
      <c r="AD842" s="373"/>
      <c r="AE842" s="373"/>
      <c r="AF842" s="373"/>
      <c r="AG842" s="373"/>
      <c r="AH842" s="373"/>
      <c r="AI842" s="373"/>
      <c r="AJ842" s="373"/>
      <c r="AK842" s="373"/>
      <c r="AL842" s="373"/>
      <c r="AM842" s="373"/>
      <c r="AN842" s="373"/>
      <c r="AO842" s="373"/>
      <c r="AP842" s="373"/>
    </row>
    <row r="843" ht="25.5" customHeight="1">
      <c r="A843" s="351">
        <f t="shared" si="78"/>
        <v>842</v>
      </c>
      <c r="B843" s="362" t="s">
        <v>2561</v>
      </c>
      <c r="C843" s="347" t="s">
        <v>2654</v>
      </c>
      <c r="D843" s="39" t="s">
        <v>515</v>
      </c>
      <c r="E843" s="373"/>
      <c r="F843" s="369" t="s">
        <v>128</v>
      </c>
      <c r="G843" s="369" t="s">
        <v>2655</v>
      </c>
      <c r="H843" s="347" t="s">
        <v>144</v>
      </c>
      <c r="I843" s="347" t="s">
        <v>1266</v>
      </c>
      <c r="J843" s="353" t="s">
        <v>2656</v>
      </c>
      <c r="K843" s="382"/>
      <c r="L843" s="22" t="str">
        <f t="shared" si="77"/>
        <v>Cra 16 #9-30, Bretaña, Cali</v>
      </c>
      <c r="M843" s="347" t="s">
        <v>2657</v>
      </c>
      <c r="N843" s="373"/>
      <c r="O843" s="347" t="s">
        <v>731</v>
      </c>
      <c r="P843" s="373"/>
      <c r="Q843" s="377"/>
      <c r="R843" s="375"/>
      <c r="S843" s="375"/>
      <c r="T843" s="375"/>
      <c r="U843" s="375"/>
      <c r="V843" s="375"/>
      <c r="W843" s="375"/>
      <c r="X843" s="375"/>
      <c r="Y843" s="373"/>
      <c r="Z843" s="347" t="s">
        <v>2658</v>
      </c>
      <c r="AA843" s="373"/>
      <c r="AB843" s="373"/>
      <c r="AD843" s="373"/>
      <c r="AE843" s="373"/>
      <c r="AF843" s="373"/>
      <c r="AG843" s="373"/>
      <c r="AH843" s="373"/>
      <c r="AI843" s="373"/>
      <c r="AJ843" s="373"/>
      <c r="AK843" s="373"/>
      <c r="AL843" s="373"/>
      <c r="AM843" s="373"/>
      <c r="AN843" s="373"/>
      <c r="AO843" s="373"/>
      <c r="AP843" s="373"/>
    </row>
    <row r="844" ht="25.5" customHeight="1">
      <c r="A844" s="351">
        <f t="shared" si="78"/>
        <v>843</v>
      </c>
      <c r="B844" s="362" t="s">
        <v>2561</v>
      </c>
      <c r="C844" s="373"/>
      <c r="D844" s="39" t="s">
        <v>515</v>
      </c>
      <c r="E844" s="373"/>
      <c r="F844" s="369"/>
      <c r="G844" s="369"/>
      <c r="H844" s="347" t="s">
        <v>348</v>
      </c>
      <c r="I844" s="347" t="s">
        <v>2659</v>
      </c>
      <c r="J844" s="378" t="s">
        <v>2660</v>
      </c>
      <c r="K844" s="347" t="s">
        <v>2661</v>
      </c>
      <c r="L844" s="22" t="str">
        <f t="shared" si="77"/>
        <v>Carrera 50B con Avenida 12 Oeste, lleras camargo, Cali</v>
      </c>
      <c r="M844" s="347" t="s">
        <v>2662</v>
      </c>
      <c r="N844" s="347" t="s">
        <v>2663</v>
      </c>
      <c r="O844" s="347"/>
      <c r="P844" s="347"/>
      <c r="Q844" s="347"/>
      <c r="R844" s="347"/>
      <c r="S844" s="347"/>
      <c r="T844" s="347"/>
      <c r="U844" s="347"/>
      <c r="V844" s="347"/>
      <c r="W844" s="347"/>
      <c r="X844" s="347"/>
      <c r="Y844" s="347"/>
      <c r="Z844" s="347"/>
      <c r="AA844" s="347"/>
      <c r="AB844" s="347"/>
      <c r="AC844" s="347"/>
      <c r="AD844" s="347"/>
      <c r="AE844" s="347"/>
      <c r="AF844" s="347"/>
      <c r="AG844" s="373"/>
      <c r="AH844" s="373"/>
      <c r="AI844" s="373"/>
      <c r="AJ844" s="373"/>
      <c r="AK844" s="373"/>
      <c r="AL844" s="373"/>
      <c r="AM844" s="373"/>
      <c r="AN844" s="373"/>
      <c r="AO844" s="373"/>
      <c r="AP844" s="373"/>
    </row>
    <row r="845" ht="25.5" customHeight="1">
      <c r="A845" s="351">
        <f t="shared" si="78"/>
        <v>844</v>
      </c>
      <c r="B845" s="362" t="s">
        <v>2561</v>
      </c>
      <c r="C845" s="347"/>
      <c r="D845" s="39" t="s">
        <v>515</v>
      </c>
      <c r="E845" s="347"/>
      <c r="F845" s="347" t="s">
        <v>35</v>
      </c>
      <c r="G845" s="347" t="s">
        <v>36</v>
      </c>
      <c r="H845" s="347" t="s">
        <v>2664</v>
      </c>
      <c r="I845" s="347" t="s">
        <v>286</v>
      </c>
      <c r="J845" s="347" t="s">
        <v>2665</v>
      </c>
      <c r="K845" s="347" t="s">
        <v>2666</v>
      </c>
      <c r="L845" s="22" t="str">
        <f t="shared" si="77"/>
        <v>Calle 4b #39-47, Nueva Granada, Cali</v>
      </c>
      <c r="M845" s="347" t="s">
        <v>2667</v>
      </c>
      <c r="N845" s="347"/>
      <c r="O845" s="347"/>
      <c r="P845" s="347"/>
      <c r="Q845" s="347"/>
      <c r="R845" s="347"/>
      <c r="S845" s="347"/>
      <c r="T845" s="347"/>
      <c r="U845" s="347"/>
      <c r="V845" s="347"/>
      <c r="W845" s="347"/>
      <c r="X845" s="347"/>
      <c r="Y845" s="347"/>
      <c r="Z845" s="347" t="s">
        <v>2668</v>
      </c>
      <c r="AA845" s="347"/>
      <c r="AB845" s="347"/>
      <c r="AC845" s="347"/>
      <c r="AD845" s="347"/>
      <c r="AE845" s="347"/>
      <c r="AF845" s="347"/>
      <c r="AG845" s="347"/>
      <c r="AH845" s="272"/>
      <c r="AI845" s="272"/>
      <c r="AJ845" s="272"/>
      <c r="AK845" s="272"/>
      <c r="AL845" s="272"/>
      <c r="AM845" s="272"/>
      <c r="AN845" s="272"/>
      <c r="AO845" s="272"/>
      <c r="AP845" s="272"/>
    </row>
    <row r="846" ht="25.5" customHeight="1">
      <c r="A846" s="351">
        <f t="shared" si="78"/>
        <v>845</v>
      </c>
      <c r="B846" s="362" t="s">
        <v>2561</v>
      </c>
      <c r="C846" s="347"/>
      <c r="D846" s="39" t="s">
        <v>515</v>
      </c>
      <c r="E846" s="347"/>
      <c r="F846" s="347" t="s">
        <v>70</v>
      </c>
      <c r="G846" s="347" t="s">
        <v>36</v>
      </c>
      <c r="H846" s="347" t="s">
        <v>232</v>
      </c>
      <c r="I846" s="347"/>
      <c r="J846" s="347" t="s">
        <v>2669</v>
      </c>
      <c r="K846" s="347" t="s">
        <v>2670</v>
      </c>
      <c r="L846" s="22" t="str">
        <f t="shared" si="77"/>
        <v>Calle 12 # 39-40, Departamental, Cali</v>
      </c>
      <c r="M846" s="347" t="s">
        <v>2671</v>
      </c>
      <c r="N846" s="347"/>
      <c r="O846" s="347"/>
      <c r="P846" s="347"/>
      <c r="Q846" s="347"/>
      <c r="R846" s="347"/>
      <c r="S846" s="347"/>
      <c r="T846" s="347"/>
      <c r="U846" s="347"/>
      <c r="V846" s="347"/>
      <c r="W846" s="347"/>
      <c r="X846" s="347"/>
      <c r="Y846" s="347"/>
      <c r="Z846" s="347" t="s">
        <v>2672</v>
      </c>
      <c r="AA846" s="347"/>
      <c r="AB846" s="347"/>
      <c r="AC846" s="347"/>
      <c r="AD846" s="347"/>
      <c r="AE846" s="347"/>
      <c r="AF846" s="347"/>
      <c r="AG846" s="347"/>
      <c r="AH846" s="272"/>
      <c r="AI846" s="272"/>
      <c r="AJ846" s="272"/>
      <c r="AK846" s="272"/>
      <c r="AL846" s="272"/>
      <c r="AM846" s="272"/>
      <c r="AN846" s="272"/>
      <c r="AO846" s="272"/>
      <c r="AP846" s="272"/>
    </row>
    <row r="847" ht="25.5" customHeight="1">
      <c r="A847" s="366">
        <f t="shared" si="78"/>
        <v>846</v>
      </c>
      <c r="B847" s="192" t="s">
        <v>2561</v>
      </c>
      <c r="C847" s="121"/>
      <c r="D847" s="27" t="s">
        <v>515</v>
      </c>
      <c r="E847" s="121"/>
      <c r="F847" s="121"/>
      <c r="G847" s="121"/>
      <c r="H847" s="121" t="s">
        <v>321</v>
      </c>
      <c r="I847" s="121" t="s">
        <v>38</v>
      </c>
      <c r="J847" s="121" t="s">
        <v>2673</v>
      </c>
      <c r="K847" s="121" t="s">
        <v>2674</v>
      </c>
      <c r="L847" s="33" t="str">
        <f t="shared" si="77"/>
        <v>Avenida 5B Norte # 64-80 Apartamento 402 Torre A, La Flora, Cali</v>
      </c>
      <c r="M847" s="121" t="s">
        <v>2675</v>
      </c>
      <c r="N847" s="121" t="s">
        <v>2676</v>
      </c>
      <c r="O847" s="347"/>
      <c r="P847" s="347"/>
      <c r="Q847" s="347"/>
      <c r="R847" s="347"/>
      <c r="S847" s="347"/>
      <c r="T847" s="347"/>
      <c r="U847" s="347"/>
      <c r="V847" s="347"/>
      <c r="W847" s="347"/>
      <c r="X847" s="347"/>
      <c r="Y847" s="347"/>
      <c r="Z847" s="347" t="s">
        <v>2677</v>
      </c>
      <c r="AA847" s="347"/>
      <c r="AB847" s="347"/>
      <c r="AC847" s="347"/>
      <c r="AD847" s="347"/>
      <c r="AE847" s="347"/>
      <c r="AF847" s="347"/>
      <c r="AG847" s="347"/>
      <c r="AH847" s="272"/>
      <c r="AI847" s="272"/>
      <c r="AJ847" s="272"/>
      <c r="AK847" s="272"/>
      <c r="AL847" s="272"/>
      <c r="AM847" s="272"/>
      <c r="AN847" s="272"/>
      <c r="AO847" s="272"/>
      <c r="AP847" s="272"/>
    </row>
    <row r="848" ht="25.5" customHeight="1">
      <c r="A848" s="351">
        <f t="shared" si="78"/>
        <v>847</v>
      </c>
      <c r="B848" s="362" t="s">
        <v>2561</v>
      </c>
      <c r="C848" s="347"/>
      <c r="D848" s="39" t="s">
        <v>515</v>
      </c>
      <c r="E848" s="347"/>
      <c r="F848" s="347" t="s">
        <v>363</v>
      </c>
      <c r="G848" s="347" t="s">
        <v>1960</v>
      </c>
      <c r="H848" s="347" t="s">
        <v>1396</v>
      </c>
      <c r="I848" s="347" t="s">
        <v>1834</v>
      </c>
      <c r="J848" s="347" t="s">
        <v>2678</v>
      </c>
      <c r="K848" s="347"/>
      <c r="L848" s="22" t="str">
        <f t="shared" si="77"/>
        <v>Calle 5B #52A - 5, tequendama, Cali</v>
      </c>
      <c r="M848" s="347" t="s">
        <v>2679</v>
      </c>
      <c r="N848" s="347"/>
      <c r="O848" s="347"/>
      <c r="P848" s="347"/>
      <c r="Q848" s="347"/>
      <c r="R848" s="347"/>
      <c r="S848" s="347"/>
      <c r="T848" s="347"/>
      <c r="U848" s="347"/>
      <c r="V848" s="347"/>
      <c r="W848" s="347"/>
      <c r="X848" s="347"/>
      <c r="Y848" s="347"/>
      <c r="Z848" s="347"/>
      <c r="AA848" s="347"/>
      <c r="AB848" s="347"/>
      <c r="AC848" s="347"/>
      <c r="AD848" s="347"/>
      <c r="AE848" s="347"/>
      <c r="AF848" s="347"/>
      <c r="AG848" s="347"/>
      <c r="AH848" s="272"/>
      <c r="AI848" s="272"/>
      <c r="AJ848" s="272"/>
      <c r="AK848" s="272"/>
      <c r="AL848" s="272"/>
      <c r="AM848" s="272"/>
      <c r="AN848" s="272"/>
      <c r="AO848" s="272"/>
      <c r="AP848" s="272"/>
    </row>
    <row r="849" ht="25.5" customHeight="1">
      <c r="A849" s="351">
        <f t="shared" si="78"/>
        <v>848</v>
      </c>
      <c r="B849" s="362" t="s">
        <v>2561</v>
      </c>
      <c r="C849" s="347"/>
      <c r="D849" s="39" t="s">
        <v>515</v>
      </c>
      <c r="E849" s="347"/>
      <c r="F849" s="347" t="s">
        <v>35</v>
      </c>
      <c r="G849" s="347" t="s">
        <v>36</v>
      </c>
      <c r="H849" s="347" t="s">
        <v>278</v>
      </c>
      <c r="I849" s="347" t="s">
        <v>1266</v>
      </c>
      <c r="J849" s="347" t="s">
        <v>2680</v>
      </c>
      <c r="K849" s="347"/>
      <c r="L849" s="22" t="str">
        <f t="shared" si="77"/>
        <v>Cra 36b #5-127, San Fernando, Cali</v>
      </c>
      <c r="M849" s="347" t="s">
        <v>2681</v>
      </c>
      <c r="N849" s="347"/>
      <c r="O849" s="347" t="s">
        <v>731</v>
      </c>
      <c r="P849" s="347"/>
      <c r="Q849" s="347"/>
      <c r="R849" s="347"/>
      <c r="S849" s="347"/>
      <c r="T849" s="347"/>
      <c r="U849" s="347"/>
      <c r="V849" s="347"/>
      <c r="W849" s="347"/>
      <c r="X849" s="347"/>
      <c r="Y849" s="347"/>
      <c r="Z849" s="347" t="s">
        <v>2682</v>
      </c>
      <c r="AA849" s="347"/>
      <c r="AB849" s="347"/>
      <c r="AC849" s="347"/>
      <c r="AD849" s="347"/>
      <c r="AE849" s="347"/>
      <c r="AF849" s="347"/>
      <c r="AG849" s="347"/>
      <c r="AH849" s="272"/>
      <c r="AI849" s="272"/>
      <c r="AJ849" s="272"/>
      <c r="AK849" s="272"/>
      <c r="AL849" s="272"/>
      <c r="AM849" s="272"/>
      <c r="AN849" s="272"/>
      <c r="AO849" s="272"/>
      <c r="AP849" s="272"/>
    </row>
    <row r="850" ht="25.5" customHeight="1">
      <c r="A850" s="351">
        <f t="shared" si="78"/>
        <v>849</v>
      </c>
      <c r="B850" s="347"/>
      <c r="C850" s="347"/>
      <c r="D850" s="39" t="s">
        <v>515</v>
      </c>
      <c r="E850" s="347"/>
      <c r="F850" s="347"/>
      <c r="G850" s="347"/>
      <c r="H850" s="347" t="s">
        <v>1380</v>
      </c>
      <c r="I850" s="347" t="s">
        <v>1715</v>
      </c>
      <c r="J850" s="304" t="s">
        <v>2683</v>
      </c>
      <c r="K850" s="347" t="s">
        <v>2684</v>
      </c>
      <c r="L850" s="22" t="str">
        <f t="shared" si="77"/>
        <v>Carrera 48 # 4-163, el lido, Cali</v>
      </c>
      <c r="M850" s="347" t="s">
        <v>2685</v>
      </c>
      <c r="N850" s="347" t="s">
        <v>2624</v>
      </c>
      <c r="O850" s="347" t="s">
        <v>46</v>
      </c>
      <c r="P850" s="347"/>
      <c r="Q850" s="347"/>
      <c r="R850" s="347"/>
      <c r="S850" s="347"/>
      <c r="T850" s="347"/>
      <c r="U850" s="347"/>
      <c r="V850" s="347"/>
      <c r="W850" s="347"/>
      <c r="X850" s="347"/>
      <c r="Y850" s="347"/>
      <c r="Z850" s="347" t="s">
        <v>2686</v>
      </c>
      <c r="AA850" s="347"/>
      <c r="AB850" s="347"/>
      <c r="AC850" s="347"/>
      <c r="AD850" s="347"/>
      <c r="AE850" s="347"/>
      <c r="AF850" s="347"/>
      <c r="AG850" s="347"/>
      <c r="AH850" s="272"/>
      <c r="AI850" s="272"/>
      <c r="AJ850" s="272"/>
      <c r="AK850" s="272"/>
      <c r="AL850" s="272"/>
      <c r="AM850" s="272"/>
      <c r="AN850" s="272"/>
      <c r="AO850" s="272"/>
      <c r="AP850" s="272"/>
    </row>
    <row r="851" ht="25.5" customHeight="1">
      <c r="A851" s="351">
        <f t="shared" si="78"/>
        <v>850</v>
      </c>
      <c r="B851" s="356" t="s">
        <v>2687</v>
      </c>
      <c r="C851" s="347"/>
      <c r="D851" s="39" t="s">
        <v>515</v>
      </c>
      <c r="E851" s="347"/>
      <c r="F851" s="347" t="s">
        <v>110</v>
      </c>
      <c r="G851" s="347" t="s">
        <v>176</v>
      </c>
      <c r="H851" s="347" t="s">
        <v>465</v>
      </c>
      <c r="I851" s="347" t="s">
        <v>38</v>
      </c>
      <c r="J851" s="347" t="s">
        <v>2688</v>
      </c>
      <c r="K851" s="347" t="s">
        <v>2689</v>
      </c>
      <c r="L851" s="22" t="str">
        <f t="shared" si="77"/>
        <v>Calle 13 # 13 -86, San Pascual, Cali</v>
      </c>
      <c r="M851" s="347" t="s">
        <v>2690</v>
      </c>
      <c r="N851" s="343" t="s">
        <v>642</v>
      </c>
      <c r="O851" s="347" t="s">
        <v>46</v>
      </c>
      <c r="P851" s="347"/>
      <c r="Q851" s="347"/>
      <c r="R851" s="347"/>
      <c r="S851" s="347">
        <v>1.0</v>
      </c>
      <c r="T851" s="347"/>
      <c r="U851" s="347"/>
      <c r="V851" s="347"/>
      <c r="W851" s="347"/>
      <c r="X851" s="347"/>
      <c r="Y851" s="347"/>
      <c r="Z851" s="347" t="s">
        <v>2691</v>
      </c>
      <c r="AA851" s="347"/>
      <c r="AB851" s="347"/>
      <c r="AC851" s="347"/>
      <c r="AD851" s="347"/>
      <c r="AE851" s="347"/>
      <c r="AF851" s="347"/>
      <c r="AG851" s="347"/>
      <c r="AH851" s="272"/>
      <c r="AI851" s="272"/>
      <c r="AJ851" s="272"/>
      <c r="AK851" s="272"/>
      <c r="AL851" s="272"/>
      <c r="AM851" s="272"/>
      <c r="AN851" s="272"/>
      <c r="AO851" s="272"/>
      <c r="AP851" s="272"/>
    </row>
    <row r="852">
      <c r="A852" s="351">
        <f t="shared" si="78"/>
        <v>851</v>
      </c>
      <c r="B852" s="383"/>
      <c r="C852" s="383"/>
      <c r="D852" s="39" t="s">
        <v>515</v>
      </c>
      <c r="E852" s="383"/>
      <c r="F852" s="383"/>
      <c r="G852" s="383"/>
      <c r="H852" s="347" t="s">
        <v>444</v>
      </c>
      <c r="I852" s="347" t="s">
        <v>2692</v>
      </c>
      <c r="J852" s="347" t="s">
        <v>2693</v>
      </c>
      <c r="K852" s="347" t="s">
        <v>2694</v>
      </c>
      <c r="L852" s="22" t="str">
        <f t="shared" si="77"/>
        <v>Carrera 12 D 30 08, Saavedra galindo, Cali</v>
      </c>
      <c r="M852" s="376" t="s">
        <v>2695</v>
      </c>
      <c r="N852" s="347" t="s">
        <v>2633</v>
      </c>
      <c r="O852" s="383"/>
      <c r="P852" s="383"/>
      <c r="Q852" s="383"/>
      <c r="R852" s="383"/>
      <c r="S852" s="383"/>
      <c r="T852" s="383"/>
      <c r="U852" s="383"/>
      <c r="V852" s="383"/>
      <c r="W852" s="383"/>
      <c r="X852" s="383"/>
      <c r="Y852" s="383"/>
      <c r="Z852" s="347" t="s">
        <v>2696</v>
      </c>
      <c r="AA852" s="383"/>
      <c r="AB852" s="383"/>
      <c r="AC852" s="383"/>
      <c r="AD852" s="383"/>
      <c r="AE852" s="383"/>
      <c r="AF852" s="383"/>
      <c r="AG852" s="383"/>
      <c r="AH852" s="373"/>
      <c r="AI852" s="373"/>
      <c r="AJ852" s="373"/>
      <c r="AK852" s="373"/>
      <c r="AL852" s="373"/>
      <c r="AM852" s="373"/>
      <c r="AN852" s="373"/>
      <c r="AO852" s="373"/>
      <c r="AP852" s="373"/>
    </row>
    <row r="853" ht="34.5" customHeight="1">
      <c r="A853" s="351">
        <f t="shared" si="78"/>
        <v>852</v>
      </c>
      <c r="B853" s="347" t="s">
        <v>2697</v>
      </c>
      <c r="C853" s="347"/>
      <c r="D853" s="39" t="s">
        <v>515</v>
      </c>
      <c r="E853" s="347"/>
      <c r="F853" s="347" t="s">
        <v>35</v>
      </c>
      <c r="G853" s="347" t="s">
        <v>36</v>
      </c>
      <c r="H853" s="347" t="s">
        <v>158</v>
      </c>
      <c r="I853" s="347" t="s">
        <v>38</v>
      </c>
      <c r="J853" s="347" t="s">
        <v>2698</v>
      </c>
      <c r="K853" s="347" t="s">
        <v>2699</v>
      </c>
      <c r="L853" s="22" t="str">
        <f t="shared" si="77"/>
        <v>Carrera 62 #2A-96, Cuarto de Legua, Cali</v>
      </c>
      <c r="M853" s="347" t="s">
        <v>2700</v>
      </c>
      <c r="N853" s="347"/>
      <c r="O853" s="347"/>
      <c r="P853" s="347"/>
      <c r="Q853" s="347"/>
      <c r="R853" s="347"/>
      <c r="S853" s="347"/>
      <c r="T853" s="347"/>
      <c r="U853" s="347"/>
      <c r="V853" s="347"/>
      <c r="W853" s="347"/>
      <c r="X853" s="347"/>
      <c r="Y853" s="347"/>
      <c r="Z853" s="347" t="s">
        <v>2701</v>
      </c>
      <c r="AA853" s="347"/>
      <c r="AB853" s="347"/>
      <c r="AC853" s="347"/>
      <c r="AD853" s="347"/>
      <c r="AE853" s="347"/>
      <c r="AF853" s="347"/>
      <c r="AG853" s="347"/>
      <c r="AH853" s="272"/>
      <c r="AI853" s="272"/>
      <c r="AJ853" s="272"/>
      <c r="AK853" s="272"/>
      <c r="AL853" s="272"/>
      <c r="AM853" s="272"/>
      <c r="AN853" s="272"/>
      <c r="AO853" s="272"/>
      <c r="AP853" s="272"/>
    </row>
    <row r="854" ht="25.5" customHeight="1">
      <c r="A854" s="351">
        <f t="shared" si="78"/>
        <v>853</v>
      </c>
      <c r="D854" s="39" t="s">
        <v>515</v>
      </c>
      <c r="F854" s="52" t="s">
        <v>70</v>
      </c>
      <c r="G854" s="52" t="s">
        <v>36</v>
      </c>
      <c r="H854" s="354" t="s">
        <v>240</v>
      </c>
      <c r="I854" s="354" t="s">
        <v>38</v>
      </c>
      <c r="J854" s="353" t="s">
        <v>2702</v>
      </c>
      <c r="L854" s="22" t="str">
        <f t="shared" si="77"/>
        <v>Calle 13A # 39-51, El Guabal, Cali</v>
      </c>
      <c r="M854" s="296" t="s">
        <v>2703</v>
      </c>
      <c r="Z854" s="52" t="s">
        <v>2704</v>
      </c>
      <c r="AG854" s="383"/>
      <c r="AH854" s="373"/>
      <c r="AI854" s="373"/>
      <c r="AJ854" s="373"/>
      <c r="AK854" s="373"/>
      <c r="AL854" s="373"/>
      <c r="AM854" s="373"/>
      <c r="AN854" s="373"/>
      <c r="AO854" s="373"/>
      <c r="AP854" s="373"/>
    </row>
    <row r="855" ht="25.5" customHeight="1">
      <c r="A855" s="351">
        <f t="shared" si="78"/>
        <v>854</v>
      </c>
      <c r="D855" s="39" t="s">
        <v>515</v>
      </c>
      <c r="F855" s="52" t="s">
        <v>70</v>
      </c>
      <c r="G855" s="52" t="s">
        <v>36</v>
      </c>
      <c r="H855" s="354" t="s">
        <v>414</v>
      </c>
      <c r="I855" s="384"/>
      <c r="J855" s="304" t="s">
        <v>2705</v>
      </c>
      <c r="K855" s="296" t="s">
        <v>2706</v>
      </c>
      <c r="L855" s="22" t="str">
        <f t="shared" si="77"/>
        <v>Carrera 51 # 8h-10, Panamericano, Cali</v>
      </c>
      <c r="M855" s="52" t="s">
        <v>2707</v>
      </c>
      <c r="Z855" s="52" t="s">
        <v>2708</v>
      </c>
      <c r="AG855" s="383"/>
      <c r="AH855" s="373"/>
      <c r="AI855" s="373"/>
      <c r="AJ855" s="373"/>
      <c r="AK855" s="373"/>
      <c r="AL855" s="373"/>
      <c r="AM855" s="373"/>
      <c r="AN855" s="373"/>
      <c r="AO855" s="373"/>
      <c r="AP855" s="373"/>
    </row>
    <row r="856" ht="25.5" customHeight="1">
      <c r="A856" s="351">
        <f t="shared" si="78"/>
        <v>855</v>
      </c>
      <c r="D856" s="39" t="s">
        <v>515</v>
      </c>
      <c r="F856" s="52" t="s">
        <v>35</v>
      </c>
      <c r="G856" s="52" t="s">
        <v>36</v>
      </c>
      <c r="H856" s="354" t="s">
        <v>474</v>
      </c>
      <c r="I856" s="384"/>
      <c r="J856" s="378"/>
      <c r="L856" s="22" t="str">
        <f t="shared" si="77"/>
        <v>, Santa Isabel, Cali</v>
      </c>
      <c r="AG856" s="383"/>
      <c r="AH856" s="373"/>
      <c r="AI856" s="373"/>
      <c r="AJ856" s="373"/>
      <c r="AK856" s="373"/>
      <c r="AL856" s="373"/>
      <c r="AM856" s="373"/>
      <c r="AN856" s="373"/>
      <c r="AO856" s="373"/>
      <c r="AP856" s="373"/>
    </row>
    <row r="857" ht="25.5" customHeight="1">
      <c r="A857" s="351">
        <f t="shared" si="78"/>
        <v>856</v>
      </c>
      <c r="D857" s="39" t="s">
        <v>515</v>
      </c>
      <c r="H857" s="354" t="s">
        <v>500</v>
      </c>
      <c r="I857" s="354" t="s">
        <v>1834</v>
      </c>
      <c r="J857" s="353" t="s">
        <v>2709</v>
      </c>
      <c r="L857" s="22" t="str">
        <f t="shared" si="77"/>
        <v>Carrera 42A1 #42-88  B// union de vivienda popular , union de viviendas popular , Cali</v>
      </c>
      <c r="AG857" s="383"/>
      <c r="AH857" s="373"/>
      <c r="AI857" s="373"/>
      <c r="AJ857" s="373"/>
      <c r="AK857" s="373"/>
      <c r="AL857" s="373"/>
      <c r="AM857" s="373"/>
      <c r="AN857" s="373"/>
      <c r="AO857" s="373"/>
      <c r="AP857" s="373"/>
    </row>
    <row r="858" ht="36.75" customHeight="1">
      <c r="A858" s="351">
        <f t="shared" si="78"/>
        <v>857</v>
      </c>
      <c r="B858" s="52" t="s">
        <v>2710</v>
      </c>
      <c r="D858" s="39" t="s">
        <v>515</v>
      </c>
      <c r="G858" s="52" t="s">
        <v>2711</v>
      </c>
      <c r="H858" s="354" t="s">
        <v>2712</v>
      </c>
      <c r="I858" s="354" t="s">
        <v>2713</v>
      </c>
      <c r="J858" s="353" t="s">
        <v>2714</v>
      </c>
      <c r="K858" s="52" t="s">
        <v>2715</v>
      </c>
      <c r="L858" s="22" t="str">
        <f t="shared" si="77"/>
        <v>Calle 8 22 87, La alameda, Cali</v>
      </c>
      <c r="M858" s="52" t="s">
        <v>2716</v>
      </c>
      <c r="Z858" s="52" t="s">
        <v>2717</v>
      </c>
      <c r="AG858" s="383"/>
      <c r="AH858" s="22"/>
      <c r="AI858" s="22"/>
      <c r="AJ858" s="22"/>
      <c r="AK858" s="22"/>
      <c r="AL858" s="22"/>
      <c r="AM858" s="22"/>
      <c r="AN858" s="22"/>
      <c r="AO858" s="22"/>
      <c r="AP858" s="22"/>
    </row>
    <row r="859" ht="25.5" customHeight="1">
      <c r="A859" s="351">
        <f t="shared" si="78"/>
        <v>858</v>
      </c>
      <c r="B859" s="52" t="s">
        <v>2710</v>
      </c>
      <c r="D859" s="39" t="s">
        <v>515</v>
      </c>
      <c r="H859" s="354" t="s">
        <v>2718</v>
      </c>
      <c r="I859" s="354" t="s">
        <v>1834</v>
      </c>
      <c r="J859" s="296" t="s">
        <v>2719</v>
      </c>
      <c r="K859" s="52" t="s">
        <v>2720</v>
      </c>
      <c r="L859" s="296" t="s">
        <v>2719</v>
      </c>
      <c r="M859" s="52" t="s">
        <v>2721</v>
      </c>
      <c r="Z859" s="296" t="s">
        <v>2722</v>
      </c>
      <c r="AG859" s="383"/>
      <c r="AH859" s="22"/>
      <c r="AI859" s="22"/>
      <c r="AJ859" s="22"/>
      <c r="AK859" s="22"/>
      <c r="AL859" s="22"/>
      <c r="AM859" s="22"/>
      <c r="AN859" s="22"/>
      <c r="AO859" s="22"/>
      <c r="AP859" s="22"/>
    </row>
    <row r="860" ht="25.5" customHeight="1">
      <c r="A860" s="351">
        <f t="shared" si="78"/>
        <v>859</v>
      </c>
      <c r="B860" s="52" t="s">
        <v>2710</v>
      </c>
      <c r="D860" s="39" t="s">
        <v>515</v>
      </c>
      <c r="H860" s="52" t="s">
        <v>401</v>
      </c>
      <c r="I860" s="52" t="s">
        <v>1834</v>
      </c>
      <c r="J860" s="296" t="s">
        <v>2723</v>
      </c>
      <c r="K860" s="52" t="s">
        <v>2720</v>
      </c>
      <c r="L860" s="296" t="s">
        <v>2723</v>
      </c>
      <c r="M860" s="353" t="s">
        <v>2724</v>
      </c>
      <c r="N860" s="52" t="s">
        <v>2624</v>
      </c>
      <c r="Z860" s="52" t="s">
        <v>2725</v>
      </c>
      <c r="AG860" s="383"/>
      <c r="AH860" s="22"/>
      <c r="AI860" s="22"/>
      <c r="AJ860" s="22"/>
      <c r="AK860" s="22"/>
      <c r="AL860" s="22"/>
      <c r="AM860" s="22"/>
      <c r="AN860" s="22"/>
      <c r="AO860" s="22"/>
      <c r="AP860" s="22"/>
    </row>
    <row r="861" ht="25.5" customHeight="1">
      <c r="A861" s="351">
        <f t="shared" si="78"/>
        <v>860</v>
      </c>
      <c r="D861" s="39" t="s">
        <v>515</v>
      </c>
      <c r="H861" s="354" t="s">
        <v>290</v>
      </c>
      <c r="I861" s="354" t="s">
        <v>1834</v>
      </c>
      <c r="J861" s="353" t="s">
        <v>2726</v>
      </c>
      <c r="L861" s="52" t="s">
        <v>2726</v>
      </c>
      <c r="M861" s="52" t="s">
        <v>231</v>
      </c>
      <c r="N861" s="52" t="s">
        <v>2624</v>
      </c>
      <c r="Z861" s="353" t="s">
        <v>2727</v>
      </c>
      <c r="AF861" s="52" t="s">
        <v>2728</v>
      </c>
      <c r="AG861" s="383"/>
      <c r="AH861" s="22"/>
      <c r="AI861" s="22"/>
      <c r="AJ861" s="22"/>
      <c r="AK861" s="22"/>
      <c r="AL861" s="22"/>
      <c r="AM861" s="22"/>
      <c r="AN861" s="22"/>
      <c r="AO861" s="22"/>
      <c r="AP861" s="22"/>
    </row>
    <row r="862" ht="25.5" customHeight="1">
      <c r="A862" s="351">
        <f t="shared" si="78"/>
        <v>861</v>
      </c>
      <c r="D862" s="39" t="s">
        <v>515</v>
      </c>
      <c r="F862" s="52" t="s">
        <v>35</v>
      </c>
      <c r="G862" s="52" t="s">
        <v>36</v>
      </c>
      <c r="H862" s="354" t="s">
        <v>278</v>
      </c>
      <c r="I862" s="354" t="s">
        <v>38</v>
      </c>
      <c r="J862" s="304" t="s">
        <v>2729</v>
      </c>
      <c r="K862" s="52" t="s">
        <v>2730</v>
      </c>
      <c r="M862" s="296" t="s">
        <v>2731</v>
      </c>
      <c r="Z862" s="52" t="s">
        <v>2732</v>
      </c>
      <c r="AG862" s="383"/>
      <c r="AH862" s="22"/>
      <c r="AI862" s="22"/>
      <c r="AJ862" s="22"/>
      <c r="AK862" s="22"/>
      <c r="AL862" s="22"/>
      <c r="AM862" s="22"/>
      <c r="AN862" s="22"/>
      <c r="AO862" s="22"/>
      <c r="AP862" s="22"/>
    </row>
    <row r="863" ht="25.5" customHeight="1">
      <c r="A863" s="351">
        <f t="shared" si="78"/>
        <v>862</v>
      </c>
      <c r="B863" s="52" t="s">
        <v>2710</v>
      </c>
      <c r="D863" s="39" t="s">
        <v>515</v>
      </c>
      <c r="F863" s="52" t="s">
        <v>363</v>
      </c>
      <c r="G863" s="52" t="s">
        <v>1960</v>
      </c>
      <c r="H863" s="354" t="s">
        <v>1452</v>
      </c>
      <c r="I863" s="354" t="s">
        <v>1715</v>
      </c>
      <c r="J863" s="304" t="s">
        <v>2733</v>
      </c>
      <c r="K863" s="52" t="s">
        <v>2734</v>
      </c>
      <c r="M863" s="52" t="s">
        <v>2735</v>
      </c>
      <c r="N863" s="52" t="s">
        <v>2736</v>
      </c>
      <c r="AG863" s="383"/>
      <c r="AH863" s="22"/>
      <c r="AI863" s="22"/>
      <c r="AJ863" s="22"/>
      <c r="AK863" s="22"/>
      <c r="AL863" s="22"/>
      <c r="AM863" s="22"/>
      <c r="AN863" s="22"/>
      <c r="AO863" s="22"/>
      <c r="AP863" s="22"/>
    </row>
    <row r="864" ht="25.5" customHeight="1">
      <c r="A864" s="351">
        <f t="shared" si="78"/>
        <v>863</v>
      </c>
      <c r="B864" s="52" t="s">
        <v>2710</v>
      </c>
      <c r="D864" s="39" t="s">
        <v>515</v>
      </c>
      <c r="F864" s="52" t="s">
        <v>509</v>
      </c>
      <c r="G864" s="52" t="s">
        <v>2737</v>
      </c>
      <c r="H864" s="354" t="s">
        <v>511</v>
      </c>
      <c r="I864" s="354" t="s">
        <v>1834</v>
      </c>
      <c r="J864" s="304" t="s">
        <v>2738</v>
      </c>
      <c r="K864" s="52" t="s">
        <v>2739</v>
      </c>
      <c r="M864" s="52" t="s">
        <v>2740</v>
      </c>
      <c r="N864" s="52" t="s">
        <v>2736</v>
      </c>
      <c r="AG864" s="383"/>
      <c r="AH864" s="22"/>
      <c r="AI864" s="22"/>
      <c r="AJ864" s="22"/>
      <c r="AK864" s="22"/>
      <c r="AL864" s="22"/>
      <c r="AM864" s="22"/>
      <c r="AN864" s="22"/>
      <c r="AO864" s="22"/>
      <c r="AP864" s="22"/>
    </row>
    <row r="865" ht="25.5" customHeight="1">
      <c r="F865" s="52" t="s">
        <v>110</v>
      </c>
      <c r="G865" s="52" t="s">
        <v>2741</v>
      </c>
      <c r="H865" s="354" t="s">
        <v>457</v>
      </c>
      <c r="I865" s="354" t="s">
        <v>286</v>
      </c>
      <c r="J865" s="304" t="s">
        <v>2742</v>
      </c>
      <c r="M865" s="52" t="s">
        <v>2743</v>
      </c>
      <c r="Z865" s="52" t="s">
        <v>2744</v>
      </c>
      <c r="AG865" s="383"/>
      <c r="AH865" s="22"/>
      <c r="AI865" s="22"/>
      <c r="AJ865" s="22"/>
      <c r="AK865" s="22"/>
      <c r="AL865" s="22"/>
      <c r="AM865" s="22"/>
      <c r="AN865" s="22"/>
      <c r="AO865" s="22"/>
      <c r="AP865" s="22"/>
    </row>
    <row r="866" ht="25.5" customHeight="1">
      <c r="F866" s="52" t="s">
        <v>76</v>
      </c>
      <c r="G866" s="52" t="s">
        <v>350</v>
      </c>
      <c r="H866" s="354" t="s">
        <v>321</v>
      </c>
      <c r="I866" s="354" t="s">
        <v>38</v>
      </c>
      <c r="J866" s="353" t="s">
        <v>2745</v>
      </c>
      <c r="AG866" s="383"/>
      <c r="AH866" s="22"/>
      <c r="AI866" s="22"/>
      <c r="AJ866" s="22"/>
      <c r="AK866" s="22"/>
      <c r="AL866" s="22"/>
      <c r="AM866" s="22"/>
      <c r="AN866" s="22"/>
      <c r="AO866" s="22"/>
      <c r="AP866" s="22"/>
    </row>
    <row r="867" ht="25.5" customHeight="1">
      <c r="B867" s="52" t="s">
        <v>61</v>
      </c>
      <c r="H867" s="354" t="s">
        <v>466</v>
      </c>
      <c r="I867" s="354" t="s">
        <v>38</v>
      </c>
      <c r="J867" s="353" t="s">
        <v>2746</v>
      </c>
      <c r="K867" s="52" t="s">
        <v>2747</v>
      </c>
      <c r="M867" s="52" t="s">
        <v>2748</v>
      </c>
      <c r="N867" s="52" t="s">
        <v>2749</v>
      </c>
      <c r="Z867" s="52" t="s">
        <v>2750</v>
      </c>
      <c r="AG867" s="383"/>
      <c r="AH867" s="22"/>
      <c r="AI867" s="22"/>
      <c r="AJ867" s="22"/>
      <c r="AK867" s="22"/>
      <c r="AL867" s="22"/>
      <c r="AM867" s="22"/>
      <c r="AN867" s="22"/>
      <c r="AO867" s="22"/>
      <c r="AP867" s="22"/>
    </row>
    <row r="868" ht="25.5" customHeight="1">
      <c r="B868" s="52" t="s">
        <v>61</v>
      </c>
      <c r="C868" s="52"/>
      <c r="F868" s="52" t="s">
        <v>363</v>
      </c>
      <c r="G868" s="52" t="s">
        <v>1960</v>
      </c>
      <c r="H868" s="354" t="s">
        <v>984</v>
      </c>
      <c r="I868" s="354" t="s">
        <v>1715</v>
      </c>
      <c r="J868" s="353" t="s">
        <v>2751</v>
      </c>
      <c r="K868" s="52" t="s">
        <v>2752</v>
      </c>
      <c r="M868" s="296" t="s">
        <v>2753</v>
      </c>
      <c r="N868" s="52" t="s">
        <v>2736</v>
      </c>
      <c r="AG868" s="383"/>
      <c r="AH868" s="22"/>
      <c r="AI868" s="22"/>
      <c r="AJ868" s="22"/>
      <c r="AK868" s="22"/>
      <c r="AL868" s="22"/>
      <c r="AM868" s="22"/>
      <c r="AN868" s="22"/>
      <c r="AO868" s="22"/>
      <c r="AP868" s="22"/>
    </row>
    <row r="869" ht="25.5" customHeight="1">
      <c r="H869" s="354" t="s">
        <v>82</v>
      </c>
      <c r="I869" s="354" t="s">
        <v>1834</v>
      </c>
      <c r="J869" s="353" t="s">
        <v>2754</v>
      </c>
      <c r="K869" s="52" t="s">
        <v>2720</v>
      </c>
      <c r="L869" s="296" t="s">
        <v>2755</v>
      </c>
      <c r="M869" s="52" t="s">
        <v>2756</v>
      </c>
      <c r="N869" s="52" t="s">
        <v>2757</v>
      </c>
      <c r="Z869" s="296" t="s">
        <v>2758</v>
      </c>
      <c r="AG869" s="383"/>
      <c r="AH869" s="22"/>
      <c r="AI869" s="22"/>
      <c r="AJ869" s="22"/>
      <c r="AK869" s="22"/>
      <c r="AL869" s="22"/>
      <c r="AM869" s="22"/>
      <c r="AN869" s="22"/>
      <c r="AO869" s="22"/>
      <c r="AP869" s="22"/>
    </row>
    <row r="870" ht="25.5" customHeight="1">
      <c r="H870" s="354" t="s">
        <v>518</v>
      </c>
      <c r="I870" s="354" t="s">
        <v>1834</v>
      </c>
      <c r="J870" s="353" t="s">
        <v>2759</v>
      </c>
      <c r="L870" s="353" t="s">
        <v>2760</v>
      </c>
      <c r="M870" s="52" t="s">
        <v>2756</v>
      </c>
      <c r="AG870" s="383"/>
      <c r="AH870" s="22"/>
      <c r="AI870" s="22"/>
      <c r="AJ870" s="22"/>
      <c r="AK870" s="22"/>
      <c r="AL870" s="22"/>
      <c r="AM870" s="22"/>
      <c r="AN870" s="22"/>
      <c r="AO870" s="22"/>
      <c r="AP870" s="22"/>
    </row>
    <row r="871" ht="25.5" customHeight="1">
      <c r="H871" s="384"/>
      <c r="I871" s="384"/>
      <c r="J871" s="378"/>
      <c r="AG871" s="383"/>
      <c r="AH871" s="22"/>
      <c r="AI871" s="22"/>
      <c r="AJ871" s="22"/>
      <c r="AK871" s="22"/>
      <c r="AL871" s="22"/>
      <c r="AM871" s="22"/>
      <c r="AN871" s="22"/>
      <c r="AO871" s="22"/>
      <c r="AP871" s="22"/>
    </row>
    <row r="872" ht="25.5" customHeight="1">
      <c r="G872" s="52" t="s">
        <v>2711</v>
      </c>
      <c r="H872" s="354" t="s">
        <v>155</v>
      </c>
      <c r="I872" s="354" t="s">
        <v>2761</v>
      </c>
      <c r="J872" s="353" t="s">
        <v>2762</v>
      </c>
      <c r="K872" s="52" t="s">
        <v>2763</v>
      </c>
      <c r="M872" s="52" t="s">
        <v>2764</v>
      </c>
      <c r="Z872" s="52" t="s">
        <v>2765</v>
      </c>
      <c r="AG872" s="383"/>
      <c r="AH872" s="22"/>
      <c r="AI872" s="22"/>
      <c r="AJ872" s="22"/>
      <c r="AK872" s="22"/>
      <c r="AL872" s="22"/>
      <c r="AM872" s="22"/>
      <c r="AN872" s="22"/>
      <c r="AO872" s="22"/>
      <c r="AP872" s="22"/>
    </row>
    <row r="873" ht="25.5" customHeight="1">
      <c r="H873" s="384"/>
      <c r="I873" s="384"/>
      <c r="J873" s="378"/>
      <c r="AG873" s="383"/>
      <c r="AH873" s="22"/>
      <c r="AI873" s="22"/>
      <c r="AJ873" s="22"/>
      <c r="AK873" s="22"/>
      <c r="AL873" s="22"/>
      <c r="AM873" s="22"/>
      <c r="AN873" s="22"/>
      <c r="AO873" s="22"/>
      <c r="AP873" s="22"/>
    </row>
    <row r="874" ht="25.5" customHeight="1">
      <c r="F874" s="52" t="s">
        <v>326</v>
      </c>
      <c r="G874" s="52" t="s">
        <v>2766</v>
      </c>
      <c r="H874" s="354" t="s">
        <v>325</v>
      </c>
      <c r="I874" s="354" t="s">
        <v>2767</v>
      </c>
      <c r="J874" s="353" t="s">
        <v>2768</v>
      </c>
      <c r="AG874" s="383"/>
      <c r="AH874" s="22"/>
      <c r="AI874" s="22"/>
      <c r="AJ874" s="22"/>
      <c r="AK874" s="22"/>
      <c r="AL874" s="22"/>
      <c r="AM874" s="22"/>
      <c r="AN874" s="22"/>
      <c r="AO874" s="22"/>
      <c r="AP874" s="22"/>
    </row>
    <row r="875" ht="25.5" customHeight="1">
      <c r="H875" s="384"/>
      <c r="I875" s="384"/>
      <c r="J875" s="378"/>
      <c r="AG875" s="383"/>
      <c r="AH875" s="22"/>
      <c r="AI875" s="22"/>
      <c r="AJ875" s="22"/>
      <c r="AK875" s="22"/>
      <c r="AL875" s="22"/>
      <c r="AM875" s="22"/>
      <c r="AN875" s="22"/>
      <c r="AO875" s="22"/>
      <c r="AP875" s="22"/>
    </row>
    <row r="876" ht="25.5" customHeight="1">
      <c r="H876" s="384"/>
      <c r="I876" s="384"/>
      <c r="J876" s="378"/>
      <c r="AG876" s="383"/>
      <c r="AH876" s="22"/>
      <c r="AI876" s="22"/>
      <c r="AJ876" s="22"/>
      <c r="AK876" s="22"/>
      <c r="AL876" s="22"/>
      <c r="AM876" s="22"/>
      <c r="AN876" s="22"/>
      <c r="AO876" s="22"/>
      <c r="AP876" s="22"/>
    </row>
    <row r="877" ht="25.5" customHeight="1">
      <c r="H877" s="384"/>
      <c r="I877" s="384"/>
      <c r="J877" s="378"/>
      <c r="AG877" s="383"/>
      <c r="AH877" s="22"/>
      <c r="AI877" s="22"/>
      <c r="AJ877" s="22"/>
      <c r="AK877" s="22"/>
      <c r="AL877" s="22"/>
      <c r="AM877" s="22"/>
      <c r="AN877" s="22"/>
      <c r="AO877" s="22"/>
      <c r="AP877" s="22"/>
    </row>
    <row r="878" ht="25.5" customHeight="1">
      <c r="H878" s="384"/>
      <c r="I878" s="384"/>
      <c r="J878" s="378"/>
      <c r="AG878" s="383"/>
      <c r="AH878" s="22"/>
      <c r="AI878" s="22"/>
      <c r="AJ878" s="22"/>
      <c r="AK878" s="22"/>
      <c r="AL878" s="22"/>
      <c r="AM878" s="22"/>
      <c r="AN878" s="22"/>
      <c r="AO878" s="22"/>
      <c r="AP878" s="22"/>
    </row>
    <row r="879" ht="25.5" customHeight="1">
      <c r="H879" s="384"/>
      <c r="I879" s="384"/>
      <c r="J879" s="378"/>
      <c r="AG879" s="383"/>
      <c r="AH879" s="22"/>
      <c r="AI879" s="22"/>
      <c r="AJ879" s="22"/>
      <c r="AK879" s="22"/>
      <c r="AL879" s="22"/>
      <c r="AM879" s="22"/>
      <c r="AN879" s="22"/>
      <c r="AO879" s="22"/>
      <c r="AP879" s="22"/>
    </row>
    <row r="880" ht="25.5" customHeight="1">
      <c r="H880" s="384"/>
      <c r="I880" s="384"/>
      <c r="J880" s="378"/>
      <c r="AG880" s="383"/>
      <c r="AH880" s="22"/>
      <c r="AI880" s="22"/>
      <c r="AJ880" s="22"/>
      <c r="AK880" s="22"/>
      <c r="AL880" s="22"/>
      <c r="AM880" s="22"/>
      <c r="AN880" s="22"/>
      <c r="AO880" s="22"/>
      <c r="AP880" s="22"/>
    </row>
    <row r="881" ht="25.5" customHeight="1">
      <c r="H881" s="384"/>
      <c r="I881" s="384"/>
      <c r="J881" s="378"/>
      <c r="AG881" s="383"/>
      <c r="AH881" s="22"/>
      <c r="AI881" s="22"/>
      <c r="AJ881" s="22"/>
      <c r="AK881" s="22"/>
      <c r="AL881" s="22"/>
      <c r="AM881" s="22"/>
      <c r="AN881" s="22"/>
      <c r="AO881" s="22"/>
      <c r="AP881" s="22"/>
    </row>
    <row r="882" ht="25.5" customHeight="1">
      <c r="H882" s="384"/>
      <c r="I882" s="384"/>
      <c r="J882" s="378"/>
      <c r="AG882" s="383"/>
      <c r="AH882" s="22"/>
      <c r="AI882" s="22"/>
      <c r="AJ882" s="22"/>
      <c r="AK882" s="22"/>
      <c r="AL882" s="22"/>
      <c r="AM882" s="22"/>
      <c r="AN882" s="22"/>
      <c r="AO882" s="22"/>
      <c r="AP882" s="22"/>
    </row>
    <row r="883" ht="25.5" customHeight="1">
      <c r="H883" s="384"/>
      <c r="I883" s="384"/>
      <c r="J883" s="378"/>
      <c r="AG883" s="383"/>
      <c r="AH883" s="22"/>
      <c r="AI883" s="22"/>
      <c r="AJ883" s="22"/>
      <c r="AK883" s="22"/>
      <c r="AL883" s="22"/>
      <c r="AM883" s="22"/>
      <c r="AN883" s="22"/>
      <c r="AO883" s="22"/>
      <c r="AP883" s="22"/>
    </row>
    <row r="884" ht="25.5" customHeight="1">
      <c r="H884" s="384"/>
      <c r="I884" s="384"/>
      <c r="J884" s="378"/>
      <c r="AG884" s="383"/>
      <c r="AH884" s="22"/>
      <c r="AI884" s="22"/>
      <c r="AJ884" s="22"/>
      <c r="AK884" s="22"/>
      <c r="AL884" s="22"/>
      <c r="AM884" s="22"/>
      <c r="AN884" s="22"/>
      <c r="AO884" s="22"/>
      <c r="AP884" s="22"/>
    </row>
    <row r="885" ht="25.5" customHeight="1">
      <c r="H885" s="384"/>
      <c r="I885" s="384"/>
      <c r="J885" s="378"/>
      <c r="AG885" s="383"/>
      <c r="AH885" s="22"/>
      <c r="AI885" s="22"/>
      <c r="AJ885" s="22"/>
      <c r="AK885" s="22"/>
      <c r="AL885" s="22"/>
      <c r="AM885" s="22"/>
      <c r="AN885" s="22"/>
      <c r="AO885" s="22"/>
      <c r="AP885" s="22"/>
    </row>
    <row r="886" ht="25.5" customHeight="1">
      <c r="H886" s="384"/>
      <c r="I886" s="384"/>
      <c r="J886" s="378"/>
      <c r="AG886" s="383"/>
      <c r="AH886" s="22"/>
      <c r="AI886" s="22"/>
      <c r="AJ886" s="22"/>
      <c r="AK886" s="22"/>
      <c r="AL886" s="22"/>
      <c r="AM886" s="22"/>
      <c r="AN886" s="22"/>
      <c r="AO886" s="22"/>
      <c r="AP886" s="22"/>
    </row>
    <row r="887" ht="25.5" customHeight="1">
      <c r="H887" s="384"/>
      <c r="I887" s="384"/>
      <c r="J887" s="378"/>
      <c r="AG887" s="383"/>
      <c r="AH887" s="22"/>
      <c r="AI887" s="22"/>
      <c r="AJ887" s="22"/>
      <c r="AK887" s="22"/>
      <c r="AL887" s="22"/>
      <c r="AM887" s="22"/>
      <c r="AN887" s="22"/>
      <c r="AO887" s="22"/>
      <c r="AP887" s="22"/>
    </row>
    <row r="888" ht="25.5" customHeight="1">
      <c r="H888" s="384"/>
      <c r="I888" s="384"/>
      <c r="J888" s="378"/>
      <c r="AG888" s="383"/>
      <c r="AH888" s="22"/>
      <c r="AI888" s="22"/>
      <c r="AJ888" s="22"/>
      <c r="AK888" s="22"/>
      <c r="AL888" s="22"/>
      <c r="AM888" s="22"/>
      <c r="AN888" s="22"/>
      <c r="AO888" s="22"/>
      <c r="AP888" s="22"/>
    </row>
    <row r="889" ht="25.5" customHeight="1">
      <c r="H889" s="384"/>
      <c r="I889" s="384"/>
      <c r="J889" s="378"/>
      <c r="AG889" s="383"/>
      <c r="AH889" s="22"/>
      <c r="AI889" s="22"/>
      <c r="AJ889" s="22"/>
      <c r="AK889" s="22"/>
      <c r="AL889" s="22"/>
      <c r="AM889" s="22"/>
      <c r="AN889" s="22"/>
      <c r="AO889" s="22"/>
      <c r="AP889" s="22"/>
    </row>
    <row r="890" ht="25.5" customHeight="1">
      <c r="H890" s="384"/>
      <c r="I890" s="384"/>
      <c r="J890" s="378"/>
      <c r="AG890" s="383"/>
      <c r="AH890" s="22"/>
      <c r="AI890" s="22"/>
      <c r="AJ890" s="22"/>
      <c r="AK890" s="22"/>
      <c r="AL890" s="22"/>
      <c r="AM890" s="22"/>
      <c r="AN890" s="22"/>
      <c r="AO890" s="22"/>
      <c r="AP890" s="22"/>
    </row>
    <row r="891" ht="25.5" customHeight="1">
      <c r="H891" s="384"/>
      <c r="I891" s="384"/>
      <c r="J891" s="378"/>
      <c r="AG891" s="383"/>
      <c r="AH891" s="22"/>
      <c r="AI891" s="22"/>
      <c r="AJ891" s="22"/>
      <c r="AK891" s="22"/>
      <c r="AL891" s="22"/>
      <c r="AM891" s="22"/>
      <c r="AN891" s="22"/>
      <c r="AO891" s="22"/>
      <c r="AP891" s="22"/>
    </row>
    <row r="892" ht="25.5" customHeight="1">
      <c r="H892" s="384"/>
      <c r="I892" s="384"/>
      <c r="J892" s="378"/>
      <c r="AG892" s="383"/>
      <c r="AH892" s="22"/>
      <c r="AI892" s="22"/>
      <c r="AJ892" s="22"/>
      <c r="AK892" s="22"/>
      <c r="AL892" s="22"/>
      <c r="AM892" s="22"/>
      <c r="AN892" s="22"/>
      <c r="AO892" s="22"/>
      <c r="AP892" s="22"/>
    </row>
    <row r="893" ht="25.5" customHeight="1">
      <c r="H893" s="384"/>
      <c r="I893" s="384"/>
      <c r="J893" s="378"/>
      <c r="AG893" s="383"/>
      <c r="AH893" s="22"/>
      <c r="AI893" s="22"/>
      <c r="AJ893" s="22"/>
      <c r="AK893" s="22"/>
      <c r="AL893" s="22"/>
      <c r="AM893" s="22"/>
      <c r="AN893" s="22"/>
      <c r="AO893" s="22"/>
      <c r="AP893" s="22"/>
    </row>
    <row r="894" ht="25.5" customHeight="1">
      <c r="H894" s="384"/>
      <c r="I894" s="384"/>
      <c r="J894" s="378"/>
      <c r="AG894" s="383"/>
      <c r="AH894" s="22"/>
      <c r="AI894" s="22"/>
      <c r="AJ894" s="22"/>
      <c r="AK894" s="22"/>
      <c r="AL894" s="22"/>
      <c r="AM894" s="22"/>
      <c r="AN894" s="22"/>
      <c r="AO894" s="22"/>
      <c r="AP894" s="22"/>
    </row>
    <row r="895" ht="25.5" customHeight="1">
      <c r="H895" s="384"/>
      <c r="I895" s="384"/>
      <c r="J895" s="378"/>
      <c r="AG895" s="383"/>
      <c r="AH895" s="22"/>
      <c r="AI895" s="22"/>
      <c r="AJ895" s="22"/>
      <c r="AK895" s="22"/>
      <c r="AL895" s="22"/>
      <c r="AM895" s="22"/>
      <c r="AN895" s="22"/>
      <c r="AO895" s="22"/>
      <c r="AP895" s="22"/>
    </row>
    <row r="896" ht="25.5" customHeight="1">
      <c r="H896" s="384"/>
      <c r="I896" s="384"/>
      <c r="J896" s="378"/>
      <c r="AG896" s="383"/>
      <c r="AH896" s="22"/>
      <c r="AI896" s="22"/>
      <c r="AJ896" s="22"/>
      <c r="AK896" s="22"/>
      <c r="AL896" s="22"/>
      <c r="AM896" s="22"/>
      <c r="AN896" s="22"/>
      <c r="AO896" s="22"/>
      <c r="AP896" s="22"/>
    </row>
    <row r="897" ht="25.5" customHeight="1">
      <c r="H897" s="384"/>
      <c r="I897" s="384"/>
      <c r="J897" s="378"/>
      <c r="AG897" s="383"/>
      <c r="AH897" s="22"/>
      <c r="AI897" s="22"/>
      <c r="AJ897" s="22"/>
      <c r="AK897" s="22"/>
      <c r="AL897" s="22"/>
      <c r="AM897" s="22"/>
      <c r="AN897" s="22"/>
      <c r="AO897" s="22"/>
      <c r="AP897" s="22"/>
    </row>
    <row r="898" ht="25.5" customHeight="1">
      <c r="H898" s="384"/>
      <c r="I898" s="384"/>
      <c r="J898" s="378"/>
      <c r="AG898" s="383"/>
      <c r="AH898" s="22"/>
      <c r="AI898" s="22"/>
      <c r="AJ898" s="22"/>
      <c r="AK898" s="22"/>
      <c r="AL898" s="22"/>
      <c r="AM898" s="22"/>
      <c r="AN898" s="22"/>
      <c r="AO898" s="22"/>
      <c r="AP898" s="22"/>
    </row>
    <row r="899" ht="25.5" customHeight="1">
      <c r="H899" s="384"/>
      <c r="I899" s="384"/>
      <c r="J899" s="378"/>
      <c r="AG899" s="383"/>
      <c r="AH899" s="22"/>
      <c r="AI899" s="22"/>
      <c r="AJ899" s="22"/>
      <c r="AK899" s="22"/>
      <c r="AL899" s="22"/>
      <c r="AM899" s="22"/>
      <c r="AN899" s="22"/>
      <c r="AO899" s="22"/>
      <c r="AP899" s="22"/>
    </row>
    <row r="900" ht="25.5" customHeight="1">
      <c r="H900" s="384"/>
      <c r="I900" s="384"/>
      <c r="J900" s="378"/>
      <c r="AG900" s="383"/>
      <c r="AH900" s="22"/>
      <c r="AI900" s="22"/>
      <c r="AJ900" s="22"/>
      <c r="AK900" s="22"/>
      <c r="AL900" s="22"/>
      <c r="AM900" s="22"/>
      <c r="AN900" s="22"/>
      <c r="AO900" s="22"/>
      <c r="AP900" s="22"/>
    </row>
    <row r="901" ht="25.5" customHeight="1">
      <c r="H901" s="384"/>
      <c r="I901" s="384"/>
      <c r="J901" s="378"/>
      <c r="AG901" s="383"/>
      <c r="AH901" s="22"/>
      <c r="AI901" s="22"/>
      <c r="AJ901" s="22"/>
      <c r="AK901" s="22"/>
      <c r="AL901" s="22"/>
      <c r="AM901" s="22"/>
      <c r="AN901" s="22"/>
      <c r="AO901" s="22"/>
      <c r="AP901" s="22"/>
    </row>
    <row r="902" ht="25.5" customHeight="1">
      <c r="H902" s="384"/>
      <c r="I902" s="384"/>
      <c r="J902" s="378"/>
      <c r="AG902" s="383"/>
      <c r="AH902" s="22"/>
      <c r="AI902" s="22"/>
      <c r="AJ902" s="22"/>
      <c r="AK902" s="22"/>
      <c r="AL902" s="22"/>
      <c r="AM902" s="22"/>
      <c r="AN902" s="22"/>
      <c r="AO902" s="22"/>
      <c r="AP902" s="22"/>
    </row>
    <row r="903" ht="25.5" customHeight="1">
      <c r="H903" s="384"/>
      <c r="I903" s="384"/>
      <c r="J903" s="378"/>
      <c r="AG903" s="383"/>
      <c r="AH903" s="22"/>
      <c r="AI903" s="22"/>
      <c r="AJ903" s="22"/>
      <c r="AK903" s="22"/>
      <c r="AL903" s="22"/>
      <c r="AM903" s="22"/>
      <c r="AN903" s="22"/>
      <c r="AO903" s="22"/>
      <c r="AP903" s="22"/>
    </row>
    <row r="904" ht="25.5" customHeight="1">
      <c r="H904" s="384"/>
      <c r="I904" s="384"/>
      <c r="J904" s="378"/>
      <c r="AG904" s="383"/>
      <c r="AH904" s="22"/>
      <c r="AI904" s="22"/>
      <c r="AJ904" s="22"/>
      <c r="AK904" s="22"/>
      <c r="AL904" s="22"/>
      <c r="AM904" s="22"/>
      <c r="AN904" s="22"/>
      <c r="AO904" s="22"/>
      <c r="AP904" s="22"/>
    </row>
    <row r="905" ht="25.5" customHeight="1">
      <c r="H905" s="384"/>
      <c r="I905" s="384"/>
      <c r="J905" s="378"/>
      <c r="AG905" s="383"/>
      <c r="AH905" s="22"/>
      <c r="AI905" s="22"/>
      <c r="AJ905" s="22"/>
      <c r="AK905" s="22"/>
      <c r="AL905" s="22"/>
      <c r="AM905" s="22"/>
      <c r="AN905" s="22"/>
      <c r="AO905" s="22"/>
      <c r="AP905" s="22"/>
    </row>
    <row r="906" ht="25.5" customHeight="1">
      <c r="H906" s="384"/>
      <c r="I906" s="384"/>
      <c r="J906" s="378"/>
      <c r="AG906" s="383"/>
      <c r="AH906" s="22"/>
      <c r="AI906" s="22"/>
      <c r="AJ906" s="22"/>
      <c r="AK906" s="22"/>
      <c r="AL906" s="22"/>
      <c r="AM906" s="22"/>
      <c r="AN906" s="22"/>
      <c r="AO906" s="22"/>
      <c r="AP906" s="22"/>
    </row>
    <row r="907" ht="25.5" customHeight="1">
      <c r="H907" s="384"/>
      <c r="I907" s="384"/>
      <c r="J907" s="378"/>
      <c r="AG907" s="383"/>
      <c r="AH907" s="22"/>
      <c r="AI907" s="22"/>
      <c r="AJ907" s="22"/>
      <c r="AK907" s="22"/>
      <c r="AL907" s="22"/>
      <c r="AM907" s="22"/>
      <c r="AN907" s="22"/>
      <c r="AO907" s="22"/>
      <c r="AP907" s="22"/>
    </row>
    <row r="908" ht="25.5" customHeight="1">
      <c r="H908" s="384"/>
      <c r="I908" s="384"/>
      <c r="J908" s="378"/>
      <c r="AG908" s="383"/>
      <c r="AH908" s="22"/>
      <c r="AI908" s="22"/>
      <c r="AJ908" s="22"/>
      <c r="AK908" s="22"/>
      <c r="AL908" s="22"/>
      <c r="AM908" s="22"/>
      <c r="AN908" s="22"/>
      <c r="AO908" s="22"/>
      <c r="AP908" s="22"/>
    </row>
    <row r="909" ht="25.5" customHeight="1">
      <c r="H909" s="384"/>
      <c r="I909" s="384"/>
      <c r="J909" s="378"/>
      <c r="AG909" s="383"/>
      <c r="AH909" s="22"/>
      <c r="AI909" s="22"/>
      <c r="AJ909" s="22"/>
      <c r="AK909" s="22"/>
      <c r="AL909" s="22"/>
      <c r="AM909" s="22"/>
      <c r="AN909" s="22"/>
      <c r="AO909" s="22"/>
      <c r="AP909" s="22"/>
    </row>
    <row r="910" ht="25.5" customHeight="1">
      <c r="H910" s="384"/>
      <c r="I910" s="384"/>
      <c r="J910" s="378"/>
      <c r="AG910" s="383"/>
      <c r="AH910" s="22"/>
      <c r="AI910" s="22"/>
      <c r="AJ910" s="22"/>
      <c r="AK910" s="22"/>
      <c r="AL910" s="22"/>
      <c r="AM910" s="22"/>
      <c r="AN910" s="22"/>
      <c r="AO910" s="22"/>
      <c r="AP910" s="22"/>
    </row>
    <row r="911" ht="25.5" customHeight="1">
      <c r="H911" s="384"/>
      <c r="I911" s="384"/>
      <c r="J911" s="378"/>
      <c r="AG911" s="383"/>
      <c r="AH911" s="22"/>
      <c r="AI911" s="22"/>
      <c r="AJ911" s="22"/>
      <c r="AK911" s="22"/>
      <c r="AL911" s="22"/>
      <c r="AM911" s="22"/>
      <c r="AN911" s="22"/>
      <c r="AO911" s="22"/>
      <c r="AP911" s="22"/>
    </row>
    <row r="912" ht="25.5" customHeight="1">
      <c r="H912" s="384"/>
      <c r="I912" s="384"/>
      <c r="J912" s="378"/>
      <c r="AG912" s="383"/>
      <c r="AH912" s="22"/>
      <c r="AI912" s="22"/>
      <c r="AJ912" s="22"/>
      <c r="AK912" s="22"/>
      <c r="AL912" s="22"/>
      <c r="AM912" s="22"/>
      <c r="AN912" s="22"/>
      <c r="AO912" s="22"/>
      <c r="AP912" s="22"/>
    </row>
    <row r="913" ht="25.5" customHeight="1">
      <c r="H913" s="384"/>
      <c r="I913" s="384"/>
      <c r="J913" s="378"/>
      <c r="AG913" s="383"/>
      <c r="AH913" s="22"/>
      <c r="AI913" s="22"/>
      <c r="AJ913" s="22"/>
      <c r="AK913" s="22"/>
      <c r="AL913" s="22"/>
      <c r="AM913" s="22"/>
      <c r="AN913" s="22"/>
      <c r="AO913" s="22"/>
      <c r="AP913" s="22"/>
    </row>
    <row r="914" ht="25.5" customHeight="1">
      <c r="H914" s="384"/>
      <c r="I914" s="384"/>
      <c r="J914" s="378"/>
      <c r="AG914" s="383"/>
      <c r="AH914" s="22"/>
      <c r="AI914" s="22"/>
      <c r="AJ914" s="22"/>
      <c r="AK914" s="22"/>
      <c r="AL914" s="22"/>
      <c r="AM914" s="22"/>
      <c r="AN914" s="22"/>
      <c r="AO914" s="22"/>
      <c r="AP914" s="22"/>
    </row>
    <row r="915" ht="25.5" customHeight="1">
      <c r="H915" s="384"/>
      <c r="I915" s="384"/>
      <c r="J915" s="378"/>
      <c r="AG915" s="383"/>
      <c r="AH915" s="22"/>
      <c r="AI915" s="22"/>
      <c r="AJ915" s="22"/>
      <c r="AK915" s="22"/>
      <c r="AL915" s="22"/>
      <c r="AM915" s="22"/>
      <c r="AN915" s="22"/>
      <c r="AO915" s="22"/>
      <c r="AP915" s="22"/>
    </row>
    <row r="916" ht="25.5" customHeight="1">
      <c r="H916" s="384"/>
      <c r="I916" s="384"/>
      <c r="J916" s="378"/>
      <c r="AG916" s="383"/>
      <c r="AH916" s="22"/>
      <c r="AI916" s="22"/>
      <c r="AJ916" s="22"/>
      <c r="AK916" s="22"/>
      <c r="AL916" s="22"/>
      <c r="AM916" s="22"/>
      <c r="AN916" s="22"/>
      <c r="AO916" s="22"/>
      <c r="AP916" s="22"/>
    </row>
    <row r="917" ht="25.5" customHeight="1">
      <c r="H917" s="384"/>
      <c r="I917" s="384"/>
      <c r="J917" s="378"/>
      <c r="AG917" s="383"/>
      <c r="AH917" s="22"/>
      <c r="AI917" s="22"/>
      <c r="AJ917" s="22"/>
      <c r="AK917" s="22"/>
      <c r="AL917" s="22"/>
      <c r="AM917" s="22"/>
      <c r="AN917" s="22"/>
      <c r="AO917" s="22"/>
      <c r="AP917" s="22"/>
    </row>
    <row r="918" ht="25.5" customHeight="1">
      <c r="H918" s="384"/>
      <c r="I918" s="384"/>
      <c r="J918" s="378"/>
      <c r="AG918" s="383"/>
      <c r="AH918" s="22"/>
      <c r="AI918" s="22"/>
      <c r="AJ918" s="22"/>
      <c r="AK918" s="22"/>
      <c r="AL918" s="22"/>
      <c r="AM918" s="22"/>
      <c r="AN918" s="22"/>
      <c r="AO918" s="22"/>
      <c r="AP918" s="22"/>
    </row>
    <row r="919" ht="25.5" customHeight="1">
      <c r="H919" s="384"/>
      <c r="I919" s="384"/>
      <c r="J919" s="378"/>
      <c r="AG919" s="383"/>
      <c r="AH919" s="22"/>
      <c r="AI919" s="22"/>
      <c r="AJ919" s="22"/>
      <c r="AK919" s="22"/>
      <c r="AL919" s="22"/>
      <c r="AM919" s="22"/>
      <c r="AN919" s="22"/>
      <c r="AO919" s="22"/>
      <c r="AP919" s="22"/>
    </row>
    <row r="920" ht="25.5" customHeight="1">
      <c r="H920" s="384"/>
      <c r="I920" s="384"/>
      <c r="J920" s="378"/>
      <c r="AG920" s="383"/>
      <c r="AH920" s="22"/>
      <c r="AI920" s="22"/>
      <c r="AJ920" s="22"/>
      <c r="AK920" s="22"/>
      <c r="AL920" s="22"/>
      <c r="AM920" s="22"/>
      <c r="AN920" s="22"/>
      <c r="AO920" s="22"/>
      <c r="AP920" s="22"/>
    </row>
    <row r="921" ht="25.5" customHeight="1">
      <c r="H921" s="384"/>
      <c r="I921" s="384"/>
      <c r="J921" s="378"/>
      <c r="AG921" s="383"/>
      <c r="AH921" s="22"/>
      <c r="AI921" s="22"/>
      <c r="AJ921" s="22"/>
      <c r="AK921" s="22"/>
      <c r="AL921" s="22"/>
      <c r="AM921" s="22"/>
      <c r="AN921" s="22"/>
      <c r="AO921" s="22"/>
      <c r="AP921" s="22"/>
    </row>
    <row r="922" ht="25.5" customHeight="1">
      <c r="H922" s="384"/>
      <c r="I922" s="384"/>
      <c r="J922" s="378"/>
      <c r="AG922" s="383"/>
      <c r="AH922" s="22"/>
      <c r="AI922" s="22"/>
      <c r="AJ922" s="22"/>
      <c r="AK922" s="22"/>
      <c r="AL922" s="22"/>
      <c r="AM922" s="22"/>
      <c r="AN922" s="22"/>
      <c r="AO922" s="22"/>
      <c r="AP922" s="22"/>
    </row>
    <row r="923" ht="25.5" customHeight="1">
      <c r="H923" s="384"/>
      <c r="I923" s="384"/>
      <c r="J923" s="378"/>
      <c r="AG923" s="383"/>
      <c r="AH923" s="22"/>
      <c r="AI923" s="22"/>
      <c r="AJ923" s="22"/>
      <c r="AK923" s="22"/>
      <c r="AL923" s="22"/>
      <c r="AM923" s="22"/>
      <c r="AN923" s="22"/>
      <c r="AO923" s="22"/>
      <c r="AP923" s="22"/>
    </row>
    <row r="924" ht="25.5" customHeight="1">
      <c r="H924" s="384"/>
      <c r="I924" s="384"/>
      <c r="J924" s="378"/>
      <c r="AG924" s="383"/>
      <c r="AH924" s="22"/>
      <c r="AI924" s="22"/>
      <c r="AJ924" s="22"/>
      <c r="AK924" s="22"/>
      <c r="AL924" s="22"/>
      <c r="AM924" s="22"/>
      <c r="AN924" s="22"/>
      <c r="AO924" s="22"/>
      <c r="AP924" s="22"/>
    </row>
    <row r="925" ht="25.5" customHeight="1">
      <c r="H925" s="384"/>
      <c r="I925" s="384"/>
      <c r="J925" s="378"/>
      <c r="AG925" s="383"/>
      <c r="AH925" s="22"/>
      <c r="AI925" s="22"/>
      <c r="AJ925" s="22"/>
      <c r="AK925" s="22"/>
      <c r="AL925" s="22"/>
      <c r="AM925" s="22"/>
      <c r="AN925" s="22"/>
      <c r="AO925" s="22"/>
      <c r="AP925" s="22"/>
    </row>
    <row r="926" ht="25.5" customHeight="1">
      <c r="H926" s="384"/>
      <c r="I926" s="384"/>
      <c r="J926" s="378"/>
      <c r="AG926" s="383"/>
      <c r="AH926" s="22"/>
      <c r="AI926" s="22"/>
      <c r="AJ926" s="22"/>
      <c r="AK926" s="22"/>
      <c r="AL926" s="22"/>
      <c r="AM926" s="22"/>
      <c r="AN926" s="22"/>
      <c r="AO926" s="22"/>
      <c r="AP926" s="22"/>
    </row>
    <row r="927" ht="25.5" customHeight="1">
      <c r="H927" s="384"/>
      <c r="I927" s="384"/>
      <c r="J927" s="378"/>
      <c r="AG927" s="383"/>
      <c r="AH927" s="22"/>
      <c r="AI927" s="22"/>
      <c r="AJ927" s="22"/>
      <c r="AK927" s="22"/>
      <c r="AL927" s="22"/>
      <c r="AM927" s="22"/>
      <c r="AN927" s="22"/>
      <c r="AO927" s="22"/>
      <c r="AP927" s="22"/>
    </row>
    <row r="928" ht="25.5" customHeight="1">
      <c r="H928" s="384"/>
      <c r="I928" s="384"/>
      <c r="J928" s="378"/>
      <c r="AG928" s="383"/>
      <c r="AH928" s="22"/>
      <c r="AI928" s="22"/>
      <c r="AJ928" s="22"/>
      <c r="AK928" s="22"/>
      <c r="AL928" s="22"/>
      <c r="AM928" s="22"/>
      <c r="AN928" s="22"/>
      <c r="AO928" s="22"/>
      <c r="AP928" s="22"/>
    </row>
    <row r="929" ht="25.5" customHeight="1">
      <c r="H929" s="384"/>
      <c r="I929" s="384"/>
      <c r="J929" s="378"/>
      <c r="AG929" s="383"/>
      <c r="AH929" s="22"/>
      <c r="AI929" s="22"/>
      <c r="AJ929" s="22"/>
      <c r="AK929" s="22"/>
      <c r="AL929" s="22"/>
      <c r="AM929" s="22"/>
      <c r="AN929" s="22"/>
      <c r="AO929" s="22"/>
      <c r="AP929" s="22"/>
    </row>
    <row r="930" ht="25.5" customHeight="1">
      <c r="H930" s="384"/>
      <c r="I930" s="384"/>
      <c r="J930" s="378"/>
      <c r="AG930" s="383"/>
      <c r="AH930" s="22"/>
      <c r="AI930" s="22"/>
      <c r="AJ930" s="22"/>
      <c r="AK930" s="22"/>
      <c r="AL930" s="22"/>
      <c r="AM930" s="22"/>
      <c r="AN930" s="22"/>
      <c r="AO930" s="22"/>
      <c r="AP930" s="22"/>
    </row>
    <row r="931" ht="25.5" customHeight="1">
      <c r="H931" s="384"/>
      <c r="I931" s="384"/>
      <c r="J931" s="378"/>
      <c r="AG931" s="383"/>
      <c r="AH931" s="22"/>
      <c r="AI931" s="22"/>
      <c r="AJ931" s="22"/>
      <c r="AK931" s="22"/>
      <c r="AL931" s="22"/>
      <c r="AM931" s="22"/>
      <c r="AN931" s="22"/>
      <c r="AO931" s="22"/>
      <c r="AP931" s="22"/>
    </row>
    <row r="932" ht="25.5" customHeight="1">
      <c r="H932" s="384"/>
      <c r="I932" s="384"/>
      <c r="J932" s="378"/>
      <c r="AG932" s="383"/>
      <c r="AH932" s="22"/>
      <c r="AI932" s="22"/>
      <c r="AJ932" s="22"/>
      <c r="AK932" s="22"/>
      <c r="AL932" s="22"/>
      <c r="AM932" s="22"/>
      <c r="AN932" s="22"/>
      <c r="AO932" s="22"/>
      <c r="AP932" s="22"/>
    </row>
    <row r="933" ht="25.5" customHeight="1">
      <c r="H933" s="384"/>
      <c r="I933" s="384"/>
      <c r="J933" s="378"/>
      <c r="AG933" s="383"/>
      <c r="AH933" s="22"/>
      <c r="AI933" s="22"/>
      <c r="AJ933" s="22"/>
      <c r="AK933" s="22"/>
      <c r="AL933" s="22"/>
      <c r="AM933" s="22"/>
      <c r="AN933" s="22"/>
      <c r="AO933" s="22"/>
      <c r="AP933" s="22"/>
    </row>
    <row r="934" ht="25.5" customHeight="1">
      <c r="H934" s="384"/>
      <c r="I934" s="384"/>
      <c r="J934" s="378"/>
      <c r="AG934" s="383"/>
      <c r="AH934" s="22"/>
      <c r="AI934" s="22"/>
      <c r="AJ934" s="22"/>
      <c r="AK934" s="22"/>
      <c r="AL934" s="22"/>
      <c r="AM934" s="22"/>
      <c r="AN934" s="22"/>
      <c r="AO934" s="22"/>
      <c r="AP934" s="22"/>
    </row>
    <row r="935" ht="25.5" customHeight="1">
      <c r="H935" s="384"/>
      <c r="I935" s="384"/>
      <c r="J935" s="378"/>
      <c r="AG935" s="383"/>
      <c r="AH935" s="22"/>
      <c r="AI935" s="22"/>
      <c r="AJ935" s="22"/>
      <c r="AK935" s="22"/>
      <c r="AL935" s="22"/>
      <c r="AM935" s="22"/>
      <c r="AN935" s="22"/>
      <c r="AO935" s="22"/>
      <c r="AP935" s="22"/>
    </row>
    <row r="936" ht="25.5" customHeight="1">
      <c r="H936" s="384"/>
      <c r="I936" s="384"/>
      <c r="J936" s="378"/>
      <c r="AG936" s="383"/>
      <c r="AH936" s="22"/>
      <c r="AI936" s="22"/>
      <c r="AJ936" s="22"/>
      <c r="AK936" s="22"/>
      <c r="AL936" s="22"/>
      <c r="AM936" s="22"/>
      <c r="AN936" s="22"/>
      <c r="AO936" s="22"/>
      <c r="AP936" s="22"/>
    </row>
    <row r="937" ht="25.5" customHeight="1">
      <c r="H937" s="384"/>
      <c r="I937" s="384"/>
      <c r="J937" s="378"/>
      <c r="AG937" s="383"/>
      <c r="AH937" s="22"/>
      <c r="AI937" s="22"/>
      <c r="AJ937" s="22"/>
      <c r="AK937" s="22"/>
      <c r="AL937" s="22"/>
      <c r="AM937" s="22"/>
      <c r="AN937" s="22"/>
      <c r="AO937" s="22"/>
      <c r="AP937" s="22"/>
    </row>
    <row r="938" ht="25.5" customHeight="1">
      <c r="H938" s="384"/>
      <c r="I938" s="384"/>
      <c r="J938" s="378"/>
      <c r="AG938" s="383"/>
      <c r="AH938" s="22"/>
      <c r="AI938" s="22"/>
      <c r="AJ938" s="22"/>
      <c r="AK938" s="22"/>
      <c r="AL938" s="22"/>
      <c r="AM938" s="22"/>
      <c r="AN938" s="22"/>
      <c r="AO938" s="22"/>
      <c r="AP938" s="22"/>
    </row>
    <row r="939" ht="25.5" customHeight="1">
      <c r="H939" s="384"/>
      <c r="I939" s="384"/>
      <c r="J939" s="378"/>
      <c r="AG939" s="383"/>
      <c r="AH939" s="22"/>
      <c r="AI939" s="22"/>
      <c r="AJ939" s="22"/>
      <c r="AK939" s="22"/>
      <c r="AL939" s="22"/>
      <c r="AM939" s="22"/>
      <c r="AN939" s="22"/>
      <c r="AO939" s="22"/>
      <c r="AP939" s="22"/>
    </row>
    <row r="940" ht="25.5" customHeight="1">
      <c r="H940" s="384"/>
      <c r="I940" s="384"/>
      <c r="J940" s="378"/>
      <c r="AG940" s="383"/>
      <c r="AH940" s="22"/>
      <c r="AI940" s="22"/>
      <c r="AJ940" s="22"/>
      <c r="AK940" s="22"/>
      <c r="AL940" s="22"/>
      <c r="AM940" s="22"/>
      <c r="AN940" s="22"/>
      <c r="AO940" s="22"/>
      <c r="AP940" s="22"/>
    </row>
    <row r="941" ht="25.5" customHeight="1">
      <c r="H941" s="384"/>
      <c r="I941" s="384"/>
      <c r="J941" s="378"/>
      <c r="AG941" s="383"/>
      <c r="AH941" s="22"/>
      <c r="AI941" s="22"/>
      <c r="AJ941" s="22"/>
      <c r="AK941" s="22"/>
      <c r="AL941" s="22"/>
      <c r="AM941" s="22"/>
      <c r="AN941" s="22"/>
      <c r="AO941" s="22"/>
      <c r="AP941" s="22"/>
    </row>
    <row r="942" ht="25.5" customHeight="1">
      <c r="H942" s="384"/>
      <c r="I942" s="384"/>
      <c r="J942" s="378"/>
      <c r="AG942" s="383"/>
      <c r="AH942" s="22"/>
      <c r="AI942" s="22"/>
      <c r="AJ942" s="22"/>
      <c r="AK942" s="22"/>
      <c r="AL942" s="22"/>
      <c r="AM942" s="22"/>
      <c r="AN942" s="22"/>
      <c r="AO942" s="22"/>
      <c r="AP942" s="22"/>
    </row>
    <row r="943" ht="25.5" customHeight="1">
      <c r="H943" s="384"/>
      <c r="I943" s="384"/>
      <c r="J943" s="378"/>
      <c r="AG943" s="383"/>
      <c r="AH943" s="22"/>
      <c r="AI943" s="22"/>
      <c r="AJ943" s="22"/>
      <c r="AK943" s="22"/>
      <c r="AL943" s="22"/>
      <c r="AM943" s="22"/>
      <c r="AN943" s="22"/>
      <c r="AO943" s="22"/>
      <c r="AP943" s="22"/>
    </row>
    <row r="944" ht="25.5" customHeight="1">
      <c r="H944" s="384"/>
      <c r="I944" s="384"/>
      <c r="J944" s="378"/>
      <c r="AG944" s="383"/>
      <c r="AH944" s="22"/>
      <c r="AI944" s="22"/>
      <c r="AJ944" s="22"/>
      <c r="AK944" s="22"/>
      <c r="AL944" s="22"/>
      <c r="AM944" s="22"/>
      <c r="AN944" s="22"/>
      <c r="AO944" s="22"/>
      <c r="AP944" s="22"/>
    </row>
    <row r="945" ht="25.5" customHeight="1">
      <c r="H945" s="384"/>
      <c r="I945" s="384"/>
      <c r="J945" s="378"/>
      <c r="AG945" s="383"/>
      <c r="AH945" s="22"/>
      <c r="AI945" s="22"/>
      <c r="AJ945" s="22"/>
      <c r="AK945" s="22"/>
      <c r="AL945" s="22"/>
      <c r="AM945" s="22"/>
      <c r="AN945" s="22"/>
      <c r="AO945" s="22"/>
      <c r="AP945" s="22"/>
    </row>
    <row r="946" ht="25.5" customHeight="1">
      <c r="H946" s="384"/>
      <c r="I946" s="384"/>
      <c r="J946" s="378"/>
      <c r="AG946" s="383"/>
      <c r="AH946" s="22"/>
      <c r="AI946" s="22"/>
      <c r="AJ946" s="22"/>
      <c r="AK946" s="22"/>
      <c r="AL946" s="22"/>
      <c r="AM946" s="22"/>
      <c r="AN946" s="22"/>
      <c r="AO946" s="22"/>
      <c r="AP946" s="22"/>
    </row>
    <row r="947" ht="25.5" customHeight="1">
      <c r="H947" s="384"/>
      <c r="I947" s="384"/>
      <c r="J947" s="378"/>
      <c r="AG947" s="383"/>
      <c r="AH947" s="22"/>
      <c r="AI947" s="22"/>
      <c r="AJ947" s="22"/>
      <c r="AK947" s="22"/>
      <c r="AL947" s="22"/>
      <c r="AM947" s="22"/>
      <c r="AN947" s="22"/>
      <c r="AO947" s="22"/>
      <c r="AP947" s="22"/>
    </row>
    <row r="948" ht="25.5" customHeight="1">
      <c r="H948" s="384"/>
      <c r="I948" s="384"/>
      <c r="J948" s="378"/>
      <c r="AG948" s="383"/>
      <c r="AH948" s="22"/>
      <c r="AI948" s="22"/>
      <c r="AJ948" s="22"/>
      <c r="AK948" s="22"/>
      <c r="AL948" s="22"/>
      <c r="AM948" s="22"/>
      <c r="AN948" s="22"/>
      <c r="AO948" s="22"/>
      <c r="AP948" s="22"/>
    </row>
    <row r="949" ht="25.5" customHeight="1">
      <c r="H949" s="384"/>
      <c r="I949" s="384"/>
      <c r="J949" s="378"/>
      <c r="AG949" s="383"/>
      <c r="AH949" s="22"/>
      <c r="AI949" s="22"/>
      <c r="AJ949" s="22"/>
      <c r="AK949" s="22"/>
      <c r="AL949" s="22"/>
      <c r="AM949" s="22"/>
      <c r="AN949" s="22"/>
      <c r="AO949" s="22"/>
      <c r="AP949" s="22"/>
    </row>
    <row r="950" ht="25.5" customHeight="1">
      <c r="H950" s="384"/>
      <c r="I950" s="384"/>
      <c r="J950" s="378"/>
      <c r="AG950" s="383"/>
      <c r="AH950" s="22"/>
      <c r="AI950" s="22"/>
      <c r="AJ950" s="22"/>
      <c r="AK950" s="22"/>
      <c r="AL950" s="22"/>
      <c r="AM950" s="22"/>
      <c r="AN950" s="22"/>
      <c r="AO950" s="22"/>
      <c r="AP950" s="22"/>
    </row>
    <row r="951" ht="25.5" customHeight="1">
      <c r="H951" s="384"/>
      <c r="I951" s="384"/>
      <c r="J951" s="378"/>
      <c r="AG951" s="383"/>
      <c r="AH951" s="22"/>
      <c r="AI951" s="22"/>
      <c r="AJ951" s="22"/>
      <c r="AK951" s="22"/>
      <c r="AL951" s="22"/>
      <c r="AM951" s="22"/>
      <c r="AN951" s="22"/>
      <c r="AO951" s="22"/>
      <c r="AP951" s="22"/>
    </row>
    <row r="952" ht="25.5" customHeight="1">
      <c r="H952" s="384"/>
      <c r="I952" s="384"/>
      <c r="J952" s="378"/>
      <c r="AG952" s="383"/>
      <c r="AH952" s="22"/>
      <c r="AI952" s="22"/>
      <c r="AJ952" s="22"/>
      <c r="AK952" s="22"/>
      <c r="AL952" s="22"/>
      <c r="AM952" s="22"/>
      <c r="AN952" s="22"/>
      <c r="AO952" s="22"/>
      <c r="AP952" s="22"/>
    </row>
    <row r="953" ht="25.5" customHeight="1">
      <c r="H953" s="384"/>
      <c r="I953" s="384"/>
      <c r="J953" s="378"/>
      <c r="AG953" s="383"/>
      <c r="AH953" s="22"/>
      <c r="AI953" s="22"/>
      <c r="AJ953" s="22"/>
      <c r="AK953" s="22"/>
      <c r="AL953" s="22"/>
      <c r="AM953" s="22"/>
      <c r="AN953" s="22"/>
      <c r="AO953" s="22"/>
      <c r="AP953" s="22"/>
    </row>
    <row r="954" ht="25.5" customHeight="1">
      <c r="H954" s="384"/>
      <c r="I954" s="384"/>
      <c r="J954" s="378"/>
      <c r="AG954" s="383"/>
      <c r="AH954" s="22"/>
      <c r="AI954" s="22"/>
      <c r="AJ954" s="22"/>
      <c r="AK954" s="22"/>
      <c r="AL954" s="22"/>
      <c r="AM954" s="22"/>
      <c r="AN954" s="22"/>
      <c r="AO954" s="22"/>
      <c r="AP954" s="22"/>
    </row>
    <row r="955" ht="25.5" customHeight="1">
      <c r="H955" s="384"/>
      <c r="I955" s="384"/>
      <c r="J955" s="378"/>
      <c r="AG955" s="383"/>
      <c r="AH955" s="22"/>
      <c r="AI955" s="22"/>
      <c r="AJ955" s="22"/>
      <c r="AK955" s="22"/>
      <c r="AL955" s="22"/>
      <c r="AM955" s="22"/>
      <c r="AN955" s="22"/>
      <c r="AO955" s="22"/>
      <c r="AP955" s="22"/>
    </row>
    <row r="956" ht="25.5" customHeight="1">
      <c r="H956" s="384"/>
      <c r="I956" s="384"/>
      <c r="J956" s="378"/>
      <c r="AG956" s="383"/>
      <c r="AH956" s="22"/>
      <c r="AI956" s="22"/>
      <c r="AJ956" s="22"/>
      <c r="AK956" s="22"/>
      <c r="AL956" s="22"/>
      <c r="AM956" s="22"/>
      <c r="AN956" s="22"/>
      <c r="AO956" s="22"/>
      <c r="AP956" s="22"/>
    </row>
    <row r="957" ht="25.5" customHeight="1">
      <c r="H957" s="384"/>
      <c r="I957" s="384"/>
      <c r="J957" s="378"/>
      <c r="AG957" s="383"/>
      <c r="AH957" s="22"/>
      <c r="AI957" s="22"/>
      <c r="AJ957" s="22"/>
      <c r="AK957" s="22"/>
      <c r="AL957" s="22"/>
      <c r="AM957" s="22"/>
      <c r="AN957" s="22"/>
      <c r="AO957" s="22"/>
      <c r="AP957" s="22"/>
    </row>
    <row r="958" ht="25.5" customHeight="1">
      <c r="H958" s="384"/>
      <c r="I958" s="384"/>
      <c r="J958" s="378"/>
      <c r="AG958" s="383"/>
      <c r="AH958" s="22"/>
      <c r="AI958" s="22"/>
      <c r="AJ958" s="22"/>
      <c r="AK958" s="22"/>
      <c r="AL958" s="22"/>
      <c r="AM958" s="22"/>
      <c r="AN958" s="22"/>
      <c r="AO958" s="22"/>
      <c r="AP958" s="22"/>
    </row>
    <row r="959" ht="25.5" customHeight="1">
      <c r="H959" s="384"/>
      <c r="I959" s="384"/>
      <c r="J959" s="378"/>
      <c r="AG959" s="383"/>
      <c r="AH959" s="22"/>
      <c r="AI959" s="22"/>
      <c r="AJ959" s="22"/>
      <c r="AK959" s="22"/>
      <c r="AL959" s="22"/>
      <c r="AM959" s="22"/>
      <c r="AN959" s="22"/>
      <c r="AO959" s="22"/>
      <c r="AP959" s="22"/>
    </row>
    <row r="960" ht="25.5" customHeight="1">
      <c r="H960" s="384"/>
      <c r="I960" s="384"/>
      <c r="J960" s="378"/>
      <c r="AG960" s="383"/>
      <c r="AH960" s="22"/>
      <c r="AI960" s="22"/>
      <c r="AJ960" s="22"/>
      <c r="AK960" s="22"/>
      <c r="AL960" s="22"/>
      <c r="AM960" s="22"/>
      <c r="AN960" s="22"/>
      <c r="AO960" s="22"/>
      <c r="AP960" s="22"/>
    </row>
    <row r="961" ht="25.5" customHeight="1">
      <c r="H961" s="384"/>
      <c r="I961" s="384"/>
      <c r="J961" s="378"/>
      <c r="AG961" s="383"/>
      <c r="AH961" s="22"/>
      <c r="AI961" s="22"/>
      <c r="AJ961" s="22"/>
      <c r="AK961" s="22"/>
      <c r="AL961" s="22"/>
      <c r="AM961" s="22"/>
      <c r="AN961" s="22"/>
      <c r="AO961" s="22"/>
      <c r="AP961" s="22"/>
    </row>
    <row r="962" ht="25.5" customHeight="1">
      <c r="H962" s="384"/>
      <c r="I962" s="384"/>
      <c r="J962" s="378"/>
      <c r="AG962" s="383"/>
      <c r="AH962" s="22"/>
      <c r="AI962" s="22"/>
      <c r="AJ962" s="22"/>
      <c r="AK962" s="22"/>
      <c r="AL962" s="22"/>
      <c r="AM962" s="22"/>
      <c r="AN962" s="22"/>
      <c r="AO962" s="22"/>
      <c r="AP962" s="22"/>
    </row>
    <row r="963" ht="25.5" customHeight="1">
      <c r="H963" s="384"/>
      <c r="I963" s="384"/>
      <c r="J963" s="378"/>
      <c r="AG963" s="383"/>
      <c r="AH963" s="22"/>
      <c r="AI963" s="22"/>
      <c r="AJ963" s="22"/>
      <c r="AK963" s="22"/>
      <c r="AL963" s="22"/>
      <c r="AM963" s="22"/>
      <c r="AN963" s="22"/>
      <c r="AO963" s="22"/>
      <c r="AP963" s="22"/>
    </row>
    <row r="964" ht="25.5" customHeight="1">
      <c r="H964" s="384"/>
      <c r="I964" s="384"/>
      <c r="J964" s="378"/>
      <c r="AG964" s="383"/>
      <c r="AH964" s="22"/>
      <c r="AI964" s="22"/>
      <c r="AJ964" s="22"/>
      <c r="AK964" s="22"/>
      <c r="AL964" s="22"/>
      <c r="AM964" s="22"/>
      <c r="AN964" s="22"/>
      <c r="AO964" s="22"/>
      <c r="AP964" s="22"/>
    </row>
    <row r="965" ht="25.5" customHeight="1">
      <c r="H965" s="384"/>
      <c r="I965" s="384"/>
      <c r="J965" s="378"/>
      <c r="AG965" s="383"/>
      <c r="AH965" s="22"/>
      <c r="AI965" s="22"/>
      <c r="AJ965" s="22"/>
      <c r="AK965" s="22"/>
      <c r="AL965" s="22"/>
      <c r="AM965" s="22"/>
      <c r="AN965" s="22"/>
      <c r="AO965" s="22"/>
      <c r="AP965" s="22"/>
    </row>
    <row r="966" ht="25.5" customHeight="1">
      <c r="H966" s="384"/>
      <c r="I966" s="384"/>
      <c r="J966" s="378"/>
      <c r="AG966" s="383"/>
      <c r="AH966" s="22"/>
      <c r="AI966" s="22"/>
      <c r="AJ966" s="22"/>
      <c r="AK966" s="22"/>
      <c r="AL966" s="22"/>
      <c r="AM966" s="22"/>
      <c r="AN966" s="22"/>
      <c r="AO966" s="22"/>
      <c r="AP966" s="22"/>
    </row>
    <row r="967" ht="25.5" customHeight="1">
      <c r="H967" s="384"/>
      <c r="I967" s="384"/>
      <c r="J967" s="378"/>
      <c r="AG967" s="383"/>
      <c r="AH967" s="22"/>
      <c r="AI967" s="22"/>
      <c r="AJ967" s="22"/>
      <c r="AK967" s="22"/>
      <c r="AL967" s="22"/>
      <c r="AM967" s="22"/>
      <c r="AN967" s="22"/>
      <c r="AO967" s="22"/>
      <c r="AP967" s="22"/>
    </row>
    <row r="968" ht="25.5" customHeight="1">
      <c r="H968" s="384"/>
      <c r="I968" s="384"/>
      <c r="J968" s="378"/>
      <c r="AG968" s="383"/>
      <c r="AH968" s="22"/>
      <c r="AI968" s="22"/>
      <c r="AJ968" s="22"/>
      <c r="AK968" s="22"/>
      <c r="AL968" s="22"/>
      <c r="AM968" s="22"/>
      <c r="AN968" s="22"/>
      <c r="AO968" s="22"/>
      <c r="AP968" s="22"/>
    </row>
    <row r="969" ht="25.5" customHeight="1">
      <c r="H969" s="384"/>
      <c r="I969" s="384"/>
      <c r="J969" s="378"/>
      <c r="AG969" s="383"/>
      <c r="AH969" s="22"/>
      <c r="AI969" s="22"/>
      <c r="AJ969" s="22"/>
      <c r="AK969" s="22"/>
      <c r="AL969" s="22"/>
      <c r="AM969" s="22"/>
      <c r="AN969" s="22"/>
      <c r="AO969" s="22"/>
      <c r="AP969" s="22"/>
    </row>
    <row r="970" ht="25.5" customHeight="1">
      <c r="H970" s="384"/>
      <c r="I970" s="384"/>
      <c r="J970" s="378"/>
      <c r="AG970" s="383"/>
      <c r="AH970" s="22"/>
      <c r="AI970" s="22"/>
      <c r="AJ970" s="22"/>
      <c r="AK970" s="22"/>
      <c r="AL970" s="22"/>
      <c r="AM970" s="22"/>
      <c r="AN970" s="22"/>
      <c r="AO970" s="22"/>
      <c r="AP970" s="22"/>
    </row>
    <row r="971" ht="25.5" customHeight="1">
      <c r="H971" s="384"/>
      <c r="I971" s="384"/>
      <c r="J971" s="378"/>
      <c r="AG971" s="383"/>
      <c r="AH971" s="22"/>
      <c r="AI971" s="22"/>
      <c r="AJ971" s="22"/>
      <c r="AK971" s="22"/>
      <c r="AL971" s="22"/>
      <c r="AM971" s="22"/>
      <c r="AN971" s="22"/>
      <c r="AO971" s="22"/>
      <c r="AP971" s="22"/>
    </row>
    <row r="972" ht="25.5" customHeight="1">
      <c r="H972" s="384"/>
      <c r="I972" s="384"/>
      <c r="J972" s="378"/>
      <c r="AG972" s="383"/>
      <c r="AH972" s="22"/>
      <c r="AI972" s="22"/>
      <c r="AJ972" s="22"/>
      <c r="AK972" s="22"/>
      <c r="AL972" s="22"/>
      <c r="AM972" s="22"/>
      <c r="AN972" s="22"/>
      <c r="AO972" s="22"/>
      <c r="AP972" s="22"/>
    </row>
    <row r="973" ht="25.5" customHeight="1">
      <c r="H973" s="384"/>
      <c r="I973" s="384"/>
      <c r="J973" s="378"/>
      <c r="AG973" s="383"/>
      <c r="AH973" s="22"/>
      <c r="AI973" s="22"/>
      <c r="AJ973" s="22"/>
      <c r="AK973" s="22"/>
      <c r="AL973" s="22"/>
      <c r="AM973" s="22"/>
      <c r="AN973" s="22"/>
      <c r="AO973" s="22"/>
      <c r="AP973" s="22"/>
    </row>
    <row r="974" ht="25.5" customHeight="1">
      <c r="H974" s="384"/>
      <c r="I974" s="384"/>
      <c r="J974" s="378"/>
      <c r="AG974" s="383"/>
      <c r="AH974" s="22"/>
      <c r="AI974" s="22"/>
      <c r="AJ974" s="22"/>
      <c r="AK974" s="22"/>
      <c r="AL974" s="22"/>
      <c r="AM974" s="22"/>
      <c r="AN974" s="22"/>
      <c r="AO974" s="22"/>
      <c r="AP974" s="22"/>
    </row>
    <row r="975" ht="25.5" customHeight="1">
      <c r="H975" s="384"/>
      <c r="I975" s="384"/>
      <c r="J975" s="378"/>
      <c r="AG975" s="383"/>
      <c r="AH975" s="22"/>
      <c r="AI975" s="22"/>
      <c r="AJ975" s="22"/>
      <c r="AK975" s="22"/>
      <c r="AL975" s="22"/>
      <c r="AM975" s="22"/>
      <c r="AN975" s="22"/>
      <c r="AO975" s="22"/>
      <c r="AP975" s="22"/>
    </row>
    <row r="976" ht="25.5" customHeight="1">
      <c r="H976" s="384"/>
      <c r="I976" s="384"/>
      <c r="J976" s="378"/>
      <c r="AG976" s="383"/>
      <c r="AH976" s="22"/>
      <c r="AI976" s="22"/>
      <c r="AJ976" s="22"/>
      <c r="AK976" s="22"/>
      <c r="AL976" s="22"/>
      <c r="AM976" s="22"/>
      <c r="AN976" s="22"/>
      <c r="AO976" s="22"/>
      <c r="AP976" s="22"/>
    </row>
    <row r="977" ht="25.5" customHeight="1">
      <c r="H977" s="384"/>
      <c r="I977" s="384"/>
      <c r="J977" s="378"/>
      <c r="AG977" s="383"/>
      <c r="AH977" s="22"/>
      <c r="AI977" s="22"/>
      <c r="AJ977" s="22"/>
      <c r="AK977" s="22"/>
      <c r="AL977" s="22"/>
      <c r="AM977" s="22"/>
      <c r="AN977" s="22"/>
      <c r="AO977" s="22"/>
      <c r="AP977" s="22"/>
    </row>
    <row r="978" ht="25.5" customHeight="1">
      <c r="H978" s="384"/>
      <c r="I978" s="384"/>
      <c r="J978" s="378"/>
      <c r="AG978" s="383"/>
      <c r="AH978" s="22"/>
      <c r="AI978" s="22"/>
      <c r="AJ978" s="22"/>
      <c r="AK978" s="22"/>
      <c r="AL978" s="22"/>
      <c r="AM978" s="22"/>
      <c r="AN978" s="22"/>
      <c r="AO978" s="22"/>
      <c r="AP978" s="22"/>
    </row>
    <row r="979" ht="25.5" customHeight="1">
      <c r="H979" s="384"/>
      <c r="I979" s="384"/>
      <c r="J979" s="378"/>
      <c r="AG979" s="383"/>
      <c r="AH979" s="22"/>
      <c r="AI979" s="22"/>
      <c r="AJ979" s="22"/>
      <c r="AK979" s="22"/>
      <c r="AL979" s="22"/>
      <c r="AM979" s="22"/>
      <c r="AN979" s="22"/>
      <c r="AO979" s="22"/>
      <c r="AP979" s="22"/>
    </row>
    <row r="980" ht="25.5" customHeight="1">
      <c r="H980" s="384"/>
      <c r="I980" s="384"/>
      <c r="J980" s="378"/>
      <c r="AG980" s="383"/>
      <c r="AH980" s="22"/>
      <c r="AI980" s="22"/>
      <c r="AJ980" s="22"/>
      <c r="AK980" s="22"/>
      <c r="AL980" s="22"/>
      <c r="AM980" s="22"/>
      <c r="AN980" s="22"/>
      <c r="AO980" s="22"/>
      <c r="AP980" s="22"/>
    </row>
    <row r="981" ht="25.5" customHeight="1">
      <c r="H981" s="384"/>
      <c r="I981" s="384"/>
      <c r="J981" s="378"/>
      <c r="AG981" s="383"/>
      <c r="AH981" s="22"/>
      <c r="AI981" s="22"/>
      <c r="AJ981" s="22"/>
      <c r="AK981" s="22"/>
      <c r="AL981" s="22"/>
      <c r="AM981" s="22"/>
      <c r="AN981" s="22"/>
      <c r="AO981" s="22"/>
      <c r="AP981" s="22"/>
    </row>
    <row r="982" ht="25.5" customHeight="1">
      <c r="H982" s="384"/>
      <c r="I982" s="384"/>
      <c r="J982" s="378"/>
      <c r="AG982" s="383"/>
      <c r="AH982" s="22"/>
      <c r="AI982" s="22"/>
      <c r="AJ982" s="22"/>
      <c r="AK982" s="22"/>
      <c r="AL982" s="22"/>
      <c r="AM982" s="22"/>
      <c r="AN982" s="22"/>
      <c r="AO982" s="22"/>
      <c r="AP982" s="22"/>
    </row>
    <row r="983" ht="25.5" customHeight="1">
      <c r="H983" s="384"/>
      <c r="I983" s="384"/>
      <c r="J983" s="378"/>
      <c r="AG983" s="383"/>
      <c r="AH983" s="22"/>
      <c r="AI983" s="22"/>
      <c r="AJ983" s="22"/>
      <c r="AK983" s="22"/>
      <c r="AL983" s="22"/>
      <c r="AM983" s="22"/>
      <c r="AN983" s="22"/>
      <c r="AO983" s="22"/>
      <c r="AP983" s="22"/>
    </row>
    <row r="984" ht="25.5" customHeight="1">
      <c r="H984" s="384"/>
      <c r="I984" s="384"/>
      <c r="J984" s="378"/>
      <c r="AG984" s="383"/>
      <c r="AH984" s="22"/>
      <c r="AI984" s="22"/>
      <c r="AJ984" s="22"/>
      <c r="AK984" s="22"/>
      <c r="AL984" s="22"/>
      <c r="AM984" s="22"/>
      <c r="AN984" s="22"/>
      <c r="AO984" s="22"/>
      <c r="AP984" s="22"/>
    </row>
    <row r="985" ht="25.5" customHeight="1">
      <c r="H985" s="384"/>
      <c r="I985" s="384"/>
      <c r="J985" s="378"/>
      <c r="AG985" s="383"/>
      <c r="AH985" s="22"/>
      <c r="AI985" s="22"/>
      <c r="AJ985" s="22"/>
      <c r="AK985" s="22"/>
      <c r="AL985" s="22"/>
      <c r="AM985" s="22"/>
      <c r="AN985" s="22"/>
      <c r="AO985" s="22"/>
      <c r="AP985" s="22"/>
    </row>
    <row r="986" ht="25.5" customHeight="1">
      <c r="H986" s="384"/>
      <c r="I986" s="384"/>
      <c r="J986" s="378"/>
      <c r="AG986" s="383"/>
      <c r="AH986" s="22"/>
      <c r="AI986" s="22"/>
      <c r="AJ986" s="22"/>
      <c r="AK986" s="22"/>
      <c r="AL986" s="22"/>
      <c r="AM986" s="22"/>
      <c r="AN986" s="22"/>
      <c r="AO986" s="22"/>
      <c r="AP986" s="22"/>
    </row>
    <row r="987" ht="25.5" customHeight="1">
      <c r="H987" s="384"/>
      <c r="I987" s="384"/>
      <c r="J987" s="378"/>
      <c r="AG987" s="383"/>
      <c r="AH987" s="22"/>
      <c r="AI987" s="22"/>
      <c r="AJ987" s="22"/>
      <c r="AK987" s="22"/>
      <c r="AL987" s="22"/>
      <c r="AM987" s="22"/>
      <c r="AN987" s="22"/>
      <c r="AO987" s="22"/>
      <c r="AP987" s="22"/>
    </row>
    <row r="988" ht="25.5" customHeight="1">
      <c r="H988" s="384"/>
      <c r="I988" s="384"/>
      <c r="J988" s="378"/>
      <c r="AG988" s="383"/>
      <c r="AH988" s="22"/>
      <c r="AI988" s="22"/>
      <c r="AJ988" s="22"/>
      <c r="AK988" s="22"/>
      <c r="AL988" s="22"/>
      <c r="AM988" s="22"/>
      <c r="AN988" s="22"/>
      <c r="AO988" s="22"/>
      <c r="AP988" s="22"/>
    </row>
    <row r="989" ht="25.5" customHeight="1">
      <c r="H989" s="384"/>
      <c r="I989" s="384"/>
      <c r="J989" s="378"/>
      <c r="AG989" s="383"/>
      <c r="AH989" s="22"/>
      <c r="AI989" s="22"/>
      <c r="AJ989" s="22"/>
      <c r="AK989" s="22"/>
      <c r="AL989" s="22"/>
      <c r="AM989" s="22"/>
      <c r="AN989" s="22"/>
      <c r="AO989" s="22"/>
      <c r="AP989" s="22"/>
    </row>
    <row r="990" ht="25.5" customHeight="1">
      <c r="H990" s="384"/>
      <c r="I990" s="384"/>
      <c r="J990" s="378"/>
      <c r="AG990" s="383"/>
      <c r="AH990" s="22"/>
      <c r="AI990" s="22"/>
      <c r="AJ990" s="22"/>
      <c r="AK990" s="22"/>
      <c r="AL990" s="22"/>
      <c r="AM990" s="22"/>
      <c r="AN990" s="22"/>
      <c r="AO990" s="22"/>
      <c r="AP990" s="22"/>
    </row>
    <row r="991" ht="25.5" customHeight="1">
      <c r="H991" s="384"/>
      <c r="I991" s="384"/>
      <c r="J991" s="378"/>
      <c r="AG991" s="383"/>
      <c r="AH991" s="22"/>
      <c r="AI991" s="22"/>
      <c r="AJ991" s="22"/>
      <c r="AK991" s="22"/>
      <c r="AL991" s="22"/>
      <c r="AM991" s="22"/>
      <c r="AN991" s="22"/>
      <c r="AO991" s="22"/>
      <c r="AP991" s="22"/>
    </row>
    <row r="992" ht="25.5" customHeight="1">
      <c r="H992" s="384"/>
      <c r="I992" s="384"/>
      <c r="J992" s="378"/>
      <c r="AG992" s="383"/>
      <c r="AH992" s="22"/>
      <c r="AI992" s="22"/>
      <c r="AJ992" s="22"/>
      <c r="AK992" s="22"/>
      <c r="AL992" s="22"/>
      <c r="AM992" s="22"/>
      <c r="AN992" s="22"/>
      <c r="AO992" s="22"/>
      <c r="AP992" s="22"/>
    </row>
    <row r="993" ht="25.5" customHeight="1">
      <c r="H993" s="384"/>
      <c r="I993" s="384"/>
      <c r="J993" s="378"/>
      <c r="AG993" s="383"/>
      <c r="AH993" s="22"/>
      <c r="AI993" s="22"/>
      <c r="AJ993" s="22"/>
      <c r="AK993" s="22"/>
      <c r="AL993" s="22"/>
      <c r="AM993" s="22"/>
      <c r="AN993" s="22"/>
      <c r="AO993" s="22"/>
      <c r="AP993" s="22"/>
    </row>
    <row r="994" ht="25.5" customHeight="1">
      <c r="H994" s="384"/>
      <c r="I994" s="384"/>
      <c r="J994" s="378"/>
      <c r="AG994" s="383"/>
      <c r="AH994" s="22"/>
      <c r="AI994" s="22"/>
      <c r="AJ994" s="22"/>
      <c r="AK994" s="22"/>
      <c r="AL994" s="22"/>
      <c r="AM994" s="22"/>
      <c r="AN994" s="22"/>
      <c r="AO994" s="22"/>
      <c r="AP994" s="22"/>
    </row>
    <row r="995" ht="25.5" customHeight="1">
      <c r="H995" s="384"/>
      <c r="I995" s="384"/>
      <c r="J995" s="378"/>
      <c r="AG995" s="383"/>
      <c r="AH995" s="22"/>
      <c r="AI995" s="22"/>
      <c r="AJ995" s="22"/>
      <c r="AK995" s="22"/>
      <c r="AL995" s="22"/>
      <c r="AM995" s="22"/>
      <c r="AN995" s="22"/>
      <c r="AO995" s="22"/>
      <c r="AP995" s="22"/>
    </row>
    <row r="996" ht="25.5" customHeight="1">
      <c r="H996" s="384"/>
      <c r="I996" s="384"/>
      <c r="J996" s="378"/>
      <c r="AG996" s="383"/>
      <c r="AH996" s="22"/>
      <c r="AI996" s="22"/>
      <c r="AJ996" s="22"/>
      <c r="AK996" s="22"/>
      <c r="AL996" s="22"/>
      <c r="AM996" s="22"/>
      <c r="AN996" s="22"/>
      <c r="AO996" s="22"/>
      <c r="AP996" s="22"/>
    </row>
    <row r="997" ht="25.5" customHeight="1">
      <c r="H997" s="384"/>
      <c r="I997" s="384"/>
      <c r="J997" s="378"/>
      <c r="AG997" s="383"/>
      <c r="AH997" s="22"/>
      <c r="AI997" s="22"/>
      <c r="AJ997" s="22"/>
      <c r="AK997" s="22"/>
      <c r="AL997" s="22"/>
      <c r="AM997" s="22"/>
      <c r="AN997" s="22"/>
      <c r="AO997" s="22"/>
      <c r="AP997" s="22"/>
    </row>
    <row r="998" ht="25.5" customHeight="1">
      <c r="H998" s="384"/>
      <c r="I998" s="384"/>
      <c r="J998" s="378"/>
      <c r="AG998" s="383"/>
      <c r="AH998" s="22"/>
      <c r="AI998" s="22"/>
      <c r="AJ998" s="22"/>
      <c r="AK998" s="22"/>
      <c r="AL998" s="22"/>
      <c r="AM998" s="22"/>
      <c r="AN998" s="22"/>
      <c r="AO998" s="22"/>
      <c r="AP998" s="22"/>
    </row>
    <row r="999" ht="25.5" customHeight="1">
      <c r="H999" s="384"/>
      <c r="I999" s="384"/>
      <c r="J999" s="378"/>
      <c r="AG999" s="383"/>
      <c r="AH999" s="22"/>
      <c r="AI999" s="22"/>
      <c r="AJ999" s="22"/>
      <c r="AK999" s="22"/>
      <c r="AL999" s="22"/>
      <c r="AM999" s="22"/>
      <c r="AN999" s="22"/>
      <c r="AO999" s="22"/>
      <c r="AP999" s="22"/>
    </row>
    <row r="1000" ht="25.5" customHeight="1">
      <c r="H1000" s="384"/>
      <c r="I1000" s="384"/>
      <c r="J1000" s="378"/>
      <c r="AG1000" s="383"/>
      <c r="AH1000" s="22"/>
      <c r="AI1000" s="22"/>
      <c r="AJ1000" s="22"/>
      <c r="AK1000" s="22"/>
      <c r="AL1000" s="22"/>
      <c r="AM1000" s="22"/>
      <c r="AN1000" s="22"/>
      <c r="AO1000" s="22"/>
      <c r="AP1000" s="22"/>
    </row>
    <row r="1001" ht="25.5" customHeight="1">
      <c r="H1001" s="384"/>
      <c r="I1001" s="384"/>
      <c r="J1001" s="378"/>
      <c r="AG1001" s="383"/>
      <c r="AH1001" s="22"/>
      <c r="AI1001" s="22"/>
      <c r="AJ1001" s="22"/>
      <c r="AK1001" s="22"/>
      <c r="AL1001" s="22"/>
      <c r="AM1001" s="22"/>
      <c r="AN1001" s="22"/>
      <c r="AO1001" s="22"/>
      <c r="AP1001" s="22"/>
    </row>
    <row r="1002" ht="25.5" customHeight="1">
      <c r="H1002" s="384"/>
      <c r="I1002" s="384"/>
      <c r="J1002" s="378"/>
      <c r="AG1002" s="383"/>
      <c r="AH1002" s="22"/>
      <c r="AI1002" s="22"/>
      <c r="AJ1002" s="22"/>
      <c r="AK1002" s="22"/>
      <c r="AL1002" s="22"/>
      <c r="AM1002" s="22"/>
      <c r="AN1002" s="22"/>
      <c r="AO1002" s="22"/>
      <c r="AP1002" s="22"/>
    </row>
    <row r="1003" ht="25.5" customHeight="1">
      <c r="H1003" s="384"/>
      <c r="I1003" s="384"/>
      <c r="J1003" s="378"/>
      <c r="AG1003" s="383"/>
      <c r="AH1003" s="22"/>
      <c r="AI1003" s="22"/>
      <c r="AJ1003" s="22"/>
      <c r="AK1003" s="22"/>
      <c r="AL1003" s="22"/>
      <c r="AM1003" s="22"/>
      <c r="AN1003" s="22"/>
      <c r="AO1003" s="22"/>
      <c r="AP1003" s="22"/>
    </row>
    <row r="1004" ht="25.5" customHeight="1">
      <c r="H1004" s="384"/>
      <c r="I1004" s="384"/>
      <c r="J1004" s="378"/>
      <c r="AG1004" s="383"/>
      <c r="AH1004" s="22"/>
      <c r="AI1004" s="22"/>
      <c r="AJ1004" s="22"/>
      <c r="AK1004" s="22"/>
      <c r="AL1004" s="22"/>
      <c r="AM1004" s="22"/>
      <c r="AN1004" s="22"/>
      <c r="AO1004" s="22"/>
      <c r="AP1004" s="22"/>
    </row>
    <row r="1005" ht="25.5" customHeight="1">
      <c r="H1005" s="384"/>
      <c r="I1005" s="384"/>
      <c r="J1005" s="378"/>
      <c r="AG1005" s="383"/>
      <c r="AH1005" s="22"/>
      <c r="AI1005" s="22"/>
      <c r="AJ1005" s="22"/>
      <c r="AK1005" s="22"/>
      <c r="AL1005" s="22"/>
      <c r="AM1005" s="22"/>
      <c r="AN1005" s="22"/>
      <c r="AO1005" s="22"/>
      <c r="AP1005" s="22"/>
    </row>
    <row r="1006" ht="25.5" customHeight="1">
      <c r="H1006" s="384"/>
      <c r="I1006" s="384"/>
      <c r="J1006" s="378"/>
      <c r="AG1006" s="383"/>
      <c r="AH1006" s="22"/>
      <c r="AI1006" s="22"/>
      <c r="AJ1006" s="22"/>
      <c r="AK1006" s="22"/>
      <c r="AL1006" s="22"/>
      <c r="AM1006" s="22"/>
      <c r="AN1006" s="22"/>
      <c r="AO1006" s="22"/>
      <c r="AP1006" s="22"/>
    </row>
    <row r="1007" ht="25.5" customHeight="1">
      <c r="H1007" s="384"/>
      <c r="I1007" s="384"/>
      <c r="J1007" s="378"/>
      <c r="AG1007" s="383"/>
      <c r="AH1007" s="22"/>
      <c r="AI1007" s="22"/>
      <c r="AJ1007" s="22"/>
      <c r="AK1007" s="22"/>
      <c r="AL1007" s="22"/>
      <c r="AM1007" s="22"/>
      <c r="AN1007" s="22"/>
      <c r="AO1007" s="22"/>
      <c r="AP1007" s="22"/>
    </row>
    <row r="1008" ht="25.5" customHeight="1">
      <c r="H1008" s="384"/>
      <c r="I1008" s="384"/>
      <c r="J1008" s="378"/>
      <c r="AG1008" s="383"/>
      <c r="AH1008" s="22"/>
      <c r="AI1008" s="22"/>
      <c r="AJ1008" s="22"/>
      <c r="AK1008" s="22"/>
      <c r="AL1008" s="22"/>
      <c r="AM1008" s="22"/>
      <c r="AN1008" s="22"/>
      <c r="AO1008" s="22"/>
      <c r="AP1008" s="22"/>
    </row>
    <row r="1009" ht="25.5" customHeight="1">
      <c r="H1009" s="384"/>
      <c r="I1009" s="384"/>
      <c r="J1009" s="378"/>
      <c r="AG1009" s="383"/>
      <c r="AH1009" s="22"/>
      <c r="AI1009" s="22"/>
      <c r="AJ1009" s="22"/>
      <c r="AK1009" s="22"/>
      <c r="AL1009" s="22"/>
      <c r="AM1009" s="22"/>
      <c r="AN1009" s="22"/>
      <c r="AO1009" s="22"/>
      <c r="AP1009" s="22"/>
    </row>
    <row r="1010" ht="25.5" customHeight="1">
      <c r="H1010" s="384"/>
      <c r="I1010" s="384"/>
      <c r="J1010" s="378"/>
      <c r="AG1010" s="383"/>
      <c r="AH1010" s="22"/>
      <c r="AI1010" s="22"/>
      <c r="AJ1010" s="22"/>
      <c r="AK1010" s="22"/>
      <c r="AL1010" s="22"/>
      <c r="AM1010" s="22"/>
      <c r="AN1010" s="22"/>
      <c r="AO1010" s="22"/>
      <c r="AP1010" s="22"/>
    </row>
    <row r="1011" ht="25.5" customHeight="1">
      <c r="H1011" s="384"/>
      <c r="I1011" s="384"/>
      <c r="J1011" s="378"/>
      <c r="AG1011" s="383"/>
      <c r="AH1011" s="22"/>
      <c r="AI1011" s="22"/>
      <c r="AJ1011" s="22"/>
      <c r="AK1011" s="22"/>
      <c r="AL1011" s="22"/>
      <c r="AM1011" s="22"/>
      <c r="AN1011" s="22"/>
      <c r="AO1011" s="22"/>
      <c r="AP1011" s="22"/>
    </row>
    <row r="1012" ht="25.5" customHeight="1">
      <c r="H1012" s="384"/>
      <c r="I1012" s="384"/>
      <c r="J1012" s="378"/>
      <c r="AG1012" s="383"/>
      <c r="AH1012" s="22"/>
      <c r="AI1012" s="22"/>
      <c r="AJ1012" s="22"/>
      <c r="AK1012" s="22"/>
      <c r="AL1012" s="22"/>
      <c r="AM1012" s="22"/>
      <c r="AN1012" s="22"/>
      <c r="AO1012" s="22"/>
      <c r="AP1012" s="22"/>
    </row>
    <row r="1013" ht="25.5" customHeight="1">
      <c r="H1013" s="384"/>
      <c r="I1013" s="384"/>
      <c r="J1013" s="378"/>
      <c r="AG1013" s="383"/>
      <c r="AH1013" s="22"/>
      <c r="AI1013" s="22"/>
      <c r="AJ1013" s="22"/>
      <c r="AK1013" s="22"/>
      <c r="AL1013" s="22"/>
      <c r="AM1013" s="22"/>
      <c r="AN1013" s="22"/>
      <c r="AO1013" s="22"/>
      <c r="AP1013" s="22"/>
    </row>
    <row r="1014" ht="25.5" customHeight="1">
      <c r="H1014" s="384"/>
      <c r="I1014" s="384"/>
      <c r="J1014" s="378"/>
      <c r="AG1014" s="383"/>
      <c r="AH1014" s="22"/>
      <c r="AI1014" s="22"/>
      <c r="AJ1014" s="22"/>
      <c r="AK1014" s="22"/>
      <c r="AL1014" s="22"/>
      <c r="AM1014" s="22"/>
      <c r="AN1014" s="22"/>
      <c r="AO1014" s="22"/>
      <c r="AP1014" s="22"/>
    </row>
    <row r="1015" ht="25.5" customHeight="1">
      <c r="H1015" s="384"/>
      <c r="I1015" s="384"/>
      <c r="J1015" s="378"/>
      <c r="AG1015" s="383"/>
      <c r="AH1015" s="22"/>
      <c r="AI1015" s="22"/>
      <c r="AJ1015" s="22"/>
      <c r="AK1015" s="22"/>
      <c r="AL1015" s="22"/>
      <c r="AM1015" s="22"/>
      <c r="AN1015" s="22"/>
      <c r="AO1015" s="22"/>
      <c r="AP1015" s="22"/>
    </row>
    <row r="1016" ht="25.5" customHeight="1">
      <c r="H1016" s="384"/>
      <c r="I1016" s="384"/>
      <c r="J1016" s="378"/>
      <c r="AG1016" s="383"/>
      <c r="AH1016" s="22"/>
      <c r="AI1016" s="22"/>
      <c r="AJ1016" s="22"/>
      <c r="AK1016" s="22"/>
      <c r="AL1016" s="22"/>
      <c r="AM1016" s="22"/>
      <c r="AN1016" s="22"/>
      <c r="AO1016" s="22"/>
      <c r="AP1016" s="22"/>
    </row>
    <row r="1017" ht="25.5" customHeight="1">
      <c r="H1017" s="384"/>
      <c r="I1017" s="384"/>
      <c r="J1017" s="378"/>
      <c r="AG1017" s="383"/>
      <c r="AH1017" s="22"/>
      <c r="AI1017" s="22"/>
      <c r="AJ1017" s="22"/>
      <c r="AK1017" s="22"/>
      <c r="AL1017" s="22"/>
      <c r="AM1017" s="22"/>
      <c r="AN1017" s="22"/>
      <c r="AO1017" s="22"/>
      <c r="AP1017" s="22"/>
    </row>
    <row r="1018" ht="25.5" customHeight="1">
      <c r="H1018" s="384"/>
      <c r="I1018" s="384"/>
      <c r="J1018" s="378"/>
      <c r="AG1018" s="383"/>
      <c r="AH1018" s="22"/>
      <c r="AI1018" s="22"/>
      <c r="AJ1018" s="22"/>
      <c r="AK1018" s="22"/>
      <c r="AL1018" s="22"/>
      <c r="AM1018" s="22"/>
      <c r="AN1018" s="22"/>
      <c r="AO1018" s="22"/>
      <c r="AP1018" s="22"/>
    </row>
    <row r="1019" ht="25.5" customHeight="1">
      <c r="H1019" s="384"/>
      <c r="I1019" s="384"/>
      <c r="J1019" s="378"/>
      <c r="AG1019" s="383"/>
      <c r="AH1019" s="22"/>
      <c r="AI1019" s="22"/>
      <c r="AJ1019" s="22"/>
      <c r="AK1019" s="22"/>
      <c r="AL1019" s="22"/>
      <c r="AM1019" s="22"/>
      <c r="AN1019" s="22"/>
      <c r="AO1019" s="22"/>
      <c r="AP1019" s="22"/>
    </row>
    <row r="1020" ht="25.5" customHeight="1">
      <c r="H1020" s="384"/>
      <c r="I1020" s="384"/>
      <c r="J1020" s="378"/>
      <c r="AG1020" s="383"/>
      <c r="AH1020" s="22"/>
      <c r="AI1020" s="22"/>
      <c r="AJ1020" s="22"/>
      <c r="AK1020" s="22"/>
      <c r="AL1020" s="22"/>
      <c r="AM1020" s="22"/>
      <c r="AN1020" s="22"/>
      <c r="AO1020" s="22"/>
      <c r="AP1020" s="22"/>
    </row>
    <row r="1021" ht="25.5" customHeight="1">
      <c r="H1021" s="384"/>
      <c r="I1021" s="384"/>
      <c r="J1021" s="378"/>
      <c r="AG1021" s="383"/>
      <c r="AH1021" s="22"/>
      <c r="AI1021" s="22"/>
      <c r="AJ1021" s="22"/>
      <c r="AK1021" s="22"/>
      <c r="AL1021" s="22"/>
      <c r="AM1021" s="22"/>
      <c r="AN1021" s="22"/>
      <c r="AO1021" s="22"/>
      <c r="AP1021" s="22"/>
    </row>
    <row r="1022" ht="25.5" customHeight="1">
      <c r="H1022" s="384"/>
      <c r="I1022" s="384"/>
      <c r="J1022" s="378"/>
      <c r="AG1022" s="383"/>
      <c r="AH1022" s="22"/>
      <c r="AI1022" s="22"/>
      <c r="AJ1022" s="22"/>
      <c r="AK1022" s="22"/>
      <c r="AL1022" s="22"/>
      <c r="AM1022" s="22"/>
      <c r="AN1022" s="22"/>
      <c r="AO1022" s="22"/>
      <c r="AP1022" s="22"/>
    </row>
    <row r="1023" ht="25.5" customHeight="1">
      <c r="H1023" s="384"/>
      <c r="I1023" s="384"/>
      <c r="J1023" s="378"/>
      <c r="AG1023" s="383"/>
      <c r="AH1023" s="22"/>
      <c r="AI1023" s="22"/>
      <c r="AJ1023" s="22"/>
      <c r="AK1023" s="22"/>
      <c r="AL1023" s="22"/>
      <c r="AM1023" s="22"/>
      <c r="AN1023" s="22"/>
      <c r="AO1023" s="22"/>
      <c r="AP1023" s="22"/>
    </row>
    <row r="1024" ht="25.5" customHeight="1">
      <c r="H1024" s="384"/>
      <c r="I1024" s="384"/>
      <c r="J1024" s="378"/>
      <c r="AG1024" s="383"/>
      <c r="AH1024" s="22"/>
      <c r="AI1024" s="22"/>
      <c r="AJ1024" s="22"/>
      <c r="AK1024" s="22"/>
      <c r="AL1024" s="22"/>
      <c r="AM1024" s="22"/>
      <c r="AN1024" s="22"/>
      <c r="AO1024" s="22"/>
      <c r="AP1024" s="22"/>
    </row>
    <row r="1025" ht="25.5" customHeight="1">
      <c r="H1025" s="384"/>
      <c r="I1025" s="384"/>
      <c r="J1025" s="378"/>
      <c r="AG1025" s="383"/>
      <c r="AH1025" s="22"/>
      <c r="AI1025" s="22"/>
      <c r="AJ1025" s="22"/>
      <c r="AK1025" s="22"/>
      <c r="AL1025" s="22"/>
      <c r="AM1025" s="22"/>
      <c r="AN1025" s="22"/>
      <c r="AO1025" s="22"/>
      <c r="AP1025" s="22"/>
    </row>
    <row r="1026" ht="25.5" customHeight="1">
      <c r="H1026" s="384"/>
      <c r="I1026" s="384"/>
      <c r="J1026" s="378"/>
      <c r="AG1026" s="383"/>
      <c r="AH1026" s="22"/>
      <c r="AI1026" s="22"/>
      <c r="AJ1026" s="22"/>
      <c r="AK1026" s="22"/>
      <c r="AL1026" s="22"/>
      <c r="AM1026" s="22"/>
      <c r="AN1026" s="22"/>
      <c r="AO1026" s="22"/>
      <c r="AP1026" s="22"/>
    </row>
    <row r="1027" ht="25.5" customHeight="1">
      <c r="H1027" s="384"/>
      <c r="I1027" s="384"/>
      <c r="J1027" s="378"/>
      <c r="AG1027" s="383"/>
      <c r="AH1027" s="22"/>
      <c r="AI1027" s="22"/>
      <c r="AJ1027" s="22"/>
      <c r="AK1027" s="22"/>
      <c r="AL1027" s="22"/>
      <c r="AM1027" s="22"/>
      <c r="AN1027" s="22"/>
      <c r="AO1027" s="22"/>
      <c r="AP1027" s="22"/>
    </row>
    <row r="1028" ht="25.5" customHeight="1">
      <c r="H1028" s="384"/>
      <c r="I1028" s="384"/>
      <c r="J1028" s="378"/>
      <c r="AG1028" s="383"/>
      <c r="AH1028" s="22"/>
      <c r="AI1028" s="22"/>
      <c r="AJ1028" s="22"/>
      <c r="AK1028" s="22"/>
      <c r="AL1028" s="22"/>
      <c r="AM1028" s="22"/>
      <c r="AN1028" s="22"/>
      <c r="AO1028" s="22"/>
      <c r="AP1028" s="22"/>
    </row>
    <row r="1029" ht="25.5" customHeight="1">
      <c r="H1029" s="384"/>
      <c r="I1029" s="384"/>
      <c r="J1029" s="378"/>
      <c r="AG1029" s="383"/>
      <c r="AH1029" s="22"/>
      <c r="AI1029" s="22"/>
      <c r="AJ1029" s="22"/>
      <c r="AK1029" s="22"/>
      <c r="AL1029" s="22"/>
      <c r="AM1029" s="22"/>
      <c r="AN1029" s="22"/>
      <c r="AO1029" s="22"/>
      <c r="AP1029" s="22"/>
    </row>
    <row r="1030" ht="25.5" customHeight="1">
      <c r="H1030" s="384"/>
      <c r="I1030" s="384"/>
      <c r="J1030" s="378"/>
      <c r="AG1030" s="383"/>
      <c r="AH1030" s="22"/>
      <c r="AI1030" s="22"/>
      <c r="AJ1030" s="22"/>
      <c r="AK1030" s="22"/>
      <c r="AL1030" s="22"/>
      <c r="AM1030" s="22"/>
      <c r="AN1030" s="22"/>
      <c r="AO1030" s="22"/>
      <c r="AP1030" s="22"/>
    </row>
    <row r="1031" ht="25.5" customHeight="1">
      <c r="H1031" s="384"/>
      <c r="I1031" s="384"/>
      <c r="J1031" s="378"/>
      <c r="AG1031" s="383"/>
      <c r="AH1031" s="22"/>
      <c r="AI1031" s="22"/>
      <c r="AJ1031" s="22"/>
      <c r="AK1031" s="22"/>
      <c r="AL1031" s="22"/>
      <c r="AM1031" s="22"/>
      <c r="AN1031" s="22"/>
      <c r="AO1031" s="22"/>
      <c r="AP1031" s="22"/>
    </row>
    <row r="1032" ht="25.5" customHeight="1">
      <c r="H1032" s="384"/>
      <c r="I1032" s="384"/>
      <c r="J1032" s="378"/>
      <c r="AG1032" s="383"/>
      <c r="AH1032" s="22"/>
      <c r="AI1032" s="22"/>
      <c r="AJ1032" s="22"/>
      <c r="AK1032" s="22"/>
      <c r="AL1032" s="22"/>
      <c r="AM1032" s="22"/>
      <c r="AN1032" s="22"/>
      <c r="AO1032" s="22"/>
      <c r="AP1032" s="22"/>
    </row>
    <row r="1033" ht="25.5" customHeight="1">
      <c r="H1033" s="384"/>
      <c r="I1033" s="384"/>
      <c r="J1033" s="378"/>
      <c r="AG1033" s="383"/>
      <c r="AH1033" s="22"/>
      <c r="AI1033" s="22"/>
      <c r="AJ1033" s="22"/>
      <c r="AK1033" s="22"/>
      <c r="AL1033" s="22"/>
      <c r="AM1033" s="22"/>
      <c r="AN1033" s="22"/>
      <c r="AO1033" s="22"/>
      <c r="AP1033" s="22"/>
    </row>
    <row r="1034" ht="25.5" customHeight="1">
      <c r="H1034" s="384"/>
      <c r="I1034" s="384"/>
      <c r="J1034" s="378"/>
      <c r="AG1034" s="383"/>
      <c r="AH1034" s="22"/>
      <c r="AI1034" s="22"/>
      <c r="AJ1034" s="22"/>
      <c r="AK1034" s="22"/>
      <c r="AL1034" s="22"/>
      <c r="AM1034" s="22"/>
      <c r="AN1034" s="22"/>
      <c r="AO1034" s="22"/>
      <c r="AP1034" s="22"/>
    </row>
    <row r="1035" ht="25.5" customHeight="1">
      <c r="H1035" s="384"/>
      <c r="I1035" s="384"/>
      <c r="J1035" s="378"/>
      <c r="AG1035" s="383"/>
      <c r="AH1035" s="22"/>
      <c r="AI1035" s="22"/>
      <c r="AJ1035" s="22"/>
      <c r="AK1035" s="22"/>
      <c r="AL1035" s="22"/>
      <c r="AM1035" s="22"/>
      <c r="AN1035" s="22"/>
      <c r="AO1035" s="22"/>
      <c r="AP1035" s="22"/>
    </row>
    <row r="1036" ht="25.5" customHeight="1">
      <c r="H1036" s="384"/>
      <c r="I1036" s="384"/>
      <c r="J1036" s="378"/>
      <c r="AG1036" s="383"/>
      <c r="AH1036" s="22"/>
      <c r="AI1036" s="22"/>
      <c r="AJ1036" s="22"/>
      <c r="AK1036" s="22"/>
      <c r="AL1036" s="22"/>
      <c r="AM1036" s="22"/>
      <c r="AN1036" s="22"/>
      <c r="AO1036" s="22"/>
      <c r="AP1036" s="22"/>
    </row>
    <row r="1037" ht="25.5" customHeight="1">
      <c r="H1037" s="384"/>
      <c r="I1037" s="384"/>
      <c r="J1037" s="378"/>
      <c r="AG1037" s="383"/>
      <c r="AH1037" s="22"/>
      <c r="AI1037" s="22"/>
      <c r="AJ1037" s="22"/>
      <c r="AK1037" s="22"/>
      <c r="AL1037" s="22"/>
      <c r="AM1037" s="22"/>
      <c r="AN1037" s="22"/>
      <c r="AO1037" s="22"/>
      <c r="AP1037" s="22"/>
    </row>
    <row r="1038" ht="25.5" customHeight="1">
      <c r="H1038" s="384"/>
      <c r="I1038" s="384"/>
      <c r="J1038" s="378"/>
      <c r="AG1038" s="383"/>
      <c r="AH1038" s="22"/>
      <c r="AI1038" s="22"/>
      <c r="AJ1038" s="22"/>
      <c r="AK1038" s="22"/>
      <c r="AL1038" s="22"/>
      <c r="AM1038" s="22"/>
      <c r="AN1038" s="22"/>
      <c r="AO1038" s="22"/>
      <c r="AP1038" s="22"/>
    </row>
    <row r="1039" ht="25.5" customHeight="1">
      <c r="H1039" s="384"/>
      <c r="I1039" s="384"/>
      <c r="J1039" s="378"/>
      <c r="AG1039" s="383"/>
      <c r="AH1039" s="22"/>
      <c r="AI1039" s="22"/>
      <c r="AJ1039" s="22"/>
      <c r="AK1039" s="22"/>
      <c r="AL1039" s="22"/>
      <c r="AM1039" s="22"/>
      <c r="AN1039" s="22"/>
      <c r="AO1039" s="22"/>
      <c r="AP1039" s="22"/>
    </row>
    <row r="1040" ht="25.5" customHeight="1">
      <c r="H1040" s="384"/>
      <c r="I1040" s="384"/>
      <c r="J1040" s="378"/>
      <c r="AG1040" s="383"/>
      <c r="AH1040" s="22"/>
      <c r="AI1040" s="22"/>
      <c r="AJ1040" s="22"/>
      <c r="AK1040" s="22"/>
      <c r="AL1040" s="22"/>
      <c r="AM1040" s="22"/>
      <c r="AN1040" s="22"/>
      <c r="AO1040" s="22"/>
      <c r="AP1040" s="22"/>
    </row>
    <row r="1041" ht="25.5" customHeight="1">
      <c r="H1041" s="384"/>
      <c r="I1041" s="384"/>
      <c r="J1041" s="378"/>
      <c r="AG1041" s="383"/>
      <c r="AH1041" s="22"/>
      <c r="AI1041" s="22"/>
      <c r="AJ1041" s="22"/>
      <c r="AK1041" s="22"/>
      <c r="AL1041" s="22"/>
      <c r="AM1041" s="22"/>
      <c r="AN1041" s="22"/>
      <c r="AO1041" s="22"/>
      <c r="AP1041" s="22"/>
    </row>
    <row r="1042" ht="25.5" customHeight="1">
      <c r="H1042" s="384"/>
      <c r="I1042" s="384"/>
      <c r="J1042" s="378"/>
      <c r="AG1042" s="383"/>
      <c r="AH1042" s="22"/>
      <c r="AI1042" s="22"/>
      <c r="AJ1042" s="22"/>
      <c r="AK1042" s="22"/>
      <c r="AL1042" s="22"/>
      <c r="AM1042" s="22"/>
      <c r="AN1042" s="22"/>
      <c r="AO1042" s="22"/>
      <c r="AP1042" s="22"/>
    </row>
    <row r="1043" ht="25.5" customHeight="1">
      <c r="H1043" s="384"/>
      <c r="I1043" s="384"/>
      <c r="J1043" s="378"/>
      <c r="AG1043" s="383"/>
      <c r="AH1043" s="22"/>
      <c r="AI1043" s="22"/>
      <c r="AJ1043" s="22"/>
      <c r="AK1043" s="22"/>
      <c r="AL1043" s="22"/>
      <c r="AM1043" s="22"/>
      <c r="AN1043" s="22"/>
      <c r="AO1043" s="22"/>
      <c r="AP1043" s="22"/>
    </row>
    <row r="1044" ht="25.5" customHeight="1">
      <c r="H1044" s="384"/>
      <c r="I1044" s="384"/>
      <c r="J1044" s="378"/>
      <c r="AG1044" s="383"/>
      <c r="AH1044" s="22"/>
      <c r="AI1044" s="22"/>
      <c r="AJ1044" s="22"/>
      <c r="AK1044" s="22"/>
      <c r="AL1044" s="22"/>
      <c r="AM1044" s="22"/>
      <c r="AN1044" s="22"/>
      <c r="AO1044" s="22"/>
      <c r="AP1044" s="22"/>
    </row>
    <row r="1045" ht="25.5" customHeight="1">
      <c r="H1045" s="384"/>
      <c r="I1045" s="384"/>
      <c r="J1045" s="378"/>
      <c r="AG1045" s="383"/>
      <c r="AH1045" s="22"/>
      <c r="AI1045" s="22"/>
      <c r="AJ1045" s="22"/>
      <c r="AK1045" s="22"/>
      <c r="AL1045" s="22"/>
      <c r="AM1045" s="22"/>
      <c r="AN1045" s="22"/>
      <c r="AO1045" s="22"/>
      <c r="AP1045" s="22"/>
    </row>
    <row r="1046" ht="25.5" customHeight="1">
      <c r="H1046" s="384"/>
      <c r="I1046" s="384"/>
      <c r="J1046" s="378"/>
      <c r="AG1046" s="383"/>
      <c r="AH1046" s="22"/>
      <c r="AI1046" s="22"/>
      <c r="AJ1046" s="22"/>
      <c r="AK1046" s="22"/>
      <c r="AL1046" s="22"/>
      <c r="AM1046" s="22"/>
      <c r="AN1046" s="22"/>
      <c r="AO1046" s="22"/>
      <c r="AP1046" s="22"/>
    </row>
    <row r="1047" ht="25.5" customHeight="1">
      <c r="H1047" s="384"/>
      <c r="I1047" s="384"/>
      <c r="J1047" s="378"/>
      <c r="AG1047" s="383"/>
      <c r="AH1047" s="22"/>
      <c r="AI1047" s="22"/>
      <c r="AJ1047" s="22"/>
      <c r="AK1047" s="22"/>
      <c r="AL1047" s="22"/>
      <c r="AM1047" s="22"/>
      <c r="AN1047" s="22"/>
      <c r="AO1047" s="22"/>
      <c r="AP1047" s="22"/>
    </row>
    <row r="1048" ht="25.5" customHeight="1">
      <c r="H1048" s="384"/>
      <c r="I1048" s="384"/>
      <c r="J1048" s="378"/>
      <c r="AG1048" s="383"/>
      <c r="AH1048" s="22"/>
      <c r="AI1048" s="22"/>
      <c r="AJ1048" s="22"/>
      <c r="AK1048" s="22"/>
      <c r="AL1048" s="22"/>
      <c r="AM1048" s="22"/>
      <c r="AN1048" s="22"/>
      <c r="AO1048" s="22"/>
      <c r="AP1048" s="22"/>
    </row>
    <row r="1049" ht="25.5" customHeight="1">
      <c r="H1049" s="384"/>
      <c r="I1049" s="384"/>
      <c r="J1049" s="378"/>
      <c r="AG1049" s="383"/>
      <c r="AH1049" s="22"/>
      <c r="AI1049" s="22"/>
      <c r="AJ1049" s="22"/>
      <c r="AK1049" s="22"/>
      <c r="AL1049" s="22"/>
      <c r="AM1049" s="22"/>
      <c r="AN1049" s="22"/>
      <c r="AO1049" s="22"/>
      <c r="AP1049" s="22"/>
    </row>
    <row r="1050" ht="25.5" customHeight="1">
      <c r="H1050" s="384"/>
      <c r="I1050" s="384"/>
      <c r="J1050" s="378"/>
      <c r="AG1050" s="383"/>
      <c r="AH1050" s="22"/>
      <c r="AI1050" s="22"/>
      <c r="AJ1050" s="22"/>
      <c r="AK1050" s="22"/>
      <c r="AL1050" s="22"/>
      <c r="AM1050" s="22"/>
      <c r="AN1050" s="22"/>
      <c r="AO1050" s="22"/>
      <c r="AP1050" s="22"/>
    </row>
    <row r="1051" ht="25.5" customHeight="1">
      <c r="H1051" s="384"/>
      <c r="I1051" s="384"/>
      <c r="J1051" s="378"/>
      <c r="AG1051" s="383"/>
      <c r="AH1051" s="22"/>
      <c r="AI1051" s="22"/>
      <c r="AJ1051" s="22"/>
      <c r="AK1051" s="22"/>
      <c r="AL1051" s="22"/>
      <c r="AM1051" s="22"/>
      <c r="AN1051" s="22"/>
      <c r="AO1051" s="22"/>
      <c r="AP1051" s="22"/>
    </row>
    <row r="1052" ht="25.5" customHeight="1">
      <c r="H1052" s="384"/>
      <c r="I1052" s="384"/>
      <c r="J1052" s="378"/>
      <c r="AG1052" s="383"/>
      <c r="AH1052" s="22"/>
      <c r="AI1052" s="22"/>
      <c r="AJ1052" s="22"/>
      <c r="AK1052" s="22"/>
      <c r="AL1052" s="22"/>
      <c r="AM1052" s="22"/>
      <c r="AN1052" s="22"/>
      <c r="AO1052" s="22"/>
      <c r="AP1052" s="22"/>
    </row>
    <row r="1053" ht="25.5" customHeight="1">
      <c r="H1053" s="384"/>
      <c r="I1053" s="384"/>
      <c r="J1053" s="378"/>
      <c r="AG1053" s="383"/>
      <c r="AH1053" s="22"/>
      <c r="AI1053" s="22"/>
      <c r="AJ1053" s="22"/>
      <c r="AK1053" s="22"/>
      <c r="AL1053" s="22"/>
      <c r="AM1053" s="22"/>
      <c r="AN1053" s="22"/>
      <c r="AO1053" s="22"/>
      <c r="AP1053" s="22"/>
    </row>
    <row r="1054" ht="25.5" customHeight="1">
      <c r="H1054" s="384"/>
      <c r="I1054" s="384"/>
      <c r="J1054" s="378"/>
      <c r="AG1054" s="383"/>
      <c r="AH1054" s="22"/>
      <c r="AI1054" s="22"/>
      <c r="AJ1054" s="22"/>
      <c r="AK1054" s="22"/>
      <c r="AL1054" s="22"/>
      <c r="AM1054" s="22"/>
      <c r="AN1054" s="22"/>
      <c r="AO1054" s="22"/>
      <c r="AP1054" s="22"/>
    </row>
    <row r="1055" ht="25.5" customHeight="1">
      <c r="H1055" s="384"/>
      <c r="I1055" s="384"/>
      <c r="J1055" s="378"/>
      <c r="AG1055" s="383"/>
      <c r="AH1055" s="22"/>
      <c r="AI1055" s="22"/>
      <c r="AJ1055" s="22"/>
      <c r="AK1055" s="22"/>
      <c r="AL1055" s="22"/>
      <c r="AM1055" s="22"/>
      <c r="AN1055" s="22"/>
      <c r="AO1055" s="22"/>
      <c r="AP1055" s="22"/>
    </row>
    <row r="1056" ht="25.5" customHeight="1">
      <c r="H1056" s="384"/>
      <c r="I1056" s="384"/>
      <c r="J1056" s="378"/>
      <c r="AG1056" s="383"/>
      <c r="AH1056" s="22"/>
      <c r="AI1056" s="22"/>
      <c r="AJ1056" s="22"/>
      <c r="AK1056" s="22"/>
      <c r="AL1056" s="22"/>
      <c r="AM1056" s="22"/>
      <c r="AN1056" s="22"/>
      <c r="AO1056" s="22"/>
      <c r="AP1056" s="22"/>
    </row>
    <row r="1057" ht="25.5" customHeight="1">
      <c r="H1057" s="384"/>
      <c r="I1057" s="384"/>
      <c r="J1057" s="378"/>
      <c r="AG1057" s="383"/>
      <c r="AH1057" s="22"/>
      <c r="AI1057" s="22"/>
      <c r="AJ1057" s="22"/>
      <c r="AK1057" s="22"/>
      <c r="AL1057" s="22"/>
      <c r="AM1057" s="22"/>
      <c r="AN1057" s="22"/>
      <c r="AO1057" s="22"/>
      <c r="AP1057" s="22"/>
    </row>
    <row r="1058" ht="25.5" customHeight="1">
      <c r="H1058" s="384"/>
      <c r="I1058" s="384"/>
      <c r="J1058" s="378"/>
      <c r="AG1058" s="383"/>
      <c r="AH1058" s="22"/>
      <c r="AI1058" s="22"/>
      <c r="AJ1058" s="22"/>
      <c r="AK1058" s="22"/>
      <c r="AL1058" s="22"/>
      <c r="AM1058" s="22"/>
      <c r="AN1058" s="22"/>
      <c r="AO1058" s="22"/>
      <c r="AP1058" s="22"/>
    </row>
    <row r="1059" ht="25.5" customHeight="1">
      <c r="H1059" s="384"/>
      <c r="I1059" s="384"/>
      <c r="J1059" s="378"/>
      <c r="AG1059" s="383"/>
      <c r="AH1059" s="22"/>
      <c r="AI1059" s="22"/>
      <c r="AJ1059" s="22"/>
      <c r="AK1059" s="22"/>
      <c r="AL1059" s="22"/>
      <c r="AM1059" s="22"/>
      <c r="AN1059" s="22"/>
      <c r="AO1059" s="22"/>
      <c r="AP1059" s="22"/>
    </row>
    <row r="1060" ht="25.5" customHeight="1">
      <c r="H1060" s="384"/>
      <c r="I1060" s="384"/>
      <c r="J1060" s="378"/>
      <c r="AG1060" s="383"/>
      <c r="AH1060" s="22"/>
      <c r="AI1060" s="22"/>
      <c r="AJ1060" s="22"/>
      <c r="AK1060" s="22"/>
      <c r="AL1060" s="22"/>
      <c r="AM1060" s="22"/>
      <c r="AN1060" s="22"/>
      <c r="AO1060" s="22"/>
      <c r="AP1060" s="22"/>
    </row>
    <row r="1061" ht="25.5" customHeight="1">
      <c r="H1061" s="384"/>
      <c r="I1061" s="384"/>
      <c r="J1061" s="378"/>
      <c r="AG1061" s="383"/>
      <c r="AH1061" s="22"/>
      <c r="AI1061" s="22"/>
      <c r="AJ1061" s="22"/>
      <c r="AK1061" s="22"/>
      <c r="AL1061" s="22"/>
      <c r="AM1061" s="22"/>
      <c r="AN1061" s="22"/>
      <c r="AO1061" s="22"/>
      <c r="AP1061" s="22"/>
    </row>
    <row r="1062" ht="25.5" customHeight="1">
      <c r="H1062" s="384"/>
      <c r="I1062" s="384"/>
      <c r="J1062" s="378"/>
      <c r="AG1062" s="383"/>
      <c r="AH1062" s="22"/>
      <c r="AI1062" s="22"/>
      <c r="AJ1062" s="22"/>
      <c r="AK1062" s="22"/>
      <c r="AL1062" s="22"/>
      <c r="AM1062" s="22"/>
      <c r="AN1062" s="22"/>
      <c r="AO1062" s="22"/>
      <c r="AP1062" s="22"/>
    </row>
    <row r="1063" ht="25.5" customHeight="1">
      <c r="H1063" s="384"/>
      <c r="I1063" s="384"/>
      <c r="J1063" s="378"/>
      <c r="AG1063" s="383"/>
      <c r="AH1063" s="22"/>
      <c r="AI1063" s="22"/>
      <c r="AJ1063" s="22"/>
      <c r="AK1063" s="22"/>
      <c r="AL1063" s="22"/>
      <c r="AM1063" s="22"/>
      <c r="AN1063" s="22"/>
      <c r="AO1063" s="22"/>
      <c r="AP1063" s="22"/>
    </row>
    <row r="1064" ht="25.5" customHeight="1">
      <c r="H1064" s="384"/>
      <c r="I1064" s="384"/>
      <c r="J1064" s="378"/>
      <c r="AG1064" s="383"/>
      <c r="AH1064" s="22"/>
      <c r="AI1064" s="22"/>
      <c r="AJ1064" s="22"/>
      <c r="AK1064" s="22"/>
      <c r="AL1064" s="22"/>
      <c r="AM1064" s="22"/>
      <c r="AN1064" s="22"/>
      <c r="AO1064" s="22"/>
      <c r="AP1064" s="22"/>
    </row>
    <row r="1065" ht="25.5" customHeight="1">
      <c r="H1065" s="384"/>
      <c r="I1065" s="384"/>
      <c r="J1065" s="378"/>
      <c r="AG1065" s="383"/>
      <c r="AH1065" s="22"/>
      <c r="AI1065" s="22"/>
      <c r="AJ1065" s="22"/>
      <c r="AK1065" s="22"/>
      <c r="AL1065" s="22"/>
      <c r="AM1065" s="22"/>
      <c r="AN1065" s="22"/>
      <c r="AO1065" s="22"/>
      <c r="AP1065" s="22"/>
    </row>
    <row r="1066" ht="25.5" customHeight="1">
      <c r="H1066" s="384"/>
      <c r="I1066" s="384"/>
      <c r="J1066" s="378"/>
      <c r="AG1066" s="383"/>
      <c r="AH1066" s="22"/>
      <c r="AI1066" s="22"/>
      <c r="AJ1066" s="22"/>
      <c r="AK1066" s="22"/>
      <c r="AL1066" s="22"/>
      <c r="AM1066" s="22"/>
      <c r="AN1066" s="22"/>
      <c r="AO1066" s="22"/>
      <c r="AP1066" s="22"/>
    </row>
    <row r="1067" ht="25.5" customHeight="1">
      <c r="H1067" s="384"/>
      <c r="I1067" s="384"/>
      <c r="J1067" s="378"/>
      <c r="AG1067" s="383"/>
      <c r="AH1067" s="22"/>
      <c r="AI1067" s="22"/>
      <c r="AJ1067" s="22"/>
      <c r="AK1067" s="22"/>
      <c r="AL1067" s="22"/>
      <c r="AM1067" s="22"/>
      <c r="AN1067" s="22"/>
      <c r="AO1067" s="22"/>
      <c r="AP1067" s="22"/>
    </row>
    <row r="1068" ht="25.5" customHeight="1">
      <c r="H1068" s="384"/>
      <c r="I1068" s="384"/>
      <c r="J1068" s="378"/>
      <c r="AG1068" s="383"/>
      <c r="AH1068" s="22"/>
      <c r="AI1068" s="22"/>
      <c r="AJ1068" s="22"/>
      <c r="AK1068" s="22"/>
      <c r="AL1068" s="22"/>
      <c r="AM1068" s="22"/>
      <c r="AN1068" s="22"/>
      <c r="AO1068" s="22"/>
      <c r="AP1068" s="22"/>
    </row>
    <row r="1069" ht="25.5" customHeight="1">
      <c r="H1069" s="384"/>
      <c r="I1069" s="384"/>
      <c r="J1069" s="378"/>
      <c r="AG1069" s="383"/>
      <c r="AH1069" s="22"/>
      <c r="AI1069" s="22"/>
      <c r="AJ1069" s="22"/>
      <c r="AK1069" s="22"/>
      <c r="AL1069" s="22"/>
      <c r="AM1069" s="22"/>
      <c r="AN1069" s="22"/>
      <c r="AO1069" s="22"/>
      <c r="AP1069" s="22"/>
    </row>
    <row r="1070" ht="25.5" customHeight="1">
      <c r="H1070" s="384"/>
      <c r="I1070" s="384"/>
      <c r="J1070" s="378"/>
      <c r="AG1070" s="383"/>
      <c r="AH1070" s="22"/>
      <c r="AI1070" s="22"/>
      <c r="AJ1070" s="22"/>
      <c r="AK1070" s="22"/>
      <c r="AL1070" s="22"/>
      <c r="AM1070" s="22"/>
      <c r="AN1070" s="22"/>
      <c r="AO1070" s="22"/>
      <c r="AP1070" s="22"/>
    </row>
    <row r="1071" ht="25.5" customHeight="1">
      <c r="H1071" s="384"/>
      <c r="I1071" s="384"/>
      <c r="J1071" s="378"/>
      <c r="AG1071" s="383"/>
      <c r="AH1071" s="22"/>
      <c r="AI1071" s="22"/>
      <c r="AJ1071" s="22"/>
      <c r="AK1071" s="22"/>
      <c r="AL1071" s="22"/>
      <c r="AM1071" s="22"/>
      <c r="AN1071" s="22"/>
      <c r="AO1071" s="22"/>
      <c r="AP1071" s="22"/>
    </row>
    <row r="1072" ht="25.5" customHeight="1">
      <c r="H1072" s="384"/>
      <c r="I1072" s="384"/>
      <c r="J1072" s="378"/>
      <c r="AG1072" s="383"/>
      <c r="AH1072" s="22"/>
      <c r="AI1072" s="22"/>
      <c r="AJ1072" s="22"/>
      <c r="AK1072" s="22"/>
      <c r="AL1072" s="22"/>
      <c r="AM1072" s="22"/>
      <c r="AN1072" s="22"/>
      <c r="AO1072" s="22"/>
      <c r="AP1072" s="22"/>
    </row>
    <row r="1073" ht="25.5" customHeight="1">
      <c r="H1073" s="384"/>
      <c r="I1073" s="384"/>
      <c r="J1073" s="378"/>
      <c r="AG1073" s="383"/>
      <c r="AH1073" s="22"/>
      <c r="AI1073" s="22"/>
      <c r="AJ1073" s="22"/>
      <c r="AK1073" s="22"/>
      <c r="AL1073" s="22"/>
      <c r="AM1073" s="22"/>
      <c r="AN1073" s="22"/>
      <c r="AO1073" s="22"/>
      <c r="AP1073" s="22"/>
    </row>
    <row r="1074" ht="25.5" customHeight="1">
      <c r="H1074" s="384"/>
      <c r="I1074" s="384"/>
      <c r="J1074" s="378"/>
      <c r="AG1074" s="383"/>
      <c r="AH1074" s="22"/>
      <c r="AI1074" s="22"/>
      <c r="AJ1074" s="22"/>
      <c r="AK1074" s="22"/>
      <c r="AL1074" s="22"/>
      <c r="AM1074" s="22"/>
      <c r="AN1074" s="22"/>
      <c r="AO1074" s="22"/>
      <c r="AP1074" s="22"/>
    </row>
    <row r="1075" ht="25.5" customHeight="1">
      <c r="H1075" s="384"/>
      <c r="I1075" s="384"/>
      <c r="J1075" s="378"/>
      <c r="AG1075" s="383"/>
      <c r="AH1075" s="22"/>
      <c r="AI1075" s="22"/>
      <c r="AJ1075" s="22"/>
      <c r="AK1075" s="22"/>
      <c r="AL1075" s="22"/>
      <c r="AM1075" s="22"/>
      <c r="AN1075" s="22"/>
      <c r="AO1075" s="22"/>
      <c r="AP1075" s="22"/>
    </row>
    <row r="1076" ht="25.5" customHeight="1">
      <c r="H1076" s="384"/>
      <c r="I1076" s="384"/>
      <c r="J1076" s="378"/>
      <c r="AG1076" s="383"/>
      <c r="AH1076" s="22"/>
      <c r="AI1076" s="22"/>
      <c r="AJ1076" s="22"/>
      <c r="AK1076" s="22"/>
      <c r="AL1076" s="22"/>
      <c r="AM1076" s="22"/>
      <c r="AN1076" s="22"/>
      <c r="AO1076" s="22"/>
      <c r="AP1076" s="22"/>
    </row>
    <row r="1077" ht="25.5" customHeight="1">
      <c r="H1077" s="384"/>
      <c r="I1077" s="384"/>
      <c r="J1077" s="378"/>
      <c r="AG1077" s="383"/>
      <c r="AH1077" s="22"/>
      <c r="AI1077" s="22"/>
      <c r="AJ1077" s="22"/>
      <c r="AK1077" s="22"/>
      <c r="AL1077" s="22"/>
      <c r="AM1077" s="22"/>
      <c r="AN1077" s="22"/>
      <c r="AO1077" s="22"/>
      <c r="AP1077" s="22"/>
    </row>
    <row r="1078" ht="25.5" customHeight="1">
      <c r="H1078" s="384"/>
      <c r="I1078" s="384"/>
      <c r="J1078" s="378"/>
      <c r="AG1078" s="383"/>
      <c r="AH1078" s="22"/>
      <c r="AI1078" s="22"/>
      <c r="AJ1078" s="22"/>
      <c r="AK1078" s="22"/>
      <c r="AL1078" s="22"/>
      <c r="AM1078" s="22"/>
      <c r="AN1078" s="22"/>
      <c r="AO1078" s="22"/>
      <c r="AP1078" s="22"/>
    </row>
    <row r="1079" ht="25.5" customHeight="1">
      <c r="H1079" s="384"/>
      <c r="I1079" s="384"/>
      <c r="J1079" s="378"/>
      <c r="AG1079" s="383"/>
      <c r="AH1079" s="22"/>
      <c r="AI1079" s="22"/>
      <c r="AJ1079" s="22"/>
      <c r="AK1079" s="22"/>
      <c r="AL1079" s="22"/>
      <c r="AM1079" s="22"/>
      <c r="AN1079" s="22"/>
      <c r="AO1079" s="22"/>
      <c r="AP1079" s="22"/>
    </row>
    <row r="1080" ht="25.5" customHeight="1">
      <c r="H1080" s="384"/>
      <c r="I1080" s="384"/>
      <c r="J1080" s="378"/>
      <c r="AG1080" s="383"/>
      <c r="AH1080" s="22"/>
      <c r="AI1080" s="22"/>
      <c r="AJ1080" s="22"/>
      <c r="AK1080" s="22"/>
      <c r="AL1080" s="22"/>
      <c r="AM1080" s="22"/>
      <c r="AN1080" s="22"/>
      <c r="AO1080" s="22"/>
      <c r="AP1080" s="22"/>
    </row>
    <row r="1081" ht="25.5" customHeight="1">
      <c r="H1081" s="384"/>
      <c r="I1081" s="384"/>
      <c r="J1081" s="378"/>
      <c r="AG1081" s="383"/>
      <c r="AH1081" s="22"/>
      <c r="AI1081" s="22"/>
      <c r="AJ1081" s="22"/>
      <c r="AK1081" s="22"/>
      <c r="AL1081" s="22"/>
      <c r="AM1081" s="22"/>
      <c r="AN1081" s="22"/>
      <c r="AO1081" s="22"/>
      <c r="AP1081" s="22"/>
    </row>
    <row r="1082" ht="25.5" customHeight="1">
      <c r="H1082" s="384"/>
      <c r="I1082" s="384"/>
      <c r="J1082" s="378"/>
      <c r="AG1082" s="383"/>
      <c r="AH1082" s="22"/>
      <c r="AI1082" s="22"/>
      <c r="AJ1082" s="22"/>
      <c r="AK1082" s="22"/>
      <c r="AL1082" s="22"/>
      <c r="AM1082" s="22"/>
      <c r="AN1082" s="22"/>
      <c r="AO1082" s="22"/>
      <c r="AP1082" s="22"/>
    </row>
    <row r="1083" ht="25.5" customHeight="1">
      <c r="H1083" s="384"/>
      <c r="I1083" s="384"/>
      <c r="J1083" s="378"/>
      <c r="AG1083" s="383"/>
      <c r="AH1083" s="22"/>
      <c r="AI1083" s="22"/>
      <c r="AJ1083" s="22"/>
      <c r="AK1083" s="22"/>
      <c r="AL1083" s="22"/>
      <c r="AM1083" s="22"/>
      <c r="AN1083" s="22"/>
      <c r="AO1083" s="22"/>
      <c r="AP1083" s="22"/>
    </row>
    <row r="1084" ht="25.5" customHeight="1">
      <c r="H1084" s="384"/>
      <c r="I1084" s="384"/>
      <c r="J1084" s="378"/>
      <c r="AG1084" s="383"/>
      <c r="AH1084" s="22"/>
      <c r="AI1084" s="22"/>
      <c r="AJ1084" s="22"/>
      <c r="AK1084" s="22"/>
      <c r="AL1084" s="22"/>
      <c r="AM1084" s="22"/>
      <c r="AN1084" s="22"/>
      <c r="AO1084" s="22"/>
      <c r="AP1084" s="22"/>
    </row>
    <row r="1085" ht="25.5" customHeight="1">
      <c r="H1085" s="384"/>
      <c r="I1085" s="384"/>
      <c r="J1085" s="378"/>
      <c r="AG1085" s="383"/>
      <c r="AH1085" s="22"/>
      <c r="AI1085" s="22"/>
      <c r="AJ1085" s="22"/>
      <c r="AK1085" s="22"/>
      <c r="AL1085" s="22"/>
      <c r="AM1085" s="22"/>
      <c r="AN1085" s="22"/>
      <c r="AO1085" s="22"/>
      <c r="AP1085" s="22"/>
    </row>
    <row r="1086" ht="25.5" customHeight="1">
      <c r="H1086" s="384"/>
      <c r="I1086" s="384"/>
      <c r="J1086" s="378"/>
      <c r="AG1086" s="383"/>
      <c r="AH1086" s="22"/>
      <c r="AI1086" s="22"/>
      <c r="AJ1086" s="22"/>
      <c r="AK1086" s="22"/>
      <c r="AL1086" s="22"/>
      <c r="AM1086" s="22"/>
      <c r="AN1086" s="22"/>
      <c r="AO1086" s="22"/>
      <c r="AP1086" s="22"/>
    </row>
    <row r="1087" ht="25.5" customHeight="1">
      <c r="H1087" s="384"/>
      <c r="I1087" s="384"/>
      <c r="J1087" s="378"/>
      <c r="AG1087" s="383"/>
      <c r="AH1087" s="22"/>
      <c r="AI1087" s="22"/>
      <c r="AJ1087" s="22"/>
      <c r="AK1087" s="22"/>
      <c r="AL1087" s="22"/>
      <c r="AM1087" s="22"/>
      <c r="AN1087" s="22"/>
      <c r="AO1087" s="22"/>
      <c r="AP1087" s="22"/>
    </row>
    <row r="1088" ht="25.5" customHeight="1">
      <c r="H1088" s="384"/>
      <c r="I1088" s="384"/>
      <c r="J1088" s="378"/>
      <c r="AG1088" s="383"/>
      <c r="AH1088" s="22"/>
      <c r="AI1088" s="22"/>
      <c r="AJ1088" s="22"/>
      <c r="AK1088" s="22"/>
      <c r="AL1088" s="22"/>
      <c r="AM1088" s="22"/>
      <c r="AN1088" s="22"/>
      <c r="AO1088" s="22"/>
      <c r="AP1088" s="22"/>
    </row>
    <row r="1089" ht="25.5" customHeight="1">
      <c r="H1089" s="384"/>
      <c r="I1089" s="384"/>
      <c r="J1089" s="378"/>
      <c r="AG1089" s="383"/>
      <c r="AH1089" s="22"/>
      <c r="AI1089" s="22"/>
      <c r="AJ1089" s="22"/>
      <c r="AK1089" s="22"/>
      <c r="AL1089" s="22"/>
      <c r="AM1089" s="22"/>
      <c r="AN1089" s="22"/>
      <c r="AO1089" s="22"/>
      <c r="AP1089" s="22"/>
    </row>
    <row r="1090" ht="25.5" customHeight="1">
      <c r="H1090" s="384"/>
      <c r="I1090" s="384"/>
      <c r="J1090" s="378"/>
      <c r="AG1090" s="383"/>
      <c r="AH1090" s="22"/>
      <c r="AI1090" s="22"/>
      <c r="AJ1090" s="22"/>
      <c r="AK1090" s="22"/>
      <c r="AL1090" s="22"/>
      <c r="AM1090" s="22"/>
      <c r="AN1090" s="22"/>
      <c r="AO1090" s="22"/>
      <c r="AP1090" s="22"/>
    </row>
    <row r="1091" ht="25.5" customHeight="1">
      <c r="H1091" s="384"/>
      <c r="I1091" s="384"/>
      <c r="J1091" s="378"/>
      <c r="AG1091" s="383"/>
      <c r="AH1091" s="22"/>
      <c r="AI1091" s="22"/>
      <c r="AJ1091" s="22"/>
      <c r="AK1091" s="22"/>
      <c r="AL1091" s="22"/>
      <c r="AM1091" s="22"/>
      <c r="AN1091" s="22"/>
      <c r="AO1091" s="22"/>
      <c r="AP1091" s="22"/>
    </row>
    <row r="1092" ht="25.5" customHeight="1">
      <c r="H1092" s="384"/>
      <c r="I1092" s="384"/>
      <c r="J1092" s="378"/>
      <c r="AG1092" s="383"/>
      <c r="AH1092" s="22"/>
      <c r="AI1092" s="22"/>
      <c r="AJ1092" s="22"/>
      <c r="AK1092" s="22"/>
      <c r="AL1092" s="22"/>
      <c r="AM1092" s="22"/>
      <c r="AN1092" s="22"/>
      <c r="AO1092" s="22"/>
      <c r="AP1092" s="22"/>
    </row>
    <row r="1093" ht="25.5" customHeight="1">
      <c r="H1093" s="384"/>
      <c r="I1093" s="384"/>
      <c r="J1093" s="378"/>
      <c r="AG1093" s="383"/>
      <c r="AH1093" s="22"/>
      <c r="AI1093" s="22"/>
      <c r="AJ1093" s="22"/>
      <c r="AK1093" s="22"/>
      <c r="AL1093" s="22"/>
      <c r="AM1093" s="22"/>
      <c r="AN1093" s="22"/>
      <c r="AO1093" s="22"/>
      <c r="AP1093" s="22"/>
    </row>
    <row r="1094" ht="25.5" customHeight="1">
      <c r="H1094" s="384"/>
      <c r="I1094" s="384"/>
      <c r="J1094" s="378"/>
      <c r="AG1094" s="383"/>
      <c r="AH1094" s="22"/>
      <c r="AI1094" s="22"/>
      <c r="AJ1094" s="22"/>
      <c r="AK1094" s="22"/>
      <c r="AL1094" s="22"/>
      <c r="AM1094" s="22"/>
      <c r="AN1094" s="22"/>
      <c r="AO1094" s="22"/>
      <c r="AP1094" s="22"/>
    </row>
    <row r="1095" ht="25.5" customHeight="1">
      <c r="H1095" s="384"/>
      <c r="I1095" s="384"/>
      <c r="J1095" s="378"/>
      <c r="AG1095" s="383"/>
      <c r="AH1095" s="22"/>
      <c r="AI1095" s="22"/>
      <c r="AJ1095" s="22"/>
      <c r="AK1095" s="22"/>
      <c r="AL1095" s="22"/>
      <c r="AM1095" s="22"/>
      <c r="AN1095" s="22"/>
      <c r="AO1095" s="22"/>
      <c r="AP1095" s="22"/>
    </row>
    <row r="1096" ht="25.5" customHeight="1">
      <c r="H1096" s="384"/>
      <c r="I1096" s="384"/>
      <c r="J1096" s="378"/>
      <c r="AG1096" s="383"/>
      <c r="AH1096" s="22"/>
      <c r="AI1096" s="22"/>
      <c r="AJ1096" s="22"/>
      <c r="AK1096" s="22"/>
      <c r="AL1096" s="22"/>
      <c r="AM1096" s="22"/>
      <c r="AN1096" s="22"/>
      <c r="AO1096" s="22"/>
      <c r="AP1096" s="22"/>
    </row>
    <row r="1097" ht="25.5" customHeight="1">
      <c r="H1097" s="384"/>
      <c r="I1097" s="384"/>
      <c r="J1097" s="378"/>
      <c r="AG1097" s="383"/>
      <c r="AH1097" s="22"/>
      <c r="AI1097" s="22"/>
      <c r="AJ1097" s="22"/>
      <c r="AK1097" s="22"/>
      <c r="AL1097" s="22"/>
      <c r="AM1097" s="22"/>
      <c r="AN1097" s="22"/>
      <c r="AO1097" s="22"/>
      <c r="AP1097" s="22"/>
    </row>
    <row r="1098" ht="25.5" customHeight="1">
      <c r="H1098" s="384"/>
      <c r="I1098" s="384"/>
      <c r="J1098" s="378"/>
      <c r="AG1098" s="383"/>
      <c r="AH1098" s="22"/>
      <c r="AI1098" s="22"/>
      <c r="AJ1098" s="22"/>
      <c r="AK1098" s="22"/>
      <c r="AL1098" s="22"/>
      <c r="AM1098" s="22"/>
      <c r="AN1098" s="22"/>
      <c r="AO1098" s="22"/>
      <c r="AP1098" s="22"/>
    </row>
    <row r="1099" ht="25.5" customHeight="1">
      <c r="H1099" s="384"/>
      <c r="I1099" s="384"/>
      <c r="J1099" s="378"/>
      <c r="AG1099" s="383"/>
      <c r="AH1099" s="22"/>
      <c r="AI1099" s="22"/>
      <c r="AJ1099" s="22"/>
      <c r="AK1099" s="22"/>
      <c r="AL1099" s="22"/>
      <c r="AM1099" s="22"/>
      <c r="AN1099" s="22"/>
      <c r="AO1099" s="22"/>
      <c r="AP1099" s="22"/>
    </row>
    <row r="1100" ht="25.5" customHeight="1">
      <c r="H1100" s="384"/>
      <c r="I1100" s="384"/>
      <c r="J1100" s="378"/>
      <c r="AG1100" s="383"/>
      <c r="AH1100" s="22"/>
      <c r="AI1100" s="22"/>
      <c r="AJ1100" s="22"/>
      <c r="AK1100" s="22"/>
      <c r="AL1100" s="22"/>
      <c r="AM1100" s="22"/>
      <c r="AN1100" s="22"/>
      <c r="AO1100" s="22"/>
      <c r="AP1100" s="22"/>
    </row>
    <row r="1101" ht="25.5" customHeight="1">
      <c r="H1101" s="384"/>
      <c r="I1101" s="384"/>
      <c r="J1101" s="378"/>
      <c r="AG1101" s="383"/>
      <c r="AH1101" s="22"/>
      <c r="AI1101" s="22"/>
      <c r="AJ1101" s="22"/>
      <c r="AK1101" s="22"/>
      <c r="AL1101" s="22"/>
      <c r="AM1101" s="22"/>
      <c r="AN1101" s="22"/>
      <c r="AO1101" s="22"/>
      <c r="AP1101" s="22"/>
    </row>
    <row r="1102" ht="25.5" customHeight="1">
      <c r="H1102" s="384"/>
      <c r="I1102" s="384"/>
      <c r="J1102" s="378"/>
      <c r="AG1102" s="383"/>
      <c r="AH1102" s="22"/>
      <c r="AI1102" s="22"/>
      <c r="AJ1102" s="22"/>
      <c r="AK1102" s="22"/>
      <c r="AL1102" s="22"/>
      <c r="AM1102" s="22"/>
      <c r="AN1102" s="22"/>
      <c r="AO1102" s="22"/>
      <c r="AP1102" s="22"/>
    </row>
    <row r="1103" ht="25.5" customHeight="1">
      <c r="H1103" s="384"/>
      <c r="I1103" s="384"/>
      <c r="J1103" s="378"/>
      <c r="AG1103" s="383"/>
      <c r="AH1103" s="22"/>
      <c r="AI1103" s="22"/>
      <c r="AJ1103" s="22"/>
      <c r="AK1103" s="22"/>
      <c r="AL1103" s="22"/>
      <c r="AM1103" s="22"/>
      <c r="AN1103" s="22"/>
      <c r="AO1103" s="22"/>
      <c r="AP1103" s="22"/>
    </row>
    <row r="1104" ht="25.5" customHeight="1">
      <c r="H1104" s="384"/>
      <c r="I1104" s="384"/>
      <c r="J1104" s="378"/>
      <c r="AG1104" s="383"/>
      <c r="AH1104" s="22"/>
      <c r="AI1104" s="22"/>
      <c r="AJ1104" s="22"/>
      <c r="AK1104" s="22"/>
      <c r="AL1104" s="22"/>
      <c r="AM1104" s="22"/>
      <c r="AN1104" s="22"/>
      <c r="AO1104" s="22"/>
      <c r="AP1104" s="22"/>
    </row>
    <row r="1105" ht="25.5" customHeight="1">
      <c r="H1105" s="384"/>
      <c r="I1105" s="384"/>
      <c r="J1105" s="378"/>
      <c r="AG1105" s="383"/>
      <c r="AH1105" s="22"/>
      <c r="AI1105" s="22"/>
      <c r="AJ1105" s="22"/>
      <c r="AK1105" s="22"/>
      <c r="AL1105" s="22"/>
      <c r="AM1105" s="22"/>
      <c r="AN1105" s="22"/>
      <c r="AO1105" s="22"/>
      <c r="AP1105" s="22"/>
    </row>
    <row r="1106" ht="25.5" customHeight="1">
      <c r="H1106" s="384"/>
      <c r="I1106" s="384"/>
      <c r="J1106" s="378"/>
      <c r="AG1106" s="383"/>
      <c r="AH1106" s="22"/>
      <c r="AI1106" s="22"/>
      <c r="AJ1106" s="22"/>
      <c r="AK1106" s="22"/>
      <c r="AL1106" s="22"/>
      <c r="AM1106" s="22"/>
      <c r="AN1106" s="22"/>
      <c r="AO1106" s="22"/>
      <c r="AP1106" s="22"/>
    </row>
    <row r="1107" ht="25.5" customHeight="1">
      <c r="H1107" s="384"/>
      <c r="I1107" s="384"/>
      <c r="J1107" s="378"/>
      <c r="AG1107" s="383"/>
      <c r="AH1107" s="22"/>
      <c r="AI1107" s="22"/>
      <c r="AJ1107" s="22"/>
      <c r="AK1107" s="22"/>
      <c r="AL1107" s="22"/>
      <c r="AM1107" s="22"/>
      <c r="AN1107" s="22"/>
      <c r="AO1107" s="22"/>
      <c r="AP1107" s="22"/>
    </row>
    <row r="1108" ht="25.5" customHeight="1">
      <c r="H1108" s="384"/>
      <c r="I1108" s="384"/>
      <c r="J1108" s="378"/>
      <c r="AG1108" s="383"/>
      <c r="AH1108" s="22"/>
      <c r="AI1108" s="22"/>
      <c r="AJ1108" s="22"/>
      <c r="AK1108" s="22"/>
      <c r="AL1108" s="22"/>
      <c r="AM1108" s="22"/>
      <c r="AN1108" s="22"/>
      <c r="AO1108" s="22"/>
      <c r="AP1108" s="22"/>
    </row>
    <row r="1109" ht="25.5" customHeight="1">
      <c r="H1109" s="384"/>
      <c r="I1109" s="384"/>
      <c r="J1109" s="378"/>
      <c r="AG1109" s="383"/>
      <c r="AH1109" s="22"/>
      <c r="AI1109" s="22"/>
      <c r="AJ1109" s="22"/>
      <c r="AK1109" s="22"/>
      <c r="AL1109" s="22"/>
      <c r="AM1109" s="22"/>
      <c r="AN1109" s="22"/>
      <c r="AO1109" s="22"/>
      <c r="AP1109" s="22"/>
    </row>
    <row r="1110" ht="25.5" customHeight="1">
      <c r="H1110" s="384"/>
      <c r="I1110" s="384"/>
      <c r="J1110" s="378"/>
      <c r="AG1110" s="383"/>
      <c r="AH1110" s="22"/>
      <c r="AI1110" s="22"/>
      <c r="AJ1110" s="22"/>
      <c r="AK1110" s="22"/>
      <c r="AL1110" s="22"/>
      <c r="AM1110" s="22"/>
      <c r="AN1110" s="22"/>
      <c r="AO1110" s="22"/>
      <c r="AP1110" s="22"/>
    </row>
    <row r="1111" ht="25.5" customHeight="1">
      <c r="H1111" s="384"/>
      <c r="I1111" s="384"/>
      <c r="J1111" s="378"/>
      <c r="AG1111" s="383"/>
      <c r="AH1111" s="22"/>
      <c r="AI1111" s="22"/>
      <c r="AJ1111" s="22"/>
      <c r="AK1111" s="22"/>
      <c r="AL1111" s="22"/>
      <c r="AM1111" s="22"/>
      <c r="AN1111" s="22"/>
      <c r="AO1111" s="22"/>
      <c r="AP1111" s="22"/>
    </row>
    <row r="1112" ht="25.5" customHeight="1">
      <c r="H1112" s="384"/>
      <c r="I1112" s="384"/>
      <c r="J1112" s="378"/>
      <c r="AG1112" s="383"/>
      <c r="AH1112" s="22"/>
      <c r="AI1112" s="22"/>
      <c r="AJ1112" s="22"/>
      <c r="AK1112" s="22"/>
      <c r="AL1112" s="22"/>
      <c r="AM1112" s="22"/>
      <c r="AN1112" s="22"/>
      <c r="AO1112" s="22"/>
      <c r="AP1112" s="22"/>
    </row>
    <row r="1113" ht="25.5" customHeight="1">
      <c r="H1113" s="384"/>
      <c r="I1113" s="384"/>
      <c r="J1113" s="378"/>
      <c r="AG1113" s="383"/>
      <c r="AH1113" s="22"/>
      <c r="AI1113" s="22"/>
      <c r="AJ1113" s="22"/>
      <c r="AK1113" s="22"/>
      <c r="AL1113" s="22"/>
      <c r="AM1113" s="22"/>
      <c r="AN1113" s="22"/>
      <c r="AO1113" s="22"/>
      <c r="AP1113" s="22"/>
    </row>
    <row r="1114" ht="25.5" customHeight="1">
      <c r="H1114" s="384"/>
      <c r="I1114" s="384"/>
      <c r="J1114" s="378"/>
      <c r="AG1114" s="383"/>
      <c r="AH1114" s="22"/>
      <c r="AI1114" s="22"/>
      <c r="AJ1114" s="22"/>
      <c r="AK1114" s="22"/>
      <c r="AL1114" s="22"/>
      <c r="AM1114" s="22"/>
      <c r="AN1114" s="22"/>
      <c r="AO1114" s="22"/>
      <c r="AP1114" s="22"/>
    </row>
    <row r="1115" ht="25.5" customHeight="1">
      <c r="H1115" s="384"/>
      <c r="I1115" s="384"/>
      <c r="J1115" s="378"/>
      <c r="AG1115" s="383"/>
      <c r="AH1115" s="22"/>
      <c r="AI1115" s="22"/>
      <c r="AJ1115" s="22"/>
      <c r="AK1115" s="22"/>
      <c r="AL1115" s="22"/>
      <c r="AM1115" s="22"/>
      <c r="AN1115" s="22"/>
      <c r="AO1115" s="22"/>
      <c r="AP1115" s="22"/>
    </row>
    <row r="1116" ht="25.5" customHeight="1">
      <c r="H1116" s="384"/>
      <c r="I1116" s="384"/>
      <c r="J1116" s="378"/>
      <c r="AG1116" s="383"/>
      <c r="AH1116" s="22"/>
      <c r="AI1116" s="22"/>
      <c r="AJ1116" s="22"/>
      <c r="AK1116" s="22"/>
      <c r="AL1116" s="22"/>
      <c r="AM1116" s="22"/>
      <c r="AN1116" s="22"/>
      <c r="AO1116" s="22"/>
      <c r="AP1116" s="22"/>
    </row>
    <row r="1117" ht="25.5" customHeight="1">
      <c r="H1117" s="384"/>
      <c r="I1117" s="384"/>
      <c r="J1117" s="378"/>
      <c r="AG1117" s="383"/>
      <c r="AH1117" s="22"/>
      <c r="AI1117" s="22"/>
      <c r="AJ1117" s="22"/>
      <c r="AK1117" s="22"/>
      <c r="AL1117" s="22"/>
      <c r="AM1117" s="22"/>
      <c r="AN1117" s="22"/>
      <c r="AO1117" s="22"/>
      <c r="AP1117" s="22"/>
    </row>
    <row r="1118" ht="25.5" customHeight="1">
      <c r="H1118" s="384"/>
      <c r="I1118" s="384"/>
      <c r="J1118" s="378"/>
      <c r="AG1118" s="383"/>
      <c r="AH1118" s="22"/>
      <c r="AI1118" s="22"/>
      <c r="AJ1118" s="22"/>
      <c r="AK1118" s="22"/>
      <c r="AL1118" s="22"/>
      <c r="AM1118" s="22"/>
      <c r="AN1118" s="22"/>
      <c r="AO1118" s="22"/>
      <c r="AP1118" s="22"/>
    </row>
    <row r="1119" ht="25.5" customHeight="1">
      <c r="H1119" s="384"/>
      <c r="I1119" s="384"/>
      <c r="J1119" s="378"/>
      <c r="AG1119" s="383"/>
      <c r="AH1119" s="22"/>
      <c r="AI1119" s="22"/>
      <c r="AJ1119" s="22"/>
      <c r="AK1119" s="22"/>
      <c r="AL1119" s="22"/>
      <c r="AM1119" s="22"/>
      <c r="AN1119" s="22"/>
      <c r="AO1119" s="22"/>
      <c r="AP1119" s="22"/>
    </row>
    <row r="1120" ht="25.5" customHeight="1">
      <c r="H1120" s="384"/>
      <c r="I1120" s="384"/>
      <c r="J1120" s="378"/>
      <c r="AG1120" s="383"/>
      <c r="AH1120" s="22"/>
      <c r="AI1120" s="22"/>
      <c r="AJ1120" s="22"/>
      <c r="AK1120" s="22"/>
      <c r="AL1120" s="22"/>
      <c r="AM1120" s="22"/>
      <c r="AN1120" s="22"/>
      <c r="AO1120" s="22"/>
      <c r="AP1120" s="22"/>
    </row>
    <row r="1121" ht="25.5" customHeight="1">
      <c r="H1121" s="384"/>
      <c r="I1121" s="384"/>
      <c r="J1121" s="378"/>
      <c r="AG1121" s="383"/>
      <c r="AH1121" s="22"/>
      <c r="AI1121" s="22"/>
      <c r="AJ1121" s="22"/>
      <c r="AK1121" s="22"/>
      <c r="AL1121" s="22"/>
      <c r="AM1121" s="22"/>
      <c r="AN1121" s="22"/>
      <c r="AO1121" s="22"/>
      <c r="AP1121" s="22"/>
    </row>
    <row r="1122" ht="25.5" customHeight="1">
      <c r="H1122" s="384"/>
      <c r="I1122" s="384"/>
      <c r="J1122" s="378"/>
      <c r="AG1122" s="383"/>
      <c r="AH1122" s="22"/>
      <c r="AI1122" s="22"/>
      <c r="AJ1122" s="22"/>
      <c r="AK1122" s="22"/>
      <c r="AL1122" s="22"/>
      <c r="AM1122" s="22"/>
      <c r="AN1122" s="22"/>
      <c r="AO1122" s="22"/>
      <c r="AP1122" s="22"/>
    </row>
    <row r="1123" ht="25.5" customHeight="1">
      <c r="H1123" s="384"/>
      <c r="I1123" s="384"/>
      <c r="J1123" s="378"/>
      <c r="AG1123" s="383"/>
      <c r="AH1123" s="22"/>
      <c r="AI1123" s="22"/>
      <c r="AJ1123" s="22"/>
      <c r="AK1123" s="22"/>
      <c r="AL1123" s="22"/>
      <c r="AM1123" s="22"/>
      <c r="AN1123" s="22"/>
      <c r="AO1123" s="22"/>
      <c r="AP1123" s="22"/>
    </row>
    <row r="1124" ht="25.5" customHeight="1">
      <c r="H1124" s="384"/>
      <c r="I1124" s="384"/>
      <c r="J1124" s="378"/>
      <c r="AG1124" s="383"/>
      <c r="AH1124" s="22"/>
      <c r="AI1124" s="22"/>
      <c r="AJ1124" s="22"/>
      <c r="AK1124" s="22"/>
      <c r="AL1124" s="22"/>
      <c r="AM1124" s="22"/>
      <c r="AN1124" s="22"/>
      <c r="AO1124" s="22"/>
      <c r="AP1124" s="22"/>
    </row>
    <row r="1125" ht="25.5" customHeight="1">
      <c r="H1125" s="384"/>
      <c r="I1125" s="384"/>
      <c r="J1125" s="378"/>
      <c r="AG1125" s="383"/>
      <c r="AH1125" s="22"/>
      <c r="AI1125" s="22"/>
      <c r="AJ1125" s="22"/>
      <c r="AK1125" s="22"/>
      <c r="AL1125" s="22"/>
      <c r="AM1125" s="22"/>
      <c r="AN1125" s="22"/>
      <c r="AO1125" s="22"/>
      <c r="AP1125" s="22"/>
    </row>
    <row r="1126" ht="25.5" customHeight="1">
      <c r="H1126" s="384"/>
      <c r="I1126" s="384"/>
      <c r="J1126" s="378"/>
      <c r="AG1126" s="383"/>
      <c r="AH1126" s="22"/>
      <c r="AI1126" s="22"/>
      <c r="AJ1126" s="22"/>
      <c r="AK1126" s="22"/>
      <c r="AL1126" s="22"/>
      <c r="AM1126" s="22"/>
      <c r="AN1126" s="22"/>
      <c r="AO1126" s="22"/>
      <c r="AP1126" s="22"/>
    </row>
    <row r="1127" ht="25.5" customHeight="1">
      <c r="H1127" s="384"/>
      <c r="I1127" s="384"/>
      <c r="J1127" s="378"/>
      <c r="AG1127" s="383"/>
      <c r="AH1127" s="22"/>
      <c r="AI1127" s="22"/>
      <c r="AJ1127" s="22"/>
      <c r="AK1127" s="22"/>
      <c r="AL1127" s="22"/>
      <c r="AM1127" s="22"/>
      <c r="AN1127" s="22"/>
      <c r="AO1127" s="22"/>
      <c r="AP1127" s="22"/>
    </row>
    <row r="1128" ht="25.5" customHeight="1">
      <c r="H1128" s="384"/>
      <c r="I1128" s="384"/>
      <c r="J1128" s="378"/>
      <c r="AG1128" s="383"/>
      <c r="AH1128" s="22"/>
      <c r="AI1128" s="22"/>
      <c r="AJ1128" s="22"/>
      <c r="AK1128" s="22"/>
      <c r="AL1128" s="22"/>
      <c r="AM1128" s="22"/>
      <c r="AN1128" s="22"/>
      <c r="AO1128" s="22"/>
      <c r="AP1128" s="22"/>
    </row>
    <row r="1129" ht="25.5" customHeight="1">
      <c r="H1129" s="384"/>
      <c r="I1129" s="384"/>
      <c r="J1129" s="378"/>
      <c r="AG1129" s="383"/>
      <c r="AH1129" s="22"/>
      <c r="AI1129" s="22"/>
      <c r="AJ1129" s="22"/>
      <c r="AK1129" s="22"/>
      <c r="AL1129" s="22"/>
      <c r="AM1129" s="22"/>
      <c r="AN1129" s="22"/>
      <c r="AO1129" s="22"/>
      <c r="AP1129" s="22"/>
    </row>
    <row r="1130" ht="25.5" customHeight="1">
      <c r="H1130" s="384"/>
      <c r="I1130" s="384"/>
      <c r="J1130" s="378"/>
      <c r="AG1130" s="383"/>
      <c r="AH1130" s="22"/>
      <c r="AI1130" s="22"/>
      <c r="AJ1130" s="22"/>
      <c r="AK1130" s="22"/>
      <c r="AL1130" s="22"/>
      <c r="AM1130" s="22"/>
      <c r="AN1130" s="22"/>
      <c r="AO1130" s="22"/>
      <c r="AP1130" s="22"/>
    </row>
    <row r="1131" ht="25.5" customHeight="1">
      <c r="H1131" s="384"/>
      <c r="I1131" s="384"/>
      <c r="J1131" s="378"/>
      <c r="AG1131" s="383"/>
      <c r="AH1131" s="22"/>
      <c r="AI1131" s="22"/>
      <c r="AJ1131" s="22"/>
      <c r="AK1131" s="22"/>
      <c r="AL1131" s="22"/>
      <c r="AM1131" s="22"/>
      <c r="AN1131" s="22"/>
      <c r="AO1131" s="22"/>
      <c r="AP1131" s="22"/>
    </row>
    <row r="1132" ht="25.5" customHeight="1">
      <c r="H1132" s="384"/>
      <c r="I1132" s="384"/>
      <c r="J1132" s="378"/>
      <c r="AG1132" s="383"/>
      <c r="AH1132" s="22"/>
      <c r="AI1132" s="22"/>
      <c r="AJ1132" s="22"/>
      <c r="AK1132" s="22"/>
      <c r="AL1132" s="22"/>
      <c r="AM1132" s="22"/>
      <c r="AN1132" s="22"/>
      <c r="AO1132" s="22"/>
      <c r="AP1132" s="22"/>
    </row>
    <row r="1133" ht="25.5" customHeight="1">
      <c r="H1133" s="384"/>
      <c r="I1133" s="384"/>
      <c r="J1133" s="378"/>
      <c r="AG1133" s="383"/>
      <c r="AH1133" s="22"/>
      <c r="AI1133" s="22"/>
      <c r="AJ1133" s="22"/>
      <c r="AK1133" s="22"/>
      <c r="AL1133" s="22"/>
      <c r="AM1133" s="22"/>
      <c r="AN1133" s="22"/>
      <c r="AO1133" s="22"/>
      <c r="AP1133" s="22"/>
    </row>
    <row r="1134" ht="25.5" customHeight="1">
      <c r="H1134" s="384"/>
      <c r="I1134" s="384"/>
      <c r="J1134" s="378"/>
      <c r="AG1134" s="383"/>
      <c r="AH1134" s="22"/>
      <c r="AI1134" s="22"/>
      <c r="AJ1134" s="22"/>
      <c r="AK1134" s="22"/>
      <c r="AL1134" s="22"/>
      <c r="AM1134" s="22"/>
      <c r="AN1134" s="22"/>
      <c r="AO1134" s="22"/>
      <c r="AP1134" s="22"/>
    </row>
    <row r="1135" ht="25.5" customHeight="1">
      <c r="H1135" s="384"/>
      <c r="I1135" s="384"/>
      <c r="J1135" s="378"/>
      <c r="AG1135" s="383"/>
      <c r="AH1135" s="22"/>
      <c r="AI1135" s="22"/>
      <c r="AJ1135" s="22"/>
      <c r="AK1135" s="22"/>
      <c r="AL1135" s="22"/>
      <c r="AM1135" s="22"/>
      <c r="AN1135" s="22"/>
      <c r="AO1135" s="22"/>
      <c r="AP1135" s="22"/>
    </row>
    <row r="1136" ht="25.5" customHeight="1">
      <c r="H1136" s="384"/>
      <c r="I1136" s="384"/>
      <c r="J1136" s="378"/>
      <c r="AG1136" s="383"/>
      <c r="AH1136" s="22"/>
      <c r="AI1136" s="22"/>
      <c r="AJ1136" s="22"/>
      <c r="AK1136" s="22"/>
      <c r="AL1136" s="22"/>
      <c r="AM1136" s="22"/>
      <c r="AN1136" s="22"/>
      <c r="AO1136" s="22"/>
      <c r="AP1136" s="22"/>
    </row>
    <row r="1137" ht="25.5" customHeight="1">
      <c r="H1137" s="384"/>
      <c r="I1137" s="384"/>
      <c r="J1137" s="378"/>
      <c r="AG1137" s="383"/>
      <c r="AH1137" s="22"/>
      <c r="AI1137" s="22"/>
      <c r="AJ1137" s="22"/>
      <c r="AK1137" s="22"/>
      <c r="AL1137" s="22"/>
      <c r="AM1137" s="22"/>
      <c r="AN1137" s="22"/>
      <c r="AO1137" s="22"/>
      <c r="AP1137" s="22"/>
    </row>
    <row r="1138" ht="25.5" customHeight="1">
      <c r="H1138" s="384"/>
      <c r="I1138" s="384"/>
      <c r="J1138" s="378"/>
      <c r="AG1138" s="383"/>
      <c r="AH1138" s="22"/>
      <c r="AI1138" s="22"/>
      <c r="AJ1138" s="22"/>
      <c r="AK1138" s="22"/>
      <c r="AL1138" s="22"/>
      <c r="AM1138" s="22"/>
      <c r="AN1138" s="22"/>
      <c r="AO1138" s="22"/>
      <c r="AP1138" s="22"/>
    </row>
    <row r="1139" ht="25.5" customHeight="1">
      <c r="H1139" s="384"/>
      <c r="I1139" s="384"/>
      <c r="J1139" s="378"/>
      <c r="AG1139" s="383"/>
      <c r="AH1139" s="22"/>
      <c r="AI1139" s="22"/>
      <c r="AJ1139" s="22"/>
      <c r="AK1139" s="22"/>
      <c r="AL1139" s="22"/>
      <c r="AM1139" s="22"/>
      <c r="AN1139" s="22"/>
      <c r="AO1139" s="22"/>
      <c r="AP1139" s="22"/>
    </row>
    <row r="1140" ht="25.5" customHeight="1">
      <c r="H1140" s="384"/>
      <c r="I1140" s="384"/>
      <c r="J1140" s="378"/>
      <c r="AG1140" s="383"/>
      <c r="AH1140" s="22"/>
      <c r="AI1140" s="22"/>
      <c r="AJ1140" s="22"/>
      <c r="AK1140" s="22"/>
      <c r="AL1140" s="22"/>
      <c r="AM1140" s="22"/>
      <c r="AN1140" s="22"/>
      <c r="AO1140" s="22"/>
      <c r="AP1140" s="22"/>
    </row>
    <row r="1141" ht="25.5" customHeight="1">
      <c r="H1141" s="384"/>
      <c r="I1141" s="384"/>
      <c r="J1141" s="378"/>
      <c r="AG1141" s="383"/>
      <c r="AH1141" s="22"/>
      <c r="AI1141" s="22"/>
      <c r="AJ1141" s="22"/>
      <c r="AK1141" s="22"/>
      <c r="AL1141" s="22"/>
      <c r="AM1141" s="22"/>
      <c r="AN1141" s="22"/>
      <c r="AO1141" s="22"/>
      <c r="AP1141" s="22"/>
    </row>
    <row r="1142" ht="25.5" customHeight="1">
      <c r="H1142" s="384"/>
      <c r="I1142" s="384"/>
      <c r="J1142" s="378"/>
      <c r="AG1142" s="383"/>
      <c r="AH1142" s="22"/>
      <c r="AI1142" s="22"/>
      <c r="AJ1142" s="22"/>
      <c r="AK1142" s="22"/>
      <c r="AL1142" s="22"/>
      <c r="AM1142" s="22"/>
      <c r="AN1142" s="22"/>
      <c r="AO1142" s="22"/>
      <c r="AP1142" s="22"/>
    </row>
    <row r="1143" ht="25.5" customHeight="1">
      <c r="H1143" s="384"/>
      <c r="I1143" s="384"/>
      <c r="J1143" s="378"/>
      <c r="AG1143" s="383"/>
      <c r="AH1143" s="22"/>
      <c r="AI1143" s="22"/>
      <c r="AJ1143" s="22"/>
      <c r="AK1143" s="22"/>
      <c r="AL1143" s="22"/>
      <c r="AM1143" s="22"/>
      <c r="AN1143" s="22"/>
      <c r="AO1143" s="22"/>
      <c r="AP1143" s="22"/>
    </row>
    <row r="1144" ht="25.5" customHeight="1">
      <c r="H1144" s="384"/>
      <c r="I1144" s="384"/>
      <c r="J1144" s="378"/>
      <c r="AG1144" s="383"/>
      <c r="AH1144" s="22"/>
      <c r="AI1144" s="22"/>
      <c r="AJ1144" s="22"/>
      <c r="AK1144" s="22"/>
      <c r="AL1144" s="22"/>
      <c r="AM1144" s="22"/>
      <c r="AN1144" s="22"/>
      <c r="AO1144" s="22"/>
      <c r="AP1144" s="22"/>
    </row>
    <row r="1145" ht="25.5" customHeight="1">
      <c r="H1145" s="384"/>
      <c r="I1145" s="384"/>
      <c r="J1145" s="378"/>
      <c r="AG1145" s="383"/>
      <c r="AH1145" s="22"/>
      <c r="AI1145" s="22"/>
      <c r="AJ1145" s="22"/>
      <c r="AK1145" s="22"/>
      <c r="AL1145" s="22"/>
      <c r="AM1145" s="22"/>
      <c r="AN1145" s="22"/>
      <c r="AO1145" s="22"/>
      <c r="AP1145" s="22"/>
    </row>
    <row r="1146" ht="25.5" customHeight="1">
      <c r="H1146" s="384"/>
      <c r="I1146" s="384"/>
      <c r="J1146" s="378"/>
      <c r="AG1146" s="383"/>
      <c r="AH1146" s="22"/>
      <c r="AI1146" s="22"/>
      <c r="AJ1146" s="22"/>
      <c r="AK1146" s="22"/>
      <c r="AL1146" s="22"/>
      <c r="AM1146" s="22"/>
      <c r="AN1146" s="22"/>
      <c r="AO1146" s="22"/>
      <c r="AP1146" s="22"/>
    </row>
    <row r="1147" ht="25.5" customHeight="1">
      <c r="H1147" s="384"/>
      <c r="I1147" s="384"/>
      <c r="J1147" s="378"/>
      <c r="AG1147" s="383"/>
      <c r="AH1147" s="22"/>
      <c r="AI1147" s="22"/>
      <c r="AJ1147" s="22"/>
      <c r="AK1147" s="22"/>
      <c r="AL1147" s="22"/>
      <c r="AM1147" s="22"/>
      <c r="AN1147" s="22"/>
      <c r="AO1147" s="22"/>
      <c r="AP1147" s="22"/>
    </row>
    <row r="1148" ht="25.5" customHeight="1">
      <c r="H1148" s="384"/>
      <c r="I1148" s="384"/>
      <c r="J1148" s="378"/>
      <c r="AG1148" s="383"/>
      <c r="AH1148" s="22"/>
      <c r="AI1148" s="22"/>
      <c r="AJ1148" s="22"/>
      <c r="AK1148" s="22"/>
      <c r="AL1148" s="22"/>
      <c r="AM1148" s="22"/>
      <c r="AN1148" s="22"/>
      <c r="AO1148" s="22"/>
      <c r="AP1148" s="22"/>
    </row>
    <row r="1149" ht="25.5" customHeight="1">
      <c r="H1149" s="384"/>
      <c r="I1149" s="384"/>
      <c r="J1149" s="378"/>
      <c r="AG1149" s="383"/>
      <c r="AH1149" s="22"/>
      <c r="AI1149" s="22"/>
      <c r="AJ1149" s="22"/>
      <c r="AK1149" s="22"/>
      <c r="AL1149" s="22"/>
      <c r="AM1149" s="22"/>
      <c r="AN1149" s="22"/>
      <c r="AO1149" s="22"/>
      <c r="AP1149" s="22"/>
    </row>
    <row r="1150" ht="25.5" customHeight="1">
      <c r="H1150" s="384"/>
      <c r="I1150" s="384"/>
      <c r="J1150" s="378"/>
      <c r="AG1150" s="383"/>
      <c r="AH1150" s="22"/>
      <c r="AI1150" s="22"/>
      <c r="AJ1150" s="22"/>
      <c r="AK1150" s="22"/>
      <c r="AL1150" s="22"/>
      <c r="AM1150" s="22"/>
      <c r="AN1150" s="22"/>
      <c r="AO1150" s="22"/>
      <c r="AP1150" s="22"/>
    </row>
    <row r="1151" ht="25.5" customHeight="1">
      <c r="H1151" s="384"/>
      <c r="I1151" s="384"/>
      <c r="J1151" s="378"/>
      <c r="AG1151" s="383"/>
      <c r="AH1151" s="22"/>
      <c r="AI1151" s="22"/>
      <c r="AJ1151" s="22"/>
      <c r="AK1151" s="22"/>
      <c r="AL1151" s="22"/>
      <c r="AM1151" s="22"/>
      <c r="AN1151" s="22"/>
      <c r="AO1151" s="22"/>
      <c r="AP1151" s="22"/>
    </row>
    <row r="1152" ht="25.5" customHeight="1">
      <c r="H1152" s="384"/>
      <c r="I1152" s="384"/>
      <c r="J1152" s="378"/>
      <c r="AG1152" s="383"/>
      <c r="AH1152" s="22"/>
      <c r="AI1152" s="22"/>
      <c r="AJ1152" s="22"/>
      <c r="AK1152" s="22"/>
      <c r="AL1152" s="22"/>
      <c r="AM1152" s="22"/>
      <c r="AN1152" s="22"/>
      <c r="AO1152" s="22"/>
      <c r="AP1152" s="22"/>
    </row>
    <row r="1153" ht="25.5" customHeight="1">
      <c r="H1153" s="384"/>
      <c r="I1153" s="384"/>
      <c r="J1153" s="378"/>
      <c r="AG1153" s="383"/>
      <c r="AH1153" s="22"/>
      <c r="AI1153" s="22"/>
      <c r="AJ1153" s="22"/>
      <c r="AK1153" s="22"/>
      <c r="AL1153" s="22"/>
      <c r="AM1153" s="22"/>
      <c r="AN1153" s="22"/>
      <c r="AO1153" s="22"/>
      <c r="AP1153" s="22"/>
    </row>
    <row r="1154" ht="25.5" customHeight="1">
      <c r="H1154" s="384"/>
      <c r="I1154" s="384"/>
      <c r="J1154" s="378"/>
      <c r="AG1154" s="383"/>
      <c r="AH1154" s="22"/>
      <c r="AI1154" s="22"/>
      <c r="AJ1154" s="22"/>
      <c r="AK1154" s="22"/>
      <c r="AL1154" s="22"/>
      <c r="AM1154" s="22"/>
      <c r="AN1154" s="22"/>
      <c r="AO1154" s="22"/>
      <c r="AP1154" s="22"/>
    </row>
    <row r="1155" ht="25.5" customHeight="1">
      <c r="H1155" s="384"/>
      <c r="I1155" s="384"/>
      <c r="J1155" s="378"/>
      <c r="AG1155" s="383"/>
      <c r="AH1155" s="22"/>
      <c r="AI1155" s="22"/>
      <c r="AJ1155" s="22"/>
      <c r="AK1155" s="22"/>
      <c r="AL1155" s="22"/>
      <c r="AM1155" s="22"/>
      <c r="AN1155" s="22"/>
      <c r="AO1155" s="22"/>
      <c r="AP1155" s="22"/>
    </row>
    <row r="1156" ht="25.5" customHeight="1">
      <c r="H1156" s="384"/>
      <c r="I1156" s="384"/>
      <c r="J1156" s="378"/>
      <c r="AG1156" s="383"/>
      <c r="AH1156" s="22"/>
      <c r="AI1156" s="22"/>
      <c r="AJ1156" s="22"/>
      <c r="AK1156" s="22"/>
      <c r="AL1156" s="22"/>
      <c r="AM1156" s="22"/>
      <c r="AN1156" s="22"/>
      <c r="AO1156" s="22"/>
      <c r="AP1156" s="22"/>
    </row>
    <row r="1157" ht="25.5" customHeight="1">
      <c r="H1157" s="384"/>
      <c r="I1157" s="384"/>
      <c r="J1157" s="378"/>
      <c r="AG1157" s="383"/>
      <c r="AH1157" s="22"/>
      <c r="AI1157" s="22"/>
      <c r="AJ1157" s="22"/>
      <c r="AK1157" s="22"/>
      <c r="AL1157" s="22"/>
      <c r="AM1157" s="22"/>
      <c r="AN1157" s="22"/>
      <c r="AO1157" s="22"/>
      <c r="AP1157" s="22"/>
    </row>
    <row r="1158" ht="25.5" customHeight="1">
      <c r="H1158" s="384"/>
      <c r="I1158" s="384"/>
      <c r="J1158" s="378"/>
      <c r="AG1158" s="383"/>
      <c r="AH1158" s="22"/>
      <c r="AI1158" s="22"/>
      <c r="AJ1158" s="22"/>
      <c r="AK1158" s="22"/>
      <c r="AL1158" s="22"/>
      <c r="AM1158" s="22"/>
      <c r="AN1158" s="22"/>
      <c r="AO1158" s="22"/>
      <c r="AP1158" s="22"/>
    </row>
    <row r="1159" ht="25.5" customHeight="1">
      <c r="H1159" s="384"/>
      <c r="I1159" s="384"/>
      <c r="J1159" s="378"/>
      <c r="AG1159" s="383"/>
      <c r="AH1159" s="22"/>
      <c r="AI1159" s="22"/>
      <c r="AJ1159" s="22"/>
      <c r="AK1159" s="22"/>
      <c r="AL1159" s="22"/>
      <c r="AM1159" s="22"/>
      <c r="AN1159" s="22"/>
      <c r="AO1159" s="22"/>
      <c r="AP1159" s="22"/>
    </row>
    <row r="1160" ht="25.5" customHeight="1">
      <c r="H1160" s="384"/>
      <c r="I1160" s="384"/>
      <c r="J1160" s="378"/>
      <c r="AG1160" s="383"/>
      <c r="AH1160" s="22"/>
      <c r="AI1160" s="22"/>
      <c r="AJ1160" s="22"/>
      <c r="AK1160" s="22"/>
      <c r="AL1160" s="22"/>
      <c r="AM1160" s="22"/>
      <c r="AN1160" s="22"/>
      <c r="AO1160" s="22"/>
      <c r="AP1160" s="22"/>
    </row>
    <row r="1161" ht="25.5" customHeight="1">
      <c r="H1161" s="384"/>
      <c r="I1161" s="384"/>
      <c r="J1161" s="378"/>
      <c r="AG1161" s="383"/>
      <c r="AH1161" s="22"/>
      <c r="AI1161" s="22"/>
      <c r="AJ1161" s="22"/>
      <c r="AK1161" s="22"/>
      <c r="AL1161" s="22"/>
      <c r="AM1161" s="22"/>
      <c r="AN1161" s="22"/>
      <c r="AO1161" s="22"/>
      <c r="AP1161" s="22"/>
    </row>
    <row r="1162" ht="25.5" customHeight="1">
      <c r="H1162" s="384"/>
      <c r="I1162" s="384"/>
      <c r="J1162" s="378"/>
      <c r="AG1162" s="383"/>
      <c r="AH1162" s="22"/>
      <c r="AI1162" s="22"/>
      <c r="AJ1162" s="22"/>
      <c r="AK1162" s="22"/>
      <c r="AL1162" s="22"/>
      <c r="AM1162" s="22"/>
      <c r="AN1162" s="22"/>
      <c r="AO1162" s="22"/>
      <c r="AP1162" s="22"/>
    </row>
    <row r="1163" ht="25.5" customHeight="1">
      <c r="H1163" s="384"/>
      <c r="I1163" s="384"/>
      <c r="J1163" s="378"/>
      <c r="AG1163" s="383"/>
      <c r="AH1163" s="22"/>
      <c r="AI1163" s="22"/>
      <c r="AJ1163" s="22"/>
      <c r="AK1163" s="22"/>
      <c r="AL1163" s="22"/>
      <c r="AM1163" s="22"/>
      <c r="AN1163" s="22"/>
      <c r="AO1163" s="22"/>
      <c r="AP1163" s="22"/>
    </row>
    <row r="1164" ht="25.5" customHeight="1">
      <c r="H1164" s="384"/>
      <c r="I1164" s="384"/>
      <c r="J1164" s="378"/>
      <c r="AG1164" s="383"/>
      <c r="AH1164" s="22"/>
      <c r="AI1164" s="22"/>
      <c r="AJ1164" s="22"/>
      <c r="AK1164" s="22"/>
      <c r="AL1164" s="22"/>
      <c r="AM1164" s="22"/>
      <c r="AN1164" s="22"/>
      <c r="AO1164" s="22"/>
      <c r="AP1164" s="22"/>
    </row>
    <row r="1165" ht="25.5" customHeight="1">
      <c r="H1165" s="384"/>
      <c r="I1165" s="384"/>
      <c r="J1165" s="378"/>
      <c r="AG1165" s="383"/>
      <c r="AH1165" s="22"/>
      <c r="AI1165" s="22"/>
      <c r="AJ1165" s="22"/>
      <c r="AK1165" s="22"/>
      <c r="AL1165" s="22"/>
      <c r="AM1165" s="22"/>
      <c r="AN1165" s="22"/>
      <c r="AO1165" s="22"/>
      <c r="AP1165" s="22"/>
    </row>
    <row r="1166" ht="25.5" customHeight="1">
      <c r="H1166" s="384"/>
      <c r="I1166" s="384"/>
      <c r="J1166" s="378"/>
      <c r="AG1166" s="383"/>
      <c r="AH1166" s="22"/>
      <c r="AI1166" s="22"/>
      <c r="AJ1166" s="22"/>
      <c r="AK1166" s="22"/>
      <c r="AL1166" s="22"/>
      <c r="AM1166" s="22"/>
      <c r="AN1166" s="22"/>
      <c r="AO1166" s="22"/>
      <c r="AP1166" s="22"/>
    </row>
    <row r="1167" ht="25.5" customHeight="1">
      <c r="H1167" s="384"/>
      <c r="I1167" s="384"/>
      <c r="J1167" s="378"/>
      <c r="AG1167" s="383"/>
      <c r="AH1167" s="22"/>
      <c r="AI1167" s="22"/>
      <c r="AJ1167" s="22"/>
      <c r="AK1167" s="22"/>
      <c r="AL1167" s="22"/>
      <c r="AM1167" s="22"/>
      <c r="AN1167" s="22"/>
      <c r="AO1167" s="22"/>
      <c r="AP1167" s="22"/>
    </row>
    <row r="1168" ht="25.5" customHeight="1">
      <c r="H1168" s="384"/>
      <c r="I1168" s="384"/>
      <c r="J1168" s="378"/>
      <c r="AG1168" s="383"/>
      <c r="AH1168" s="22"/>
      <c r="AI1168" s="22"/>
      <c r="AJ1168" s="22"/>
      <c r="AK1168" s="22"/>
      <c r="AL1168" s="22"/>
      <c r="AM1168" s="22"/>
      <c r="AN1168" s="22"/>
      <c r="AO1168" s="22"/>
      <c r="AP1168" s="22"/>
    </row>
    <row r="1169" ht="25.5" customHeight="1">
      <c r="H1169" s="384"/>
      <c r="I1169" s="384"/>
      <c r="J1169" s="378"/>
      <c r="AG1169" s="383"/>
      <c r="AH1169" s="22"/>
      <c r="AI1169" s="22"/>
      <c r="AJ1169" s="22"/>
      <c r="AK1169" s="22"/>
      <c r="AL1169" s="22"/>
      <c r="AM1169" s="22"/>
      <c r="AN1169" s="22"/>
      <c r="AO1169" s="22"/>
      <c r="AP1169" s="22"/>
    </row>
    <row r="1170" ht="25.5" customHeight="1">
      <c r="H1170" s="384"/>
      <c r="I1170" s="384"/>
      <c r="J1170" s="378"/>
      <c r="AG1170" s="383"/>
      <c r="AH1170" s="22"/>
      <c r="AI1170" s="22"/>
      <c r="AJ1170" s="22"/>
      <c r="AK1170" s="22"/>
      <c r="AL1170" s="22"/>
      <c r="AM1170" s="22"/>
      <c r="AN1170" s="22"/>
      <c r="AO1170" s="22"/>
      <c r="AP1170" s="22"/>
    </row>
    <row r="1171" ht="25.5" customHeight="1">
      <c r="H1171" s="384"/>
      <c r="I1171" s="384"/>
      <c r="J1171" s="378"/>
      <c r="AG1171" s="383"/>
      <c r="AH1171" s="22"/>
      <c r="AI1171" s="22"/>
      <c r="AJ1171" s="22"/>
      <c r="AK1171" s="22"/>
      <c r="AL1171" s="22"/>
      <c r="AM1171" s="22"/>
      <c r="AN1171" s="22"/>
      <c r="AO1171" s="22"/>
      <c r="AP1171" s="22"/>
    </row>
    <row r="1172" ht="25.5" customHeight="1">
      <c r="H1172" s="384"/>
      <c r="I1172" s="384"/>
      <c r="J1172" s="378"/>
      <c r="AG1172" s="383"/>
      <c r="AH1172" s="22"/>
      <c r="AI1172" s="22"/>
      <c r="AJ1172" s="22"/>
      <c r="AK1172" s="22"/>
      <c r="AL1172" s="22"/>
      <c r="AM1172" s="22"/>
      <c r="AN1172" s="22"/>
      <c r="AO1172" s="22"/>
      <c r="AP1172" s="22"/>
    </row>
    <row r="1173" ht="25.5" customHeight="1">
      <c r="H1173" s="384"/>
      <c r="I1173" s="384"/>
      <c r="J1173" s="378"/>
      <c r="AG1173" s="383"/>
      <c r="AH1173" s="22"/>
      <c r="AI1173" s="22"/>
      <c r="AJ1173" s="22"/>
      <c r="AK1173" s="22"/>
      <c r="AL1173" s="22"/>
      <c r="AM1173" s="22"/>
      <c r="AN1173" s="22"/>
      <c r="AO1173" s="22"/>
      <c r="AP1173" s="22"/>
    </row>
    <row r="1174" ht="25.5" customHeight="1">
      <c r="H1174" s="384"/>
      <c r="I1174" s="384"/>
      <c r="J1174" s="378"/>
      <c r="AG1174" s="383"/>
      <c r="AH1174" s="22"/>
      <c r="AI1174" s="22"/>
      <c r="AJ1174" s="22"/>
      <c r="AK1174" s="22"/>
      <c r="AL1174" s="22"/>
      <c r="AM1174" s="22"/>
      <c r="AN1174" s="22"/>
      <c r="AO1174" s="22"/>
      <c r="AP1174" s="22"/>
    </row>
    <row r="1175" ht="25.5" customHeight="1">
      <c r="H1175" s="384"/>
      <c r="I1175" s="384"/>
      <c r="J1175" s="378"/>
      <c r="AG1175" s="383"/>
      <c r="AH1175" s="22"/>
      <c r="AI1175" s="22"/>
      <c r="AJ1175" s="22"/>
      <c r="AK1175" s="22"/>
      <c r="AL1175" s="22"/>
      <c r="AM1175" s="22"/>
      <c r="AN1175" s="22"/>
      <c r="AO1175" s="22"/>
      <c r="AP1175" s="22"/>
    </row>
    <row r="1176" ht="25.5" customHeight="1">
      <c r="H1176" s="384"/>
      <c r="I1176" s="384"/>
      <c r="J1176" s="378"/>
      <c r="AG1176" s="383"/>
      <c r="AH1176" s="22"/>
      <c r="AI1176" s="22"/>
      <c r="AJ1176" s="22"/>
      <c r="AK1176" s="22"/>
      <c r="AL1176" s="22"/>
      <c r="AM1176" s="22"/>
      <c r="AN1176" s="22"/>
      <c r="AO1176" s="22"/>
      <c r="AP1176" s="22"/>
    </row>
    <row r="1177" ht="25.5" customHeight="1">
      <c r="H1177" s="384"/>
      <c r="I1177" s="384"/>
      <c r="J1177" s="378"/>
      <c r="AG1177" s="383"/>
      <c r="AH1177" s="22"/>
      <c r="AI1177" s="22"/>
      <c r="AJ1177" s="22"/>
      <c r="AK1177" s="22"/>
      <c r="AL1177" s="22"/>
      <c r="AM1177" s="22"/>
      <c r="AN1177" s="22"/>
      <c r="AO1177" s="22"/>
      <c r="AP1177" s="22"/>
    </row>
    <row r="1178" ht="25.5" customHeight="1">
      <c r="H1178" s="384"/>
      <c r="I1178" s="384"/>
      <c r="J1178" s="378"/>
      <c r="AG1178" s="383"/>
      <c r="AH1178" s="22"/>
      <c r="AI1178" s="22"/>
      <c r="AJ1178" s="22"/>
      <c r="AK1178" s="22"/>
      <c r="AL1178" s="22"/>
      <c r="AM1178" s="22"/>
      <c r="AN1178" s="22"/>
      <c r="AO1178" s="22"/>
      <c r="AP1178" s="22"/>
    </row>
    <row r="1179" ht="25.5" customHeight="1">
      <c r="H1179" s="384"/>
      <c r="I1179" s="384"/>
      <c r="J1179" s="378"/>
      <c r="AG1179" s="383"/>
      <c r="AH1179" s="22"/>
      <c r="AI1179" s="22"/>
      <c r="AJ1179" s="22"/>
      <c r="AK1179" s="22"/>
      <c r="AL1179" s="22"/>
      <c r="AM1179" s="22"/>
      <c r="AN1179" s="22"/>
      <c r="AO1179" s="22"/>
      <c r="AP1179" s="22"/>
    </row>
    <row r="1180" ht="25.5" customHeight="1">
      <c r="H1180" s="384"/>
      <c r="I1180" s="384"/>
      <c r="J1180" s="378"/>
      <c r="AG1180" s="383"/>
      <c r="AH1180" s="22"/>
      <c r="AI1180" s="22"/>
      <c r="AJ1180" s="22"/>
      <c r="AK1180" s="22"/>
      <c r="AL1180" s="22"/>
      <c r="AM1180" s="22"/>
      <c r="AN1180" s="22"/>
      <c r="AO1180" s="22"/>
      <c r="AP1180" s="22"/>
    </row>
    <row r="1181" ht="25.5" customHeight="1">
      <c r="H1181" s="384"/>
      <c r="I1181" s="384"/>
      <c r="J1181" s="378"/>
      <c r="AG1181" s="383"/>
      <c r="AH1181" s="22"/>
      <c r="AI1181" s="22"/>
      <c r="AJ1181" s="22"/>
      <c r="AK1181" s="22"/>
      <c r="AL1181" s="22"/>
      <c r="AM1181" s="22"/>
      <c r="AN1181" s="22"/>
      <c r="AO1181" s="22"/>
      <c r="AP1181" s="22"/>
    </row>
    <row r="1182" ht="25.5" customHeight="1">
      <c r="H1182" s="384"/>
      <c r="I1182" s="384"/>
      <c r="J1182" s="378"/>
      <c r="AG1182" s="383"/>
      <c r="AH1182" s="22"/>
      <c r="AI1182" s="22"/>
      <c r="AJ1182" s="22"/>
      <c r="AK1182" s="22"/>
      <c r="AL1182" s="22"/>
      <c r="AM1182" s="22"/>
      <c r="AN1182" s="22"/>
      <c r="AO1182" s="22"/>
      <c r="AP1182" s="22"/>
    </row>
    <row r="1183" ht="25.5" customHeight="1">
      <c r="H1183" s="384"/>
      <c r="I1183" s="384"/>
      <c r="J1183" s="378"/>
      <c r="AG1183" s="383"/>
      <c r="AH1183" s="22"/>
      <c r="AI1183" s="22"/>
      <c r="AJ1183" s="22"/>
      <c r="AK1183" s="22"/>
      <c r="AL1183" s="22"/>
      <c r="AM1183" s="22"/>
      <c r="AN1183" s="22"/>
      <c r="AO1183" s="22"/>
      <c r="AP1183" s="22"/>
    </row>
    <row r="1184" ht="25.5" customHeight="1">
      <c r="H1184" s="384"/>
      <c r="I1184" s="384"/>
      <c r="J1184" s="378"/>
      <c r="AG1184" s="383"/>
      <c r="AH1184" s="22"/>
      <c r="AI1184" s="22"/>
      <c r="AJ1184" s="22"/>
      <c r="AK1184" s="22"/>
      <c r="AL1184" s="22"/>
      <c r="AM1184" s="22"/>
      <c r="AN1184" s="22"/>
      <c r="AO1184" s="22"/>
      <c r="AP1184" s="22"/>
    </row>
    <row r="1185" ht="25.5" customHeight="1">
      <c r="H1185" s="384"/>
      <c r="I1185" s="384"/>
      <c r="J1185" s="378"/>
      <c r="AG1185" s="383"/>
      <c r="AH1185" s="22"/>
      <c r="AI1185" s="22"/>
      <c r="AJ1185" s="22"/>
      <c r="AK1185" s="22"/>
      <c r="AL1185" s="22"/>
      <c r="AM1185" s="22"/>
      <c r="AN1185" s="22"/>
      <c r="AO1185" s="22"/>
      <c r="AP1185" s="22"/>
    </row>
    <row r="1186" ht="25.5" customHeight="1">
      <c r="H1186" s="384"/>
      <c r="I1186" s="384"/>
      <c r="J1186" s="378"/>
      <c r="AG1186" s="383"/>
      <c r="AH1186" s="22"/>
      <c r="AI1186" s="22"/>
      <c r="AJ1186" s="22"/>
      <c r="AK1186" s="22"/>
      <c r="AL1186" s="22"/>
      <c r="AM1186" s="22"/>
      <c r="AN1186" s="22"/>
      <c r="AO1186" s="22"/>
      <c r="AP1186" s="22"/>
    </row>
    <row r="1187" ht="25.5" customHeight="1">
      <c r="H1187" s="384"/>
      <c r="I1187" s="384"/>
      <c r="J1187" s="378"/>
      <c r="AG1187" s="383"/>
      <c r="AH1187" s="22"/>
      <c r="AI1187" s="22"/>
      <c r="AJ1187" s="22"/>
      <c r="AK1187" s="22"/>
      <c r="AL1187" s="22"/>
      <c r="AM1187" s="22"/>
      <c r="AN1187" s="22"/>
      <c r="AO1187" s="22"/>
      <c r="AP1187" s="22"/>
    </row>
    <row r="1188" ht="25.5" customHeight="1">
      <c r="H1188" s="384"/>
      <c r="I1188" s="384"/>
      <c r="J1188" s="378"/>
      <c r="AG1188" s="383"/>
      <c r="AH1188" s="22"/>
      <c r="AI1188" s="22"/>
      <c r="AJ1188" s="22"/>
      <c r="AK1188" s="22"/>
      <c r="AL1188" s="22"/>
      <c r="AM1188" s="22"/>
      <c r="AN1188" s="22"/>
      <c r="AO1188" s="22"/>
      <c r="AP1188" s="22"/>
    </row>
    <row r="1189" ht="25.5" customHeight="1">
      <c r="H1189" s="384"/>
      <c r="I1189" s="384"/>
      <c r="J1189" s="378"/>
      <c r="AG1189" s="383"/>
      <c r="AH1189" s="22"/>
      <c r="AI1189" s="22"/>
      <c r="AJ1189" s="22"/>
      <c r="AK1189" s="22"/>
      <c r="AL1189" s="22"/>
      <c r="AM1189" s="22"/>
      <c r="AN1189" s="22"/>
      <c r="AO1189" s="22"/>
      <c r="AP1189" s="22"/>
    </row>
    <row r="1190" ht="25.5" customHeight="1">
      <c r="H1190" s="384"/>
      <c r="I1190" s="384"/>
      <c r="J1190" s="378"/>
      <c r="AG1190" s="383"/>
      <c r="AH1190" s="22"/>
      <c r="AI1190" s="22"/>
      <c r="AJ1190" s="22"/>
      <c r="AK1190" s="22"/>
      <c r="AL1190" s="22"/>
      <c r="AM1190" s="22"/>
      <c r="AN1190" s="22"/>
      <c r="AO1190" s="22"/>
      <c r="AP1190" s="22"/>
    </row>
    <row r="1191" ht="25.5" customHeight="1">
      <c r="H1191" s="384"/>
      <c r="I1191" s="384"/>
      <c r="J1191" s="378"/>
      <c r="AG1191" s="383"/>
      <c r="AH1191" s="22"/>
      <c r="AI1191" s="22"/>
      <c r="AJ1191" s="22"/>
      <c r="AK1191" s="22"/>
      <c r="AL1191" s="22"/>
      <c r="AM1191" s="22"/>
      <c r="AN1191" s="22"/>
      <c r="AO1191" s="22"/>
      <c r="AP1191" s="22"/>
    </row>
    <row r="1192" ht="25.5" customHeight="1">
      <c r="H1192" s="384"/>
      <c r="I1192" s="384"/>
      <c r="J1192" s="378"/>
      <c r="AG1192" s="383"/>
      <c r="AH1192" s="22"/>
      <c r="AI1192" s="22"/>
      <c r="AJ1192" s="22"/>
      <c r="AK1192" s="22"/>
      <c r="AL1192" s="22"/>
      <c r="AM1192" s="22"/>
      <c r="AN1192" s="22"/>
      <c r="AO1192" s="22"/>
      <c r="AP1192" s="22"/>
    </row>
    <row r="1193" ht="25.5" customHeight="1">
      <c r="H1193" s="384"/>
      <c r="I1193" s="384"/>
      <c r="J1193" s="378"/>
      <c r="AG1193" s="383"/>
      <c r="AH1193" s="22"/>
      <c r="AI1193" s="22"/>
      <c r="AJ1193" s="22"/>
      <c r="AK1193" s="22"/>
      <c r="AL1193" s="22"/>
      <c r="AM1193" s="22"/>
      <c r="AN1193" s="22"/>
      <c r="AO1193" s="22"/>
      <c r="AP1193" s="22"/>
    </row>
    <row r="1194" ht="25.5" customHeight="1">
      <c r="H1194" s="384"/>
      <c r="I1194" s="384"/>
      <c r="J1194" s="378"/>
      <c r="AG1194" s="383"/>
      <c r="AH1194" s="22"/>
      <c r="AI1194" s="22"/>
      <c r="AJ1194" s="22"/>
      <c r="AK1194" s="22"/>
      <c r="AL1194" s="22"/>
      <c r="AM1194" s="22"/>
      <c r="AN1194" s="22"/>
      <c r="AO1194" s="22"/>
      <c r="AP1194" s="22"/>
    </row>
    <row r="1195" ht="25.5" customHeight="1">
      <c r="H1195" s="384"/>
      <c r="I1195" s="384"/>
      <c r="J1195" s="378"/>
      <c r="AG1195" s="383"/>
      <c r="AH1195" s="22"/>
      <c r="AI1195" s="22"/>
      <c r="AJ1195" s="22"/>
      <c r="AK1195" s="22"/>
      <c r="AL1195" s="22"/>
      <c r="AM1195" s="22"/>
      <c r="AN1195" s="22"/>
      <c r="AO1195" s="22"/>
      <c r="AP1195" s="22"/>
    </row>
    <row r="1196" ht="25.5" customHeight="1">
      <c r="H1196" s="384"/>
      <c r="I1196" s="384"/>
      <c r="J1196" s="378"/>
      <c r="AG1196" s="383"/>
      <c r="AH1196" s="22"/>
      <c r="AI1196" s="22"/>
      <c r="AJ1196" s="22"/>
      <c r="AK1196" s="22"/>
      <c r="AL1196" s="22"/>
      <c r="AM1196" s="22"/>
      <c r="AN1196" s="22"/>
      <c r="AO1196" s="22"/>
      <c r="AP1196" s="22"/>
    </row>
    <row r="1197" ht="25.5" customHeight="1">
      <c r="H1197" s="384"/>
      <c r="I1197" s="384"/>
      <c r="J1197" s="378"/>
      <c r="AG1197" s="383"/>
      <c r="AH1197" s="22"/>
      <c r="AI1197" s="22"/>
      <c r="AJ1197" s="22"/>
      <c r="AK1197" s="22"/>
      <c r="AL1197" s="22"/>
      <c r="AM1197" s="22"/>
      <c r="AN1197" s="22"/>
      <c r="AO1197" s="22"/>
      <c r="AP1197" s="22"/>
    </row>
    <row r="1198" ht="25.5" customHeight="1">
      <c r="H1198" s="384"/>
      <c r="I1198" s="384"/>
      <c r="J1198" s="378"/>
      <c r="AG1198" s="383"/>
      <c r="AH1198" s="22"/>
      <c r="AI1198" s="22"/>
      <c r="AJ1198" s="22"/>
      <c r="AK1198" s="22"/>
      <c r="AL1198" s="22"/>
      <c r="AM1198" s="22"/>
      <c r="AN1198" s="22"/>
      <c r="AO1198" s="22"/>
      <c r="AP1198" s="22"/>
    </row>
    <row r="1199" ht="25.5" customHeight="1">
      <c r="H1199" s="384"/>
      <c r="I1199" s="384"/>
      <c r="J1199" s="378"/>
      <c r="AG1199" s="383"/>
      <c r="AH1199" s="22"/>
      <c r="AI1199" s="22"/>
      <c r="AJ1199" s="22"/>
      <c r="AK1199" s="22"/>
      <c r="AL1199" s="22"/>
      <c r="AM1199" s="22"/>
      <c r="AN1199" s="22"/>
      <c r="AO1199" s="22"/>
      <c r="AP1199" s="22"/>
    </row>
    <row r="1200" ht="25.5" customHeight="1">
      <c r="H1200" s="384"/>
      <c r="I1200" s="384"/>
      <c r="J1200" s="378"/>
      <c r="AG1200" s="383"/>
      <c r="AH1200" s="22"/>
      <c r="AI1200" s="22"/>
      <c r="AJ1200" s="22"/>
      <c r="AK1200" s="22"/>
      <c r="AL1200" s="22"/>
      <c r="AM1200" s="22"/>
      <c r="AN1200" s="22"/>
      <c r="AO1200" s="22"/>
      <c r="AP1200" s="22"/>
    </row>
    <row r="1201" ht="25.5" customHeight="1">
      <c r="H1201" s="384"/>
      <c r="I1201" s="384"/>
      <c r="J1201" s="378"/>
      <c r="AG1201" s="383"/>
      <c r="AH1201" s="22"/>
      <c r="AI1201" s="22"/>
      <c r="AJ1201" s="22"/>
      <c r="AK1201" s="22"/>
      <c r="AL1201" s="22"/>
      <c r="AM1201" s="22"/>
      <c r="AN1201" s="22"/>
      <c r="AO1201" s="22"/>
      <c r="AP1201" s="22"/>
    </row>
    <row r="1202" ht="25.5" customHeight="1">
      <c r="H1202" s="384"/>
      <c r="I1202" s="384"/>
      <c r="J1202" s="378"/>
      <c r="AG1202" s="383"/>
      <c r="AH1202" s="22"/>
      <c r="AI1202" s="22"/>
      <c r="AJ1202" s="22"/>
      <c r="AK1202" s="22"/>
      <c r="AL1202" s="22"/>
      <c r="AM1202" s="22"/>
      <c r="AN1202" s="22"/>
      <c r="AO1202" s="22"/>
      <c r="AP1202" s="22"/>
    </row>
    <row r="1203" ht="25.5" customHeight="1">
      <c r="H1203" s="384"/>
      <c r="I1203" s="384"/>
      <c r="J1203" s="378"/>
      <c r="AG1203" s="383"/>
      <c r="AH1203" s="22"/>
      <c r="AI1203" s="22"/>
      <c r="AJ1203" s="22"/>
      <c r="AK1203" s="22"/>
      <c r="AL1203" s="22"/>
      <c r="AM1203" s="22"/>
      <c r="AN1203" s="22"/>
      <c r="AO1203" s="22"/>
      <c r="AP1203" s="22"/>
    </row>
    <row r="1204" ht="25.5" customHeight="1">
      <c r="H1204" s="384"/>
      <c r="I1204" s="384"/>
      <c r="J1204" s="378"/>
      <c r="AG1204" s="383"/>
      <c r="AH1204" s="22"/>
      <c r="AI1204" s="22"/>
      <c r="AJ1204" s="22"/>
      <c r="AK1204" s="22"/>
      <c r="AL1204" s="22"/>
      <c r="AM1204" s="22"/>
      <c r="AN1204" s="22"/>
      <c r="AO1204" s="22"/>
      <c r="AP1204" s="22"/>
    </row>
    <row r="1205" ht="25.5" customHeight="1">
      <c r="H1205" s="384"/>
      <c r="I1205" s="384"/>
      <c r="J1205" s="378"/>
      <c r="AG1205" s="383"/>
      <c r="AH1205" s="22"/>
      <c r="AI1205" s="22"/>
      <c r="AJ1205" s="22"/>
      <c r="AK1205" s="22"/>
      <c r="AL1205" s="22"/>
      <c r="AM1205" s="22"/>
      <c r="AN1205" s="22"/>
      <c r="AO1205" s="22"/>
      <c r="AP1205" s="22"/>
    </row>
    <row r="1206" ht="25.5" customHeight="1">
      <c r="H1206" s="384"/>
      <c r="I1206" s="384"/>
      <c r="J1206" s="378"/>
      <c r="AG1206" s="383"/>
      <c r="AH1206" s="22"/>
      <c r="AI1206" s="22"/>
      <c r="AJ1206" s="22"/>
      <c r="AK1206" s="22"/>
      <c r="AL1206" s="22"/>
      <c r="AM1206" s="22"/>
      <c r="AN1206" s="22"/>
      <c r="AO1206" s="22"/>
      <c r="AP1206" s="22"/>
    </row>
    <row r="1207" ht="25.5" customHeight="1">
      <c r="H1207" s="384"/>
      <c r="I1207" s="384"/>
      <c r="J1207" s="378"/>
      <c r="AG1207" s="383"/>
      <c r="AH1207" s="22"/>
      <c r="AI1207" s="22"/>
      <c r="AJ1207" s="22"/>
      <c r="AK1207" s="22"/>
      <c r="AL1207" s="22"/>
      <c r="AM1207" s="22"/>
      <c r="AN1207" s="22"/>
      <c r="AO1207" s="22"/>
      <c r="AP1207" s="22"/>
    </row>
    <row r="1208" ht="25.5" customHeight="1">
      <c r="H1208" s="384"/>
      <c r="I1208" s="384"/>
      <c r="J1208" s="378"/>
      <c r="AG1208" s="383"/>
      <c r="AH1208" s="22"/>
      <c r="AI1208" s="22"/>
      <c r="AJ1208" s="22"/>
      <c r="AK1208" s="22"/>
      <c r="AL1208" s="22"/>
      <c r="AM1208" s="22"/>
      <c r="AN1208" s="22"/>
      <c r="AO1208" s="22"/>
      <c r="AP1208" s="22"/>
    </row>
    <row r="1209" ht="25.5" customHeight="1">
      <c r="H1209" s="384"/>
      <c r="I1209" s="384"/>
      <c r="J1209" s="378"/>
      <c r="AG1209" s="383"/>
      <c r="AH1209" s="22"/>
      <c r="AI1209" s="22"/>
      <c r="AJ1209" s="22"/>
      <c r="AK1209" s="22"/>
      <c r="AL1209" s="22"/>
      <c r="AM1209" s="22"/>
      <c r="AN1209" s="22"/>
      <c r="AO1209" s="22"/>
      <c r="AP1209" s="22"/>
    </row>
    <row r="1210" ht="25.5" customHeight="1">
      <c r="H1210" s="384"/>
      <c r="I1210" s="384"/>
      <c r="J1210" s="378"/>
      <c r="AG1210" s="383"/>
      <c r="AH1210" s="22"/>
      <c r="AI1210" s="22"/>
      <c r="AJ1210" s="22"/>
      <c r="AK1210" s="22"/>
      <c r="AL1210" s="22"/>
      <c r="AM1210" s="22"/>
      <c r="AN1210" s="22"/>
      <c r="AO1210" s="22"/>
      <c r="AP1210" s="22"/>
    </row>
    <row r="1211" ht="25.5" customHeight="1">
      <c r="H1211" s="384"/>
      <c r="I1211" s="384"/>
      <c r="J1211" s="378"/>
      <c r="AG1211" s="383"/>
      <c r="AH1211" s="22"/>
      <c r="AI1211" s="22"/>
      <c r="AJ1211" s="22"/>
      <c r="AK1211" s="22"/>
      <c r="AL1211" s="22"/>
      <c r="AM1211" s="22"/>
      <c r="AN1211" s="22"/>
      <c r="AO1211" s="22"/>
      <c r="AP1211" s="22"/>
    </row>
    <row r="1212" ht="25.5" customHeight="1">
      <c r="H1212" s="384"/>
      <c r="I1212" s="384"/>
      <c r="J1212" s="378"/>
      <c r="AG1212" s="383"/>
      <c r="AH1212" s="22"/>
      <c r="AI1212" s="22"/>
      <c r="AJ1212" s="22"/>
      <c r="AK1212" s="22"/>
      <c r="AL1212" s="22"/>
      <c r="AM1212" s="22"/>
      <c r="AN1212" s="22"/>
      <c r="AO1212" s="22"/>
      <c r="AP1212" s="22"/>
    </row>
    <row r="1213" ht="25.5" customHeight="1">
      <c r="H1213" s="384"/>
      <c r="I1213" s="384"/>
      <c r="J1213" s="378"/>
      <c r="AG1213" s="383"/>
      <c r="AH1213" s="22"/>
      <c r="AI1213" s="22"/>
      <c r="AJ1213" s="22"/>
      <c r="AK1213" s="22"/>
      <c r="AL1213" s="22"/>
      <c r="AM1213" s="22"/>
      <c r="AN1213" s="22"/>
      <c r="AO1213" s="22"/>
      <c r="AP1213" s="22"/>
    </row>
    <row r="1214" ht="25.5" customHeight="1">
      <c r="H1214" s="384"/>
      <c r="I1214" s="384"/>
      <c r="J1214" s="378"/>
      <c r="AG1214" s="383"/>
      <c r="AH1214" s="22"/>
      <c r="AI1214" s="22"/>
      <c r="AJ1214" s="22"/>
      <c r="AK1214" s="22"/>
      <c r="AL1214" s="22"/>
      <c r="AM1214" s="22"/>
      <c r="AN1214" s="22"/>
      <c r="AO1214" s="22"/>
      <c r="AP1214" s="22"/>
    </row>
    <row r="1215" ht="25.5" customHeight="1">
      <c r="H1215" s="384"/>
      <c r="I1215" s="384"/>
      <c r="J1215" s="378"/>
      <c r="AG1215" s="383"/>
      <c r="AH1215" s="22"/>
      <c r="AI1215" s="22"/>
      <c r="AJ1215" s="22"/>
      <c r="AK1215" s="22"/>
      <c r="AL1215" s="22"/>
      <c r="AM1215" s="22"/>
      <c r="AN1215" s="22"/>
      <c r="AO1215" s="22"/>
      <c r="AP1215" s="22"/>
    </row>
    <row r="1216" ht="25.5" customHeight="1">
      <c r="H1216" s="384"/>
      <c r="I1216" s="384"/>
      <c r="J1216" s="378"/>
      <c r="AG1216" s="383"/>
      <c r="AH1216" s="22"/>
      <c r="AI1216" s="22"/>
      <c r="AJ1216" s="22"/>
      <c r="AK1216" s="22"/>
      <c r="AL1216" s="22"/>
      <c r="AM1216" s="22"/>
      <c r="AN1216" s="22"/>
      <c r="AO1216" s="22"/>
      <c r="AP1216" s="22"/>
    </row>
    <row r="1217" ht="25.5" customHeight="1">
      <c r="H1217" s="384"/>
      <c r="I1217" s="384"/>
      <c r="J1217" s="378"/>
      <c r="AG1217" s="383"/>
      <c r="AH1217" s="22"/>
      <c r="AI1217" s="22"/>
      <c r="AJ1217" s="22"/>
      <c r="AK1217" s="22"/>
      <c r="AL1217" s="22"/>
      <c r="AM1217" s="22"/>
      <c r="AN1217" s="22"/>
      <c r="AO1217" s="22"/>
      <c r="AP1217" s="22"/>
    </row>
    <row r="1218" ht="25.5" customHeight="1">
      <c r="H1218" s="384"/>
      <c r="I1218" s="384"/>
      <c r="J1218" s="378"/>
      <c r="AG1218" s="383"/>
      <c r="AH1218" s="22"/>
      <c r="AI1218" s="22"/>
      <c r="AJ1218" s="22"/>
      <c r="AK1218" s="22"/>
      <c r="AL1218" s="22"/>
      <c r="AM1218" s="22"/>
      <c r="AN1218" s="22"/>
      <c r="AO1218" s="22"/>
      <c r="AP1218" s="22"/>
    </row>
    <row r="1219" ht="25.5" customHeight="1">
      <c r="H1219" s="384"/>
      <c r="I1219" s="384"/>
      <c r="J1219" s="378"/>
      <c r="AG1219" s="383"/>
      <c r="AH1219" s="22"/>
      <c r="AI1219" s="22"/>
      <c r="AJ1219" s="22"/>
      <c r="AK1219" s="22"/>
      <c r="AL1219" s="22"/>
      <c r="AM1219" s="22"/>
      <c r="AN1219" s="22"/>
      <c r="AO1219" s="22"/>
      <c r="AP1219" s="22"/>
    </row>
    <row r="1220" ht="25.5" customHeight="1">
      <c r="H1220" s="384"/>
      <c r="I1220" s="384"/>
      <c r="J1220" s="378"/>
      <c r="AG1220" s="383"/>
      <c r="AH1220" s="22"/>
      <c r="AI1220" s="22"/>
      <c r="AJ1220" s="22"/>
      <c r="AK1220" s="22"/>
      <c r="AL1220" s="22"/>
      <c r="AM1220" s="22"/>
      <c r="AN1220" s="22"/>
      <c r="AO1220" s="22"/>
      <c r="AP1220" s="22"/>
    </row>
    <row r="1221" ht="25.5" customHeight="1">
      <c r="H1221" s="384"/>
      <c r="I1221" s="384"/>
      <c r="J1221" s="378"/>
      <c r="AG1221" s="383"/>
      <c r="AH1221" s="22"/>
      <c r="AI1221" s="22"/>
      <c r="AJ1221" s="22"/>
      <c r="AK1221" s="22"/>
      <c r="AL1221" s="22"/>
      <c r="AM1221" s="22"/>
      <c r="AN1221" s="22"/>
      <c r="AO1221" s="22"/>
      <c r="AP1221" s="22"/>
    </row>
    <row r="1222" ht="25.5" customHeight="1">
      <c r="H1222" s="384"/>
      <c r="I1222" s="384"/>
      <c r="J1222" s="378"/>
      <c r="AG1222" s="383"/>
      <c r="AH1222" s="22"/>
      <c r="AI1222" s="22"/>
      <c r="AJ1222" s="22"/>
      <c r="AK1222" s="22"/>
      <c r="AL1222" s="22"/>
      <c r="AM1222" s="22"/>
      <c r="AN1222" s="22"/>
      <c r="AO1222" s="22"/>
      <c r="AP1222" s="22"/>
    </row>
    <row r="1223" ht="25.5" customHeight="1">
      <c r="H1223" s="384"/>
      <c r="I1223" s="384"/>
      <c r="J1223" s="378"/>
      <c r="AG1223" s="383"/>
      <c r="AH1223" s="22"/>
      <c r="AI1223" s="22"/>
      <c r="AJ1223" s="22"/>
      <c r="AK1223" s="22"/>
      <c r="AL1223" s="22"/>
      <c r="AM1223" s="22"/>
      <c r="AN1223" s="22"/>
      <c r="AO1223" s="22"/>
      <c r="AP1223" s="22"/>
    </row>
    <row r="1224" ht="25.5" customHeight="1">
      <c r="H1224" s="384"/>
      <c r="I1224" s="384"/>
      <c r="J1224" s="378"/>
      <c r="AG1224" s="383"/>
      <c r="AH1224" s="22"/>
      <c r="AI1224" s="22"/>
      <c r="AJ1224" s="22"/>
      <c r="AK1224" s="22"/>
      <c r="AL1224" s="22"/>
      <c r="AM1224" s="22"/>
      <c r="AN1224" s="22"/>
      <c r="AO1224" s="22"/>
      <c r="AP1224" s="22"/>
    </row>
    <row r="1225" ht="25.5" customHeight="1">
      <c r="H1225" s="384"/>
      <c r="I1225" s="384"/>
      <c r="J1225" s="378"/>
      <c r="AG1225" s="383"/>
      <c r="AH1225" s="22"/>
      <c r="AI1225" s="22"/>
      <c r="AJ1225" s="22"/>
      <c r="AK1225" s="22"/>
      <c r="AL1225" s="22"/>
      <c r="AM1225" s="22"/>
      <c r="AN1225" s="22"/>
      <c r="AO1225" s="22"/>
      <c r="AP1225" s="22"/>
    </row>
    <row r="1226" ht="25.5" customHeight="1">
      <c r="H1226" s="384"/>
      <c r="I1226" s="384"/>
      <c r="J1226" s="378"/>
      <c r="AG1226" s="383"/>
      <c r="AH1226" s="22"/>
      <c r="AI1226" s="22"/>
      <c r="AJ1226" s="22"/>
      <c r="AK1226" s="22"/>
      <c r="AL1226" s="22"/>
      <c r="AM1226" s="22"/>
      <c r="AN1226" s="22"/>
      <c r="AO1226" s="22"/>
      <c r="AP1226" s="22"/>
    </row>
    <row r="1227" ht="25.5" customHeight="1">
      <c r="H1227" s="384"/>
      <c r="I1227" s="384"/>
      <c r="J1227" s="378"/>
      <c r="AG1227" s="383"/>
      <c r="AH1227" s="22"/>
      <c r="AI1227" s="22"/>
      <c r="AJ1227" s="22"/>
      <c r="AK1227" s="22"/>
      <c r="AL1227" s="22"/>
      <c r="AM1227" s="22"/>
      <c r="AN1227" s="22"/>
      <c r="AO1227" s="22"/>
      <c r="AP1227" s="22"/>
    </row>
    <row r="1228" ht="25.5" customHeight="1">
      <c r="H1228" s="384"/>
      <c r="I1228" s="384"/>
      <c r="J1228" s="378"/>
      <c r="AG1228" s="383"/>
      <c r="AH1228" s="22"/>
      <c r="AI1228" s="22"/>
      <c r="AJ1228" s="22"/>
      <c r="AK1228" s="22"/>
      <c r="AL1228" s="22"/>
      <c r="AM1228" s="22"/>
      <c r="AN1228" s="22"/>
      <c r="AO1228" s="22"/>
      <c r="AP1228" s="22"/>
    </row>
    <row r="1229" ht="25.5" customHeight="1">
      <c r="H1229" s="384"/>
      <c r="I1229" s="384"/>
      <c r="J1229" s="378"/>
      <c r="AG1229" s="383"/>
      <c r="AH1229" s="22"/>
      <c r="AI1229" s="22"/>
      <c r="AJ1229" s="22"/>
      <c r="AK1229" s="22"/>
      <c r="AL1229" s="22"/>
      <c r="AM1229" s="22"/>
      <c r="AN1229" s="22"/>
      <c r="AO1229" s="22"/>
      <c r="AP1229" s="22"/>
    </row>
    <row r="1230" ht="25.5" customHeight="1">
      <c r="H1230" s="384"/>
      <c r="I1230" s="384"/>
      <c r="J1230" s="378"/>
      <c r="AG1230" s="383"/>
      <c r="AH1230" s="22"/>
      <c r="AI1230" s="22"/>
      <c r="AJ1230" s="22"/>
      <c r="AK1230" s="22"/>
      <c r="AL1230" s="22"/>
      <c r="AM1230" s="22"/>
      <c r="AN1230" s="22"/>
      <c r="AO1230" s="22"/>
      <c r="AP1230" s="22"/>
    </row>
    <row r="1231" ht="25.5" customHeight="1">
      <c r="H1231" s="384"/>
      <c r="I1231" s="384"/>
      <c r="J1231" s="378"/>
      <c r="AG1231" s="383"/>
      <c r="AH1231" s="22"/>
      <c r="AI1231" s="22"/>
      <c r="AJ1231" s="22"/>
      <c r="AK1231" s="22"/>
      <c r="AL1231" s="22"/>
      <c r="AM1231" s="22"/>
      <c r="AN1231" s="22"/>
      <c r="AO1231" s="22"/>
      <c r="AP1231" s="22"/>
    </row>
    <row r="1232" ht="25.5" customHeight="1">
      <c r="H1232" s="384"/>
      <c r="I1232" s="384"/>
      <c r="J1232" s="378"/>
      <c r="AG1232" s="383"/>
      <c r="AH1232" s="22"/>
      <c r="AI1232" s="22"/>
      <c r="AJ1232" s="22"/>
      <c r="AK1232" s="22"/>
      <c r="AL1232" s="22"/>
      <c r="AM1232" s="22"/>
      <c r="AN1232" s="22"/>
      <c r="AO1232" s="22"/>
      <c r="AP1232" s="22"/>
    </row>
    <row r="1233" ht="25.5" customHeight="1">
      <c r="H1233" s="384"/>
      <c r="I1233" s="384"/>
      <c r="J1233" s="378"/>
      <c r="AG1233" s="383"/>
      <c r="AH1233" s="22"/>
      <c r="AI1233" s="22"/>
      <c r="AJ1233" s="22"/>
      <c r="AK1233" s="22"/>
      <c r="AL1233" s="22"/>
      <c r="AM1233" s="22"/>
      <c r="AN1233" s="22"/>
      <c r="AO1233" s="22"/>
      <c r="AP1233" s="22"/>
    </row>
    <row r="1234" ht="25.5" customHeight="1">
      <c r="H1234" s="384"/>
      <c r="I1234" s="384"/>
      <c r="J1234" s="378"/>
      <c r="AG1234" s="383"/>
      <c r="AH1234" s="22"/>
      <c r="AI1234" s="22"/>
      <c r="AJ1234" s="22"/>
      <c r="AK1234" s="22"/>
      <c r="AL1234" s="22"/>
      <c r="AM1234" s="22"/>
      <c r="AN1234" s="22"/>
      <c r="AO1234" s="22"/>
      <c r="AP1234" s="22"/>
    </row>
    <row r="1235" ht="25.5" customHeight="1">
      <c r="H1235" s="384"/>
      <c r="I1235" s="384"/>
      <c r="J1235" s="378"/>
      <c r="AG1235" s="383"/>
      <c r="AH1235" s="22"/>
      <c r="AI1235" s="22"/>
      <c r="AJ1235" s="22"/>
      <c r="AK1235" s="22"/>
      <c r="AL1235" s="22"/>
      <c r="AM1235" s="22"/>
      <c r="AN1235" s="22"/>
      <c r="AO1235" s="22"/>
      <c r="AP1235" s="22"/>
    </row>
    <row r="1236" ht="25.5" customHeight="1">
      <c r="H1236" s="384"/>
      <c r="I1236" s="384"/>
      <c r="J1236" s="378"/>
      <c r="AG1236" s="383"/>
      <c r="AH1236" s="22"/>
      <c r="AI1236" s="22"/>
      <c r="AJ1236" s="22"/>
      <c r="AK1236" s="22"/>
      <c r="AL1236" s="22"/>
      <c r="AM1236" s="22"/>
      <c r="AN1236" s="22"/>
      <c r="AO1236" s="22"/>
      <c r="AP1236" s="22"/>
    </row>
    <row r="1237" ht="25.5" customHeight="1">
      <c r="H1237" s="384"/>
      <c r="I1237" s="384"/>
      <c r="J1237" s="378"/>
      <c r="AG1237" s="383"/>
      <c r="AH1237" s="22"/>
      <c r="AI1237" s="22"/>
      <c r="AJ1237" s="22"/>
      <c r="AK1237" s="22"/>
      <c r="AL1237" s="22"/>
      <c r="AM1237" s="22"/>
      <c r="AN1237" s="22"/>
      <c r="AO1237" s="22"/>
      <c r="AP1237" s="22"/>
    </row>
    <row r="1238" ht="25.5" customHeight="1">
      <c r="H1238" s="384"/>
      <c r="I1238" s="384"/>
      <c r="J1238" s="378"/>
      <c r="AG1238" s="383"/>
      <c r="AH1238" s="22"/>
      <c r="AI1238" s="22"/>
      <c r="AJ1238" s="22"/>
      <c r="AK1238" s="22"/>
      <c r="AL1238" s="22"/>
      <c r="AM1238" s="22"/>
      <c r="AN1238" s="22"/>
      <c r="AO1238" s="22"/>
      <c r="AP1238" s="22"/>
    </row>
    <row r="1239" ht="25.5" customHeight="1">
      <c r="H1239" s="384"/>
      <c r="I1239" s="384"/>
      <c r="J1239" s="378"/>
      <c r="AG1239" s="383"/>
      <c r="AH1239" s="22"/>
      <c r="AI1239" s="22"/>
      <c r="AJ1239" s="22"/>
      <c r="AK1239" s="22"/>
      <c r="AL1239" s="22"/>
      <c r="AM1239" s="22"/>
      <c r="AN1239" s="22"/>
      <c r="AO1239" s="22"/>
      <c r="AP1239" s="22"/>
    </row>
    <row r="1240" ht="25.5" customHeight="1">
      <c r="H1240" s="384"/>
      <c r="I1240" s="384"/>
      <c r="J1240" s="378"/>
      <c r="AG1240" s="383"/>
      <c r="AH1240" s="22"/>
      <c r="AI1240" s="22"/>
      <c r="AJ1240" s="22"/>
      <c r="AK1240" s="22"/>
      <c r="AL1240" s="22"/>
      <c r="AM1240" s="22"/>
      <c r="AN1240" s="22"/>
      <c r="AO1240" s="22"/>
      <c r="AP1240" s="22"/>
    </row>
    <row r="1241" ht="25.5" customHeight="1">
      <c r="H1241" s="384"/>
      <c r="I1241" s="384"/>
      <c r="J1241" s="378"/>
      <c r="AG1241" s="383"/>
      <c r="AH1241" s="22"/>
      <c r="AI1241" s="22"/>
      <c r="AJ1241" s="22"/>
      <c r="AK1241" s="22"/>
      <c r="AL1241" s="22"/>
      <c r="AM1241" s="22"/>
      <c r="AN1241" s="22"/>
      <c r="AO1241" s="22"/>
      <c r="AP1241" s="22"/>
    </row>
    <row r="1242" ht="25.5" customHeight="1">
      <c r="H1242" s="384"/>
      <c r="I1242" s="384"/>
      <c r="J1242" s="378"/>
      <c r="AG1242" s="383"/>
      <c r="AH1242" s="22"/>
      <c r="AI1242" s="22"/>
      <c r="AJ1242" s="22"/>
      <c r="AK1242" s="22"/>
      <c r="AL1242" s="22"/>
      <c r="AM1242" s="22"/>
      <c r="AN1242" s="22"/>
      <c r="AO1242" s="22"/>
      <c r="AP1242" s="22"/>
    </row>
    <row r="1243" ht="25.5" customHeight="1">
      <c r="H1243" s="384"/>
      <c r="I1243" s="384"/>
      <c r="J1243" s="378"/>
      <c r="AG1243" s="383"/>
      <c r="AH1243" s="22"/>
      <c r="AI1243" s="22"/>
      <c r="AJ1243" s="22"/>
      <c r="AK1243" s="22"/>
      <c r="AL1243" s="22"/>
      <c r="AM1243" s="22"/>
      <c r="AN1243" s="22"/>
      <c r="AO1243" s="22"/>
      <c r="AP1243" s="22"/>
    </row>
    <row r="1244" ht="25.5" customHeight="1">
      <c r="H1244" s="384"/>
      <c r="I1244" s="384"/>
      <c r="J1244" s="378"/>
      <c r="AG1244" s="383"/>
      <c r="AH1244" s="22"/>
      <c r="AI1244" s="22"/>
      <c r="AJ1244" s="22"/>
      <c r="AK1244" s="22"/>
      <c r="AL1244" s="22"/>
      <c r="AM1244" s="22"/>
      <c r="AN1244" s="22"/>
      <c r="AO1244" s="22"/>
      <c r="AP1244" s="22"/>
    </row>
    <row r="1245" ht="25.5" customHeight="1">
      <c r="H1245" s="384"/>
      <c r="I1245" s="384"/>
      <c r="J1245" s="378"/>
      <c r="AG1245" s="383"/>
      <c r="AH1245" s="22"/>
      <c r="AI1245" s="22"/>
      <c r="AJ1245" s="22"/>
      <c r="AK1245" s="22"/>
      <c r="AL1245" s="22"/>
      <c r="AM1245" s="22"/>
      <c r="AN1245" s="22"/>
      <c r="AO1245" s="22"/>
      <c r="AP1245" s="22"/>
    </row>
    <row r="1246" ht="25.5" customHeight="1">
      <c r="H1246" s="384"/>
      <c r="I1246" s="384"/>
      <c r="J1246" s="378"/>
      <c r="AG1246" s="383"/>
      <c r="AH1246" s="22"/>
      <c r="AI1246" s="22"/>
      <c r="AJ1246" s="22"/>
      <c r="AK1246" s="22"/>
      <c r="AL1246" s="22"/>
      <c r="AM1246" s="22"/>
      <c r="AN1246" s="22"/>
      <c r="AO1246" s="22"/>
      <c r="AP1246" s="22"/>
    </row>
    <row r="1247" ht="25.5" customHeight="1">
      <c r="H1247" s="384"/>
      <c r="I1247" s="384"/>
      <c r="J1247" s="378"/>
      <c r="AG1247" s="383"/>
      <c r="AH1247" s="22"/>
      <c r="AI1247" s="22"/>
      <c r="AJ1247" s="22"/>
      <c r="AK1247" s="22"/>
      <c r="AL1247" s="22"/>
      <c r="AM1247" s="22"/>
      <c r="AN1247" s="22"/>
      <c r="AO1247" s="22"/>
      <c r="AP1247" s="22"/>
    </row>
    <row r="1248" ht="25.5" customHeight="1">
      <c r="H1248" s="384"/>
      <c r="I1248" s="384"/>
      <c r="J1248" s="378"/>
      <c r="AG1248" s="383"/>
      <c r="AH1248" s="22"/>
      <c r="AI1248" s="22"/>
      <c r="AJ1248" s="22"/>
      <c r="AK1248" s="22"/>
      <c r="AL1248" s="22"/>
      <c r="AM1248" s="22"/>
      <c r="AN1248" s="22"/>
      <c r="AO1248" s="22"/>
      <c r="AP1248" s="22"/>
    </row>
    <row r="1249" ht="25.5" customHeight="1">
      <c r="H1249" s="384"/>
      <c r="I1249" s="384"/>
      <c r="J1249" s="378"/>
      <c r="AG1249" s="383"/>
      <c r="AH1249" s="22"/>
      <c r="AI1249" s="22"/>
      <c r="AJ1249" s="22"/>
      <c r="AK1249" s="22"/>
      <c r="AL1249" s="22"/>
      <c r="AM1249" s="22"/>
      <c r="AN1249" s="22"/>
      <c r="AO1249" s="22"/>
      <c r="AP1249" s="22"/>
    </row>
    <row r="1250" ht="25.5" customHeight="1">
      <c r="H1250" s="384"/>
      <c r="I1250" s="384"/>
      <c r="J1250" s="378"/>
      <c r="AG1250" s="383"/>
      <c r="AH1250" s="22"/>
      <c r="AI1250" s="22"/>
      <c r="AJ1250" s="22"/>
      <c r="AK1250" s="22"/>
      <c r="AL1250" s="22"/>
      <c r="AM1250" s="22"/>
      <c r="AN1250" s="22"/>
      <c r="AO1250" s="22"/>
      <c r="AP1250" s="22"/>
    </row>
    <row r="1251" ht="25.5" customHeight="1">
      <c r="H1251" s="384"/>
      <c r="I1251" s="384"/>
      <c r="J1251" s="378"/>
      <c r="AG1251" s="383"/>
      <c r="AH1251" s="22"/>
      <c r="AI1251" s="22"/>
      <c r="AJ1251" s="22"/>
      <c r="AK1251" s="22"/>
      <c r="AL1251" s="22"/>
      <c r="AM1251" s="22"/>
      <c r="AN1251" s="22"/>
      <c r="AO1251" s="22"/>
      <c r="AP1251" s="22"/>
    </row>
    <row r="1252" ht="25.5" customHeight="1">
      <c r="H1252" s="384"/>
      <c r="I1252" s="384"/>
      <c r="J1252" s="378"/>
      <c r="AG1252" s="383"/>
      <c r="AH1252" s="22"/>
      <c r="AI1252" s="22"/>
      <c r="AJ1252" s="22"/>
      <c r="AK1252" s="22"/>
      <c r="AL1252" s="22"/>
      <c r="AM1252" s="22"/>
      <c r="AN1252" s="22"/>
      <c r="AO1252" s="22"/>
      <c r="AP1252" s="22"/>
    </row>
    <row r="1253" ht="25.5" customHeight="1">
      <c r="H1253" s="384"/>
      <c r="I1253" s="384"/>
      <c r="J1253" s="378"/>
      <c r="AG1253" s="383"/>
      <c r="AH1253" s="22"/>
      <c r="AI1253" s="22"/>
      <c r="AJ1253" s="22"/>
      <c r="AK1253" s="22"/>
      <c r="AL1253" s="22"/>
      <c r="AM1253" s="22"/>
      <c r="AN1253" s="22"/>
      <c r="AO1253" s="22"/>
      <c r="AP1253" s="22"/>
    </row>
    <row r="1254" ht="25.5" customHeight="1">
      <c r="H1254" s="384"/>
      <c r="I1254" s="384"/>
      <c r="J1254" s="378"/>
      <c r="AG1254" s="383"/>
      <c r="AH1254" s="22"/>
      <c r="AI1254" s="22"/>
      <c r="AJ1254" s="22"/>
      <c r="AK1254" s="22"/>
      <c r="AL1254" s="22"/>
      <c r="AM1254" s="22"/>
      <c r="AN1254" s="22"/>
      <c r="AO1254" s="22"/>
      <c r="AP1254" s="22"/>
    </row>
    <row r="1255" ht="25.5" customHeight="1">
      <c r="H1255" s="384"/>
      <c r="I1255" s="384"/>
      <c r="J1255" s="378"/>
      <c r="AG1255" s="383"/>
      <c r="AH1255" s="22"/>
      <c r="AI1255" s="22"/>
      <c r="AJ1255" s="22"/>
      <c r="AK1255" s="22"/>
      <c r="AL1255" s="22"/>
      <c r="AM1255" s="22"/>
      <c r="AN1255" s="22"/>
      <c r="AO1255" s="22"/>
      <c r="AP1255" s="22"/>
    </row>
    <row r="1256" ht="25.5" customHeight="1">
      <c r="H1256" s="384"/>
      <c r="I1256" s="384"/>
      <c r="J1256" s="378"/>
      <c r="AG1256" s="383"/>
      <c r="AH1256" s="22"/>
      <c r="AI1256" s="22"/>
      <c r="AJ1256" s="22"/>
      <c r="AK1256" s="22"/>
      <c r="AL1256" s="22"/>
      <c r="AM1256" s="22"/>
      <c r="AN1256" s="22"/>
      <c r="AO1256" s="22"/>
      <c r="AP1256" s="22"/>
    </row>
    <row r="1257" ht="25.5" customHeight="1">
      <c r="H1257" s="384"/>
      <c r="I1257" s="384"/>
      <c r="J1257" s="378"/>
      <c r="AG1257" s="383"/>
      <c r="AH1257" s="22"/>
      <c r="AI1257" s="22"/>
      <c r="AJ1257" s="22"/>
      <c r="AK1257" s="22"/>
      <c r="AL1257" s="22"/>
      <c r="AM1257" s="22"/>
      <c r="AN1257" s="22"/>
      <c r="AO1257" s="22"/>
      <c r="AP1257" s="22"/>
    </row>
    <row r="1258" ht="25.5" customHeight="1">
      <c r="H1258" s="384"/>
      <c r="I1258" s="384"/>
      <c r="J1258" s="378"/>
      <c r="AG1258" s="383"/>
      <c r="AH1258" s="22"/>
      <c r="AI1258" s="22"/>
      <c r="AJ1258" s="22"/>
      <c r="AK1258" s="22"/>
      <c r="AL1258" s="22"/>
      <c r="AM1258" s="22"/>
      <c r="AN1258" s="22"/>
      <c r="AO1258" s="22"/>
      <c r="AP1258" s="22"/>
    </row>
    <row r="1259" ht="25.5" customHeight="1">
      <c r="H1259" s="384"/>
      <c r="I1259" s="384"/>
      <c r="J1259" s="378"/>
      <c r="AG1259" s="383"/>
      <c r="AH1259" s="22"/>
      <c r="AI1259" s="22"/>
      <c r="AJ1259" s="22"/>
      <c r="AK1259" s="22"/>
      <c r="AL1259" s="22"/>
      <c r="AM1259" s="22"/>
      <c r="AN1259" s="22"/>
      <c r="AO1259" s="22"/>
      <c r="AP1259" s="22"/>
    </row>
    <row r="1260" ht="25.5" customHeight="1">
      <c r="H1260" s="384"/>
      <c r="I1260" s="384"/>
      <c r="J1260" s="378"/>
      <c r="AG1260" s="383"/>
      <c r="AH1260" s="22"/>
      <c r="AI1260" s="22"/>
      <c r="AJ1260" s="22"/>
      <c r="AK1260" s="22"/>
      <c r="AL1260" s="22"/>
      <c r="AM1260" s="22"/>
      <c r="AN1260" s="22"/>
      <c r="AO1260" s="22"/>
      <c r="AP1260" s="22"/>
    </row>
    <row r="1261" ht="25.5" customHeight="1">
      <c r="H1261" s="384"/>
      <c r="I1261" s="384"/>
      <c r="J1261" s="378"/>
      <c r="AG1261" s="383"/>
      <c r="AH1261" s="22"/>
      <c r="AI1261" s="22"/>
      <c r="AJ1261" s="22"/>
      <c r="AK1261" s="22"/>
      <c r="AL1261" s="22"/>
      <c r="AM1261" s="22"/>
      <c r="AN1261" s="22"/>
      <c r="AO1261" s="22"/>
      <c r="AP1261" s="22"/>
    </row>
    <row r="1262" ht="25.5" customHeight="1">
      <c r="H1262" s="384"/>
      <c r="I1262" s="384"/>
      <c r="J1262" s="378"/>
      <c r="AG1262" s="383"/>
      <c r="AH1262" s="22"/>
      <c r="AI1262" s="22"/>
      <c r="AJ1262" s="22"/>
      <c r="AK1262" s="22"/>
      <c r="AL1262" s="22"/>
      <c r="AM1262" s="22"/>
      <c r="AN1262" s="22"/>
      <c r="AO1262" s="22"/>
      <c r="AP1262" s="22"/>
    </row>
    <row r="1263" ht="25.5" customHeight="1">
      <c r="H1263" s="384"/>
      <c r="I1263" s="384"/>
      <c r="J1263" s="378"/>
      <c r="AG1263" s="383"/>
      <c r="AH1263" s="22"/>
      <c r="AI1263" s="22"/>
      <c r="AJ1263" s="22"/>
      <c r="AK1263" s="22"/>
      <c r="AL1263" s="22"/>
      <c r="AM1263" s="22"/>
      <c r="AN1263" s="22"/>
      <c r="AO1263" s="22"/>
      <c r="AP1263" s="22"/>
    </row>
    <row r="1264" ht="25.5" customHeight="1">
      <c r="H1264" s="384"/>
      <c r="I1264" s="384"/>
      <c r="J1264" s="378"/>
      <c r="AG1264" s="383"/>
      <c r="AH1264" s="22"/>
      <c r="AI1264" s="22"/>
      <c r="AJ1264" s="22"/>
      <c r="AK1264" s="22"/>
      <c r="AL1264" s="22"/>
      <c r="AM1264" s="22"/>
      <c r="AN1264" s="22"/>
      <c r="AO1264" s="22"/>
      <c r="AP1264" s="22"/>
    </row>
    <row r="1265" ht="25.5" customHeight="1">
      <c r="H1265" s="384"/>
      <c r="I1265" s="384"/>
      <c r="J1265" s="378"/>
      <c r="AG1265" s="383"/>
      <c r="AH1265" s="22"/>
      <c r="AI1265" s="22"/>
      <c r="AJ1265" s="22"/>
      <c r="AK1265" s="22"/>
      <c r="AL1265" s="22"/>
      <c r="AM1265" s="22"/>
      <c r="AN1265" s="22"/>
      <c r="AO1265" s="22"/>
      <c r="AP1265" s="22"/>
    </row>
    <row r="1266" ht="25.5" customHeight="1">
      <c r="H1266" s="384"/>
      <c r="I1266" s="384"/>
      <c r="J1266" s="378"/>
      <c r="AG1266" s="383"/>
      <c r="AH1266" s="22"/>
      <c r="AI1266" s="22"/>
      <c r="AJ1266" s="22"/>
      <c r="AK1266" s="22"/>
      <c r="AL1266" s="22"/>
      <c r="AM1266" s="22"/>
      <c r="AN1266" s="22"/>
      <c r="AO1266" s="22"/>
      <c r="AP1266" s="22"/>
    </row>
    <row r="1267" ht="25.5" customHeight="1">
      <c r="H1267" s="384"/>
      <c r="I1267" s="384"/>
      <c r="J1267" s="378"/>
      <c r="AG1267" s="383"/>
      <c r="AH1267" s="22"/>
      <c r="AI1267" s="22"/>
      <c r="AJ1267" s="22"/>
      <c r="AK1267" s="22"/>
      <c r="AL1267" s="22"/>
      <c r="AM1267" s="22"/>
      <c r="AN1267" s="22"/>
      <c r="AO1267" s="22"/>
      <c r="AP1267" s="22"/>
    </row>
    <row r="1268" ht="25.5" customHeight="1">
      <c r="H1268" s="384"/>
      <c r="I1268" s="384"/>
      <c r="J1268" s="378"/>
      <c r="AG1268" s="383"/>
      <c r="AH1268" s="22"/>
      <c r="AI1268" s="22"/>
      <c r="AJ1268" s="22"/>
      <c r="AK1268" s="22"/>
      <c r="AL1268" s="22"/>
      <c r="AM1268" s="22"/>
      <c r="AN1268" s="22"/>
      <c r="AO1268" s="22"/>
      <c r="AP1268" s="22"/>
    </row>
    <row r="1269" ht="25.5" customHeight="1">
      <c r="H1269" s="384"/>
      <c r="I1269" s="384"/>
      <c r="J1269" s="378"/>
      <c r="AG1269" s="383"/>
      <c r="AH1269" s="22"/>
      <c r="AI1269" s="22"/>
      <c r="AJ1269" s="22"/>
      <c r="AK1269" s="22"/>
      <c r="AL1269" s="22"/>
      <c r="AM1269" s="22"/>
      <c r="AN1269" s="22"/>
      <c r="AO1269" s="22"/>
      <c r="AP1269" s="22"/>
    </row>
    <row r="1270" ht="25.5" customHeight="1">
      <c r="H1270" s="384"/>
      <c r="I1270" s="384"/>
      <c r="J1270" s="378"/>
      <c r="AG1270" s="383"/>
      <c r="AH1270" s="22"/>
      <c r="AI1270" s="22"/>
      <c r="AJ1270" s="22"/>
      <c r="AK1270" s="22"/>
      <c r="AL1270" s="22"/>
      <c r="AM1270" s="22"/>
      <c r="AN1270" s="22"/>
      <c r="AO1270" s="22"/>
      <c r="AP1270" s="22"/>
    </row>
    <row r="1271" ht="25.5" customHeight="1">
      <c r="H1271" s="384"/>
      <c r="I1271" s="384"/>
      <c r="J1271" s="378"/>
      <c r="AG1271" s="383"/>
      <c r="AH1271" s="22"/>
      <c r="AI1271" s="22"/>
      <c r="AJ1271" s="22"/>
      <c r="AK1271" s="22"/>
      <c r="AL1271" s="22"/>
      <c r="AM1271" s="22"/>
      <c r="AN1271" s="22"/>
      <c r="AO1271" s="22"/>
      <c r="AP1271" s="22"/>
    </row>
    <row r="1272" ht="25.5" customHeight="1">
      <c r="H1272" s="384"/>
      <c r="I1272" s="384"/>
      <c r="J1272" s="378"/>
      <c r="AG1272" s="383"/>
      <c r="AH1272" s="22"/>
      <c r="AI1272" s="22"/>
      <c r="AJ1272" s="22"/>
      <c r="AK1272" s="22"/>
      <c r="AL1272" s="22"/>
      <c r="AM1272" s="22"/>
      <c r="AN1272" s="22"/>
      <c r="AO1272" s="22"/>
      <c r="AP1272" s="22"/>
    </row>
    <row r="1273" ht="25.5" customHeight="1">
      <c r="H1273" s="384"/>
      <c r="I1273" s="384"/>
      <c r="J1273" s="378"/>
      <c r="AG1273" s="383"/>
      <c r="AH1273" s="22"/>
      <c r="AI1273" s="22"/>
      <c r="AJ1273" s="22"/>
      <c r="AK1273" s="22"/>
      <c r="AL1273" s="22"/>
      <c r="AM1273" s="22"/>
      <c r="AN1273" s="22"/>
      <c r="AO1273" s="22"/>
      <c r="AP1273" s="22"/>
    </row>
    <row r="1274" ht="25.5" customHeight="1">
      <c r="H1274" s="384"/>
      <c r="I1274" s="384"/>
      <c r="J1274" s="378"/>
      <c r="AG1274" s="383"/>
      <c r="AH1274" s="22"/>
      <c r="AI1274" s="22"/>
      <c r="AJ1274" s="22"/>
      <c r="AK1274" s="22"/>
      <c r="AL1274" s="22"/>
      <c r="AM1274" s="22"/>
      <c r="AN1274" s="22"/>
      <c r="AO1274" s="22"/>
      <c r="AP1274" s="22"/>
    </row>
    <row r="1275" ht="25.5" customHeight="1">
      <c r="H1275" s="384"/>
      <c r="I1275" s="384"/>
      <c r="J1275" s="378"/>
      <c r="AG1275" s="383"/>
      <c r="AH1275" s="22"/>
      <c r="AI1275" s="22"/>
      <c r="AJ1275" s="22"/>
      <c r="AK1275" s="22"/>
      <c r="AL1275" s="22"/>
      <c r="AM1275" s="22"/>
      <c r="AN1275" s="22"/>
      <c r="AO1275" s="22"/>
      <c r="AP1275" s="22"/>
    </row>
    <row r="1276" ht="25.5" customHeight="1">
      <c r="H1276" s="384"/>
      <c r="I1276" s="384"/>
      <c r="J1276" s="378"/>
      <c r="AG1276" s="383"/>
      <c r="AH1276" s="22"/>
      <c r="AI1276" s="22"/>
      <c r="AJ1276" s="22"/>
      <c r="AK1276" s="22"/>
      <c r="AL1276" s="22"/>
      <c r="AM1276" s="22"/>
      <c r="AN1276" s="22"/>
      <c r="AO1276" s="22"/>
      <c r="AP1276" s="22"/>
    </row>
    <row r="1277" ht="25.5" customHeight="1">
      <c r="H1277" s="384"/>
      <c r="I1277" s="384"/>
      <c r="J1277" s="378"/>
      <c r="AG1277" s="383"/>
      <c r="AH1277" s="22"/>
      <c r="AI1277" s="22"/>
      <c r="AJ1277" s="22"/>
      <c r="AK1277" s="22"/>
      <c r="AL1277" s="22"/>
      <c r="AM1277" s="22"/>
      <c r="AN1277" s="22"/>
      <c r="AO1277" s="22"/>
      <c r="AP1277" s="22"/>
    </row>
    <row r="1278" ht="25.5" customHeight="1">
      <c r="H1278" s="384"/>
      <c r="I1278" s="384"/>
      <c r="J1278" s="378"/>
      <c r="AG1278" s="383"/>
      <c r="AH1278" s="22"/>
      <c r="AI1278" s="22"/>
      <c r="AJ1278" s="22"/>
      <c r="AK1278" s="22"/>
      <c r="AL1278" s="22"/>
      <c r="AM1278" s="22"/>
      <c r="AN1278" s="22"/>
      <c r="AO1278" s="22"/>
      <c r="AP1278" s="22"/>
    </row>
    <row r="1279" ht="25.5" customHeight="1">
      <c r="H1279" s="384"/>
      <c r="I1279" s="384"/>
      <c r="J1279" s="378"/>
      <c r="AG1279" s="383"/>
      <c r="AH1279" s="22"/>
      <c r="AI1279" s="22"/>
      <c r="AJ1279" s="22"/>
      <c r="AK1279" s="22"/>
      <c r="AL1279" s="22"/>
      <c r="AM1279" s="22"/>
      <c r="AN1279" s="22"/>
      <c r="AO1279" s="22"/>
      <c r="AP1279" s="22"/>
    </row>
    <row r="1280" ht="25.5" customHeight="1">
      <c r="H1280" s="384"/>
      <c r="I1280" s="384"/>
      <c r="J1280" s="378"/>
      <c r="AG1280" s="383"/>
      <c r="AH1280" s="22"/>
      <c r="AI1280" s="22"/>
      <c r="AJ1280" s="22"/>
      <c r="AK1280" s="22"/>
      <c r="AL1280" s="22"/>
      <c r="AM1280" s="22"/>
      <c r="AN1280" s="22"/>
      <c r="AO1280" s="22"/>
      <c r="AP1280" s="22"/>
    </row>
    <row r="1281" ht="25.5" customHeight="1">
      <c r="H1281" s="384"/>
      <c r="I1281" s="384"/>
      <c r="J1281" s="378"/>
      <c r="AG1281" s="383"/>
      <c r="AH1281" s="22"/>
      <c r="AI1281" s="22"/>
      <c r="AJ1281" s="22"/>
      <c r="AK1281" s="22"/>
      <c r="AL1281" s="22"/>
      <c r="AM1281" s="22"/>
      <c r="AN1281" s="22"/>
      <c r="AO1281" s="22"/>
      <c r="AP1281" s="22"/>
    </row>
    <row r="1282" ht="25.5" customHeight="1">
      <c r="H1282" s="384"/>
      <c r="I1282" s="384"/>
      <c r="J1282" s="378"/>
      <c r="AG1282" s="383"/>
      <c r="AH1282" s="22"/>
      <c r="AI1282" s="22"/>
      <c r="AJ1282" s="22"/>
      <c r="AK1282" s="22"/>
      <c r="AL1282" s="22"/>
      <c r="AM1282" s="22"/>
      <c r="AN1282" s="22"/>
      <c r="AO1282" s="22"/>
      <c r="AP1282" s="22"/>
    </row>
    <row r="1283" ht="25.5" customHeight="1">
      <c r="H1283" s="384"/>
      <c r="I1283" s="384"/>
      <c r="J1283" s="378"/>
      <c r="AG1283" s="383"/>
      <c r="AH1283" s="22"/>
      <c r="AI1283" s="22"/>
      <c r="AJ1283" s="22"/>
      <c r="AK1283" s="22"/>
      <c r="AL1283" s="22"/>
      <c r="AM1283" s="22"/>
      <c r="AN1283" s="22"/>
      <c r="AO1283" s="22"/>
      <c r="AP1283" s="22"/>
    </row>
    <row r="1284" ht="25.5" customHeight="1">
      <c r="H1284" s="384"/>
      <c r="I1284" s="384"/>
      <c r="J1284" s="378"/>
      <c r="AG1284" s="383"/>
      <c r="AH1284" s="22"/>
      <c r="AI1284" s="22"/>
      <c r="AJ1284" s="22"/>
      <c r="AK1284" s="22"/>
      <c r="AL1284" s="22"/>
      <c r="AM1284" s="22"/>
      <c r="AN1284" s="22"/>
      <c r="AO1284" s="22"/>
      <c r="AP1284" s="22"/>
    </row>
    <row r="1285" ht="25.5" customHeight="1">
      <c r="H1285" s="384"/>
      <c r="I1285" s="384"/>
      <c r="J1285" s="378"/>
      <c r="AG1285" s="383"/>
      <c r="AH1285" s="22"/>
      <c r="AI1285" s="22"/>
      <c r="AJ1285" s="22"/>
      <c r="AK1285" s="22"/>
      <c r="AL1285" s="22"/>
      <c r="AM1285" s="22"/>
      <c r="AN1285" s="22"/>
      <c r="AO1285" s="22"/>
      <c r="AP1285" s="22"/>
    </row>
    <row r="1286" ht="25.5" customHeight="1">
      <c r="H1286" s="384"/>
      <c r="I1286" s="384"/>
      <c r="J1286" s="378"/>
      <c r="AG1286" s="383"/>
      <c r="AH1286" s="22"/>
      <c r="AI1286" s="22"/>
      <c r="AJ1286" s="22"/>
      <c r="AK1286" s="22"/>
      <c r="AL1286" s="22"/>
      <c r="AM1286" s="22"/>
      <c r="AN1286" s="22"/>
      <c r="AO1286" s="22"/>
      <c r="AP1286" s="22"/>
    </row>
    <row r="1287" ht="25.5" customHeight="1">
      <c r="H1287" s="384"/>
      <c r="I1287" s="384"/>
      <c r="J1287" s="378"/>
      <c r="AG1287" s="383"/>
      <c r="AH1287" s="22"/>
      <c r="AI1287" s="22"/>
      <c r="AJ1287" s="22"/>
      <c r="AK1287" s="22"/>
      <c r="AL1287" s="22"/>
      <c r="AM1287" s="22"/>
      <c r="AN1287" s="22"/>
      <c r="AO1287" s="22"/>
      <c r="AP1287" s="22"/>
    </row>
    <row r="1288" ht="25.5" customHeight="1">
      <c r="H1288" s="384"/>
      <c r="I1288" s="384"/>
      <c r="J1288" s="378"/>
      <c r="AG1288" s="383"/>
      <c r="AH1288" s="22"/>
      <c r="AI1288" s="22"/>
      <c r="AJ1288" s="22"/>
      <c r="AK1288" s="22"/>
      <c r="AL1288" s="22"/>
      <c r="AM1288" s="22"/>
      <c r="AN1288" s="22"/>
      <c r="AO1288" s="22"/>
      <c r="AP1288" s="22"/>
    </row>
    <row r="1289" ht="25.5" customHeight="1">
      <c r="H1289" s="384"/>
      <c r="I1289" s="384"/>
      <c r="J1289" s="378"/>
      <c r="AG1289" s="383"/>
      <c r="AH1289" s="22"/>
      <c r="AI1289" s="22"/>
      <c r="AJ1289" s="22"/>
      <c r="AK1289" s="22"/>
      <c r="AL1289" s="22"/>
      <c r="AM1289" s="22"/>
      <c r="AN1289" s="22"/>
      <c r="AO1289" s="22"/>
      <c r="AP1289" s="22"/>
    </row>
    <row r="1290" ht="25.5" customHeight="1">
      <c r="H1290" s="384"/>
      <c r="I1290" s="384"/>
      <c r="J1290" s="378"/>
      <c r="AG1290" s="383"/>
      <c r="AH1290" s="22"/>
      <c r="AI1290" s="22"/>
      <c r="AJ1290" s="22"/>
      <c r="AK1290" s="22"/>
      <c r="AL1290" s="22"/>
      <c r="AM1290" s="22"/>
      <c r="AN1290" s="22"/>
      <c r="AO1290" s="22"/>
      <c r="AP1290" s="22"/>
    </row>
    <row r="1291" ht="25.5" customHeight="1">
      <c r="H1291" s="384"/>
      <c r="I1291" s="384"/>
      <c r="J1291" s="378"/>
      <c r="AG1291" s="383"/>
      <c r="AH1291" s="22"/>
      <c r="AI1291" s="22"/>
      <c r="AJ1291" s="22"/>
      <c r="AK1291" s="22"/>
      <c r="AL1291" s="22"/>
      <c r="AM1291" s="22"/>
      <c r="AN1291" s="22"/>
      <c r="AO1291" s="22"/>
      <c r="AP1291" s="22"/>
    </row>
    <row r="1292" ht="25.5" customHeight="1">
      <c r="H1292" s="384"/>
      <c r="I1292" s="384"/>
      <c r="J1292" s="378"/>
      <c r="AG1292" s="383"/>
      <c r="AH1292" s="22"/>
      <c r="AI1292" s="22"/>
      <c r="AJ1292" s="22"/>
      <c r="AK1292" s="22"/>
      <c r="AL1292" s="22"/>
      <c r="AM1292" s="22"/>
      <c r="AN1292" s="22"/>
      <c r="AO1292" s="22"/>
      <c r="AP1292" s="22"/>
    </row>
    <row r="1293" ht="25.5" customHeight="1">
      <c r="H1293" s="384"/>
      <c r="I1293" s="384"/>
      <c r="J1293" s="378"/>
      <c r="AG1293" s="383"/>
      <c r="AH1293" s="22"/>
      <c r="AI1293" s="22"/>
      <c r="AJ1293" s="22"/>
      <c r="AK1293" s="22"/>
      <c r="AL1293" s="22"/>
      <c r="AM1293" s="22"/>
      <c r="AN1293" s="22"/>
      <c r="AO1293" s="22"/>
      <c r="AP1293" s="22"/>
    </row>
    <row r="1294" ht="25.5" customHeight="1">
      <c r="H1294" s="384"/>
      <c r="I1294" s="384"/>
      <c r="J1294" s="378"/>
      <c r="AG1294" s="383"/>
      <c r="AH1294" s="22"/>
      <c r="AI1294" s="22"/>
      <c r="AJ1294" s="22"/>
      <c r="AK1294" s="22"/>
      <c r="AL1294" s="22"/>
      <c r="AM1294" s="22"/>
      <c r="AN1294" s="22"/>
      <c r="AO1294" s="22"/>
      <c r="AP1294" s="22"/>
    </row>
    <row r="1295" ht="25.5" customHeight="1">
      <c r="H1295" s="384"/>
      <c r="I1295" s="384"/>
      <c r="J1295" s="378"/>
      <c r="AG1295" s="383"/>
      <c r="AH1295" s="22"/>
      <c r="AI1295" s="22"/>
      <c r="AJ1295" s="22"/>
      <c r="AK1295" s="22"/>
      <c r="AL1295" s="22"/>
      <c r="AM1295" s="22"/>
      <c r="AN1295" s="22"/>
      <c r="AO1295" s="22"/>
      <c r="AP1295" s="22"/>
    </row>
    <row r="1296" ht="25.5" customHeight="1">
      <c r="H1296" s="384"/>
      <c r="I1296" s="384"/>
      <c r="J1296" s="378"/>
      <c r="AG1296" s="383"/>
      <c r="AH1296" s="22"/>
      <c r="AI1296" s="22"/>
      <c r="AJ1296" s="22"/>
      <c r="AK1296" s="22"/>
      <c r="AL1296" s="22"/>
      <c r="AM1296" s="22"/>
      <c r="AN1296" s="22"/>
      <c r="AO1296" s="22"/>
      <c r="AP1296" s="22"/>
    </row>
    <row r="1297" ht="25.5" customHeight="1">
      <c r="H1297" s="384"/>
      <c r="I1297" s="384"/>
      <c r="J1297" s="378"/>
      <c r="AG1297" s="383"/>
      <c r="AH1297" s="22"/>
      <c r="AI1297" s="22"/>
      <c r="AJ1297" s="22"/>
      <c r="AK1297" s="22"/>
      <c r="AL1297" s="22"/>
      <c r="AM1297" s="22"/>
      <c r="AN1297" s="22"/>
      <c r="AO1297" s="22"/>
      <c r="AP1297" s="22"/>
    </row>
    <row r="1298" ht="25.5" customHeight="1">
      <c r="H1298" s="384"/>
      <c r="I1298" s="384"/>
      <c r="J1298" s="378"/>
      <c r="AG1298" s="383"/>
      <c r="AH1298" s="22"/>
      <c r="AI1298" s="22"/>
      <c r="AJ1298" s="22"/>
      <c r="AK1298" s="22"/>
      <c r="AL1298" s="22"/>
      <c r="AM1298" s="22"/>
      <c r="AN1298" s="22"/>
      <c r="AO1298" s="22"/>
      <c r="AP1298" s="22"/>
    </row>
    <row r="1299" ht="25.5" customHeight="1">
      <c r="H1299" s="384"/>
      <c r="I1299" s="384"/>
      <c r="J1299" s="378"/>
      <c r="AG1299" s="383"/>
      <c r="AH1299" s="22"/>
      <c r="AI1299" s="22"/>
      <c r="AJ1299" s="22"/>
      <c r="AK1299" s="22"/>
      <c r="AL1299" s="22"/>
      <c r="AM1299" s="22"/>
      <c r="AN1299" s="22"/>
      <c r="AO1299" s="22"/>
      <c r="AP1299" s="22"/>
    </row>
    <row r="1300" ht="25.5" customHeight="1">
      <c r="H1300" s="384"/>
      <c r="I1300" s="384"/>
      <c r="J1300" s="378"/>
      <c r="AG1300" s="383"/>
      <c r="AH1300" s="22"/>
      <c r="AI1300" s="22"/>
      <c r="AJ1300" s="22"/>
      <c r="AK1300" s="22"/>
      <c r="AL1300" s="22"/>
      <c r="AM1300" s="22"/>
      <c r="AN1300" s="22"/>
      <c r="AO1300" s="22"/>
      <c r="AP1300" s="22"/>
    </row>
    <row r="1301" ht="25.5" customHeight="1">
      <c r="H1301" s="384"/>
      <c r="I1301" s="384"/>
      <c r="J1301" s="378"/>
      <c r="AG1301" s="383"/>
      <c r="AH1301" s="22"/>
      <c r="AI1301" s="22"/>
      <c r="AJ1301" s="22"/>
      <c r="AK1301" s="22"/>
      <c r="AL1301" s="22"/>
      <c r="AM1301" s="22"/>
      <c r="AN1301" s="22"/>
      <c r="AO1301" s="22"/>
      <c r="AP1301" s="22"/>
    </row>
    <row r="1302" ht="25.5" customHeight="1">
      <c r="H1302" s="384"/>
      <c r="I1302" s="384"/>
      <c r="J1302" s="378"/>
      <c r="AG1302" s="383"/>
      <c r="AH1302" s="22"/>
      <c r="AI1302" s="22"/>
      <c r="AJ1302" s="22"/>
      <c r="AK1302" s="22"/>
      <c r="AL1302" s="22"/>
      <c r="AM1302" s="22"/>
      <c r="AN1302" s="22"/>
      <c r="AO1302" s="22"/>
      <c r="AP1302" s="22"/>
    </row>
    <row r="1303" ht="25.5" customHeight="1">
      <c r="H1303" s="384"/>
      <c r="I1303" s="384"/>
      <c r="J1303" s="378"/>
      <c r="AG1303" s="383"/>
      <c r="AH1303" s="22"/>
      <c r="AI1303" s="22"/>
      <c r="AJ1303" s="22"/>
      <c r="AK1303" s="22"/>
      <c r="AL1303" s="22"/>
      <c r="AM1303" s="22"/>
      <c r="AN1303" s="22"/>
      <c r="AO1303" s="22"/>
      <c r="AP1303" s="22"/>
    </row>
    <row r="1304" ht="25.5" customHeight="1">
      <c r="H1304" s="384"/>
      <c r="I1304" s="384"/>
      <c r="J1304" s="378"/>
      <c r="AG1304" s="383"/>
      <c r="AH1304" s="22"/>
      <c r="AI1304" s="22"/>
      <c r="AJ1304" s="22"/>
      <c r="AK1304" s="22"/>
      <c r="AL1304" s="22"/>
      <c r="AM1304" s="22"/>
      <c r="AN1304" s="22"/>
      <c r="AO1304" s="22"/>
      <c r="AP1304" s="22"/>
    </row>
    <row r="1305" ht="25.5" customHeight="1">
      <c r="H1305" s="384"/>
      <c r="I1305" s="384"/>
      <c r="J1305" s="378"/>
      <c r="AG1305" s="383"/>
      <c r="AH1305" s="22"/>
      <c r="AI1305" s="22"/>
      <c r="AJ1305" s="22"/>
      <c r="AK1305" s="22"/>
      <c r="AL1305" s="22"/>
      <c r="AM1305" s="22"/>
      <c r="AN1305" s="22"/>
      <c r="AO1305" s="22"/>
      <c r="AP1305" s="22"/>
    </row>
    <row r="1306" ht="25.5" customHeight="1">
      <c r="H1306" s="384"/>
      <c r="I1306" s="384"/>
      <c r="J1306" s="378"/>
      <c r="AG1306" s="383"/>
      <c r="AH1306" s="22"/>
      <c r="AI1306" s="22"/>
      <c r="AJ1306" s="22"/>
      <c r="AK1306" s="22"/>
      <c r="AL1306" s="22"/>
      <c r="AM1306" s="22"/>
      <c r="AN1306" s="22"/>
      <c r="AO1306" s="22"/>
      <c r="AP1306" s="22"/>
    </row>
    <row r="1307" ht="25.5" customHeight="1">
      <c r="H1307" s="384"/>
      <c r="I1307" s="384"/>
      <c r="J1307" s="378"/>
      <c r="AG1307" s="383"/>
      <c r="AH1307" s="22"/>
      <c r="AI1307" s="22"/>
      <c r="AJ1307" s="22"/>
      <c r="AK1307" s="22"/>
      <c r="AL1307" s="22"/>
      <c r="AM1307" s="22"/>
      <c r="AN1307" s="22"/>
      <c r="AO1307" s="22"/>
      <c r="AP1307" s="22"/>
    </row>
    <row r="1308" ht="25.5" customHeight="1">
      <c r="H1308" s="384"/>
      <c r="I1308" s="384"/>
      <c r="J1308" s="378"/>
      <c r="AG1308" s="383"/>
      <c r="AH1308" s="22"/>
      <c r="AI1308" s="22"/>
      <c r="AJ1308" s="22"/>
      <c r="AK1308" s="22"/>
      <c r="AL1308" s="22"/>
      <c r="AM1308" s="22"/>
      <c r="AN1308" s="22"/>
      <c r="AO1308" s="22"/>
      <c r="AP1308" s="22"/>
    </row>
    <row r="1309" ht="25.5" customHeight="1">
      <c r="H1309" s="384"/>
      <c r="I1309" s="384"/>
      <c r="J1309" s="378"/>
      <c r="AG1309" s="383"/>
      <c r="AH1309" s="22"/>
      <c r="AI1309" s="22"/>
      <c r="AJ1309" s="22"/>
      <c r="AK1309" s="22"/>
      <c r="AL1309" s="22"/>
      <c r="AM1309" s="22"/>
      <c r="AN1309" s="22"/>
      <c r="AO1309" s="22"/>
      <c r="AP1309" s="22"/>
    </row>
    <row r="1310" ht="25.5" customHeight="1">
      <c r="H1310" s="384"/>
      <c r="I1310" s="384"/>
      <c r="J1310" s="378"/>
      <c r="AG1310" s="383"/>
      <c r="AH1310" s="22"/>
      <c r="AI1310" s="22"/>
      <c r="AJ1310" s="22"/>
      <c r="AK1310" s="22"/>
      <c r="AL1310" s="22"/>
      <c r="AM1310" s="22"/>
      <c r="AN1310" s="22"/>
      <c r="AO1310" s="22"/>
      <c r="AP1310" s="22"/>
    </row>
    <row r="1311" ht="25.5" customHeight="1">
      <c r="H1311" s="384"/>
      <c r="I1311" s="384"/>
      <c r="J1311" s="378"/>
      <c r="AG1311" s="383"/>
      <c r="AH1311" s="22"/>
      <c r="AI1311" s="22"/>
      <c r="AJ1311" s="22"/>
      <c r="AK1311" s="22"/>
      <c r="AL1311" s="22"/>
      <c r="AM1311" s="22"/>
      <c r="AN1311" s="22"/>
      <c r="AO1311" s="22"/>
      <c r="AP1311" s="22"/>
    </row>
    <row r="1312" ht="25.5" customHeight="1">
      <c r="H1312" s="384"/>
      <c r="I1312" s="384"/>
      <c r="J1312" s="378"/>
      <c r="AG1312" s="383"/>
      <c r="AH1312" s="22"/>
      <c r="AI1312" s="22"/>
      <c r="AJ1312" s="22"/>
      <c r="AK1312" s="22"/>
      <c r="AL1312" s="22"/>
      <c r="AM1312" s="22"/>
      <c r="AN1312" s="22"/>
      <c r="AO1312" s="22"/>
      <c r="AP1312" s="22"/>
    </row>
    <row r="1313" ht="25.5" customHeight="1">
      <c r="H1313" s="384"/>
      <c r="I1313" s="384"/>
      <c r="J1313" s="378"/>
      <c r="AG1313" s="383"/>
      <c r="AH1313" s="22"/>
      <c r="AI1313" s="22"/>
      <c r="AJ1313" s="22"/>
      <c r="AK1313" s="22"/>
      <c r="AL1313" s="22"/>
      <c r="AM1313" s="22"/>
      <c r="AN1313" s="22"/>
      <c r="AO1313" s="22"/>
      <c r="AP1313" s="22"/>
    </row>
    <row r="1314" ht="25.5" customHeight="1">
      <c r="H1314" s="384"/>
      <c r="I1314" s="384"/>
      <c r="J1314" s="378"/>
      <c r="AG1314" s="383"/>
      <c r="AH1314" s="22"/>
      <c r="AI1314" s="22"/>
      <c r="AJ1314" s="22"/>
      <c r="AK1314" s="22"/>
      <c r="AL1314" s="22"/>
      <c r="AM1314" s="22"/>
      <c r="AN1314" s="22"/>
      <c r="AO1314" s="22"/>
      <c r="AP1314" s="22"/>
    </row>
    <row r="1315" ht="25.5" customHeight="1">
      <c r="H1315" s="384"/>
      <c r="I1315" s="384"/>
      <c r="J1315" s="378"/>
      <c r="AG1315" s="383"/>
      <c r="AH1315" s="22"/>
      <c r="AI1315" s="22"/>
      <c r="AJ1315" s="22"/>
      <c r="AK1315" s="22"/>
      <c r="AL1315" s="22"/>
      <c r="AM1315" s="22"/>
      <c r="AN1315" s="22"/>
      <c r="AO1315" s="22"/>
      <c r="AP1315" s="22"/>
    </row>
    <row r="1316" ht="25.5" customHeight="1">
      <c r="H1316" s="384"/>
      <c r="I1316" s="384"/>
      <c r="J1316" s="378"/>
      <c r="AG1316" s="383"/>
      <c r="AH1316" s="22"/>
      <c r="AI1316" s="22"/>
      <c r="AJ1316" s="22"/>
      <c r="AK1316" s="22"/>
      <c r="AL1316" s="22"/>
      <c r="AM1316" s="22"/>
      <c r="AN1316" s="22"/>
      <c r="AO1316" s="22"/>
      <c r="AP1316" s="22"/>
    </row>
    <row r="1317" ht="25.5" customHeight="1">
      <c r="H1317" s="384"/>
      <c r="I1317" s="384"/>
      <c r="J1317" s="378"/>
      <c r="AG1317" s="383"/>
      <c r="AH1317" s="22"/>
      <c r="AI1317" s="22"/>
      <c r="AJ1317" s="22"/>
      <c r="AK1317" s="22"/>
      <c r="AL1317" s="22"/>
      <c r="AM1317" s="22"/>
      <c r="AN1317" s="22"/>
      <c r="AO1317" s="22"/>
      <c r="AP1317" s="22"/>
    </row>
    <row r="1318" ht="25.5" customHeight="1">
      <c r="H1318" s="384"/>
      <c r="I1318" s="384"/>
      <c r="J1318" s="378"/>
      <c r="AG1318" s="383"/>
      <c r="AH1318" s="22"/>
      <c r="AI1318" s="22"/>
      <c r="AJ1318" s="22"/>
      <c r="AK1318" s="22"/>
      <c r="AL1318" s="22"/>
      <c r="AM1318" s="22"/>
      <c r="AN1318" s="22"/>
      <c r="AO1318" s="22"/>
      <c r="AP1318" s="22"/>
    </row>
    <row r="1319" ht="25.5" customHeight="1">
      <c r="H1319" s="384"/>
      <c r="I1319" s="384"/>
      <c r="J1319" s="378"/>
      <c r="AG1319" s="383"/>
      <c r="AH1319" s="22"/>
      <c r="AI1319" s="22"/>
      <c r="AJ1319" s="22"/>
      <c r="AK1319" s="22"/>
      <c r="AL1319" s="22"/>
      <c r="AM1319" s="22"/>
      <c r="AN1319" s="22"/>
      <c r="AO1319" s="22"/>
      <c r="AP1319" s="22"/>
    </row>
    <row r="1320" ht="25.5" customHeight="1">
      <c r="H1320" s="384"/>
      <c r="I1320" s="384"/>
      <c r="J1320" s="378"/>
      <c r="AG1320" s="383"/>
      <c r="AH1320" s="22"/>
      <c r="AI1320" s="22"/>
      <c r="AJ1320" s="22"/>
      <c r="AK1320" s="22"/>
      <c r="AL1320" s="22"/>
      <c r="AM1320" s="22"/>
      <c r="AN1320" s="22"/>
      <c r="AO1320" s="22"/>
      <c r="AP1320" s="22"/>
    </row>
    <row r="1321" ht="25.5" customHeight="1">
      <c r="H1321" s="384"/>
      <c r="I1321" s="384"/>
      <c r="J1321" s="378"/>
      <c r="AG1321" s="383"/>
      <c r="AH1321" s="22"/>
      <c r="AI1321" s="22"/>
      <c r="AJ1321" s="22"/>
      <c r="AK1321" s="22"/>
      <c r="AL1321" s="22"/>
      <c r="AM1321" s="22"/>
      <c r="AN1321" s="22"/>
      <c r="AO1321" s="22"/>
      <c r="AP1321" s="22"/>
    </row>
    <row r="1322" ht="25.5" customHeight="1">
      <c r="H1322" s="384"/>
      <c r="I1322" s="384"/>
      <c r="J1322" s="378"/>
      <c r="AG1322" s="383"/>
      <c r="AH1322" s="22"/>
      <c r="AI1322" s="22"/>
      <c r="AJ1322" s="22"/>
      <c r="AK1322" s="22"/>
      <c r="AL1322" s="22"/>
      <c r="AM1322" s="22"/>
      <c r="AN1322" s="22"/>
      <c r="AO1322" s="22"/>
      <c r="AP1322" s="22"/>
    </row>
    <row r="1323" ht="25.5" customHeight="1">
      <c r="H1323" s="384"/>
      <c r="I1323" s="384"/>
      <c r="J1323" s="378"/>
      <c r="AG1323" s="383"/>
      <c r="AH1323" s="22"/>
      <c r="AI1323" s="22"/>
      <c r="AJ1323" s="22"/>
      <c r="AK1323" s="22"/>
      <c r="AL1323" s="22"/>
      <c r="AM1323" s="22"/>
      <c r="AN1323" s="22"/>
      <c r="AO1323" s="22"/>
      <c r="AP1323" s="22"/>
    </row>
    <row r="1324" ht="25.5" customHeight="1">
      <c r="H1324" s="384"/>
      <c r="I1324" s="384"/>
      <c r="J1324" s="378"/>
      <c r="AG1324" s="383"/>
      <c r="AH1324" s="22"/>
      <c r="AI1324" s="22"/>
      <c r="AJ1324" s="22"/>
      <c r="AK1324" s="22"/>
      <c r="AL1324" s="22"/>
      <c r="AM1324" s="22"/>
      <c r="AN1324" s="22"/>
      <c r="AO1324" s="22"/>
      <c r="AP1324" s="22"/>
    </row>
    <row r="1325" ht="25.5" customHeight="1">
      <c r="H1325" s="384"/>
      <c r="I1325" s="384"/>
      <c r="J1325" s="378"/>
      <c r="AG1325" s="383"/>
      <c r="AH1325" s="22"/>
      <c r="AI1325" s="22"/>
      <c r="AJ1325" s="22"/>
      <c r="AK1325" s="22"/>
      <c r="AL1325" s="22"/>
      <c r="AM1325" s="22"/>
      <c r="AN1325" s="22"/>
      <c r="AO1325" s="22"/>
      <c r="AP1325" s="22"/>
    </row>
    <row r="1326" ht="25.5" customHeight="1">
      <c r="H1326" s="384"/>
      <c r="I1326" s="384"/>
      <c r="J1326" s="378"/>
      <c r="AG1326" s="383"/>
      <c r="AH1326" s="22"/>
      <c r="AI1326" s="22"/>
      <c r="AJ1326" s="22"/>
      <c r="AK1326" s="22"/>
      <c r="AL1326" s="22"/>
      <c r="AM1326" s="22"/>
      <c r="AN1326" s="22"/>
      <c r="AO1326" s="22"/>
      <c r="AP1326" s="22"/>
    </row>
    <row r="1327" ht="25.5" customHeight="1">
      <c r="H1327" s="384"/>
      <c r="I1327" s="384"/>
      <c r="J1327" s="378"/>
      <c r="AG1327" s="383"/>
      <c r="AH1327" s="22"/>
      <c r="AI1327" s="22"/>
      <c r="AJ1327" s="22"/>
      <c r="AK1327" s="22"/>
      <c r="AL1327" s="22"/>
      <c r="AM1327" s="22"/>
      <c r="AN1327" s="22"/>
      <c r="AO1327" s="22"/>
      <c r="AP1327" s="22"/>
    </row>
    <row r="1328" ht="25.5" customHeight="1">
      <c r="H1328" s="384"/>
      <c r="I1328" s="384"/>
      <c r="J1328" s="378"/>
      <c r="AG1328" s="383"/>
      <c r="AH1328" s="22"/>
      <c r="AI1328" s="22"/>
      <c r="AJ1328" s="22"/>
      <c r="AK1328" s="22"/>
      <c r="AL1328" s="22"/>
      <c r="AM1328" s="22"/>
      <c r="AN1328" s="22"/>
      <c r="AO1328" s="22"/>
      <c r="AP1328" s="22"/>
    </row>
    <row r="1329" ht="25.5" customHeight="1">
      <c r="H1329" s="384"/>
      <c r="I1329" s="384"/>
      <c r="J1329" s="378"/>
      <c r="AG1329" s="383"/>
      <c r="AH1329" s="22"/>
      <c r="AI1329" s="22"/>
      <c r="AJ1329" s="22"/>
      <c r="AK1329" s="22"/>
      <c r="AL1329" s="22"/>
      <c r="AM1329" s="22"/>
      <c r="AN1329" s="22"/>
      <c r="AO1329" s="22"/>
      <c r="AP1329" s="22"/>
    </row>
    <row r="1330" ht="25.5" customHeight="1">
      <c r="H1330" s="384"/>
      <c r="I1330" s="384"/>
      <c r="J1330" s="378"/>
      <c r="AG1330" s="383"/>
      <c r="AH1330" s="22"/>
      <c r="AI1330" s="22"/>
      <c r="AJ1330" s="22"/>
      <c r="AK1330" s="22"/>
      <c r="AL1330" s="22"/>
      <c r="AM1330" s="22"/>
      <c r="AN1330" s="22"/>
      <c r="AO1330" s="22"/>
      <c r="AP1330" s="22"/>
    </row>
    <row r="1331" ht="25.5" customHeight="1">
      <c r="H1331" s="384"/>
      <c r="I1331" s="384"/>
      <c r="J1331" s="378"/>
      <c r="AG1331" s="383"/>
      <c r="AH1331" s="22"/>
      <c r="AI1331" s="22"/>
      <c r="AJ1331" s="22"/>
      <c r="AK1331" s="22"/>
      <c r="AL1331" s="22"/>
      <c r="AM1331" s="22"/>
      <c r="AN1331" s="22"/>
      <c r="AO1331" s="22"/>
      <c r="AP1331" s="22"/>
    </row>
    <row r="1332" ht="25.5" customHeight="1">
      <c r="H1332" s="384"/>
      <c r="I1332" s="384"/>
      <c r="J1332" s="378"/>
      <c r="AG1332" s="383"/>
      <c r="AH1332" s="22"/>
      <c r="AI1332" s="22"/>
      <c r="AJ1332" s="22"/>
      <c r="AK1332" s="22"/>
      <c r="AL1332" s="22"/>
      <c r="AM1332" s="22"/>
      <c r="AN1332" s="22"/>
      <c r="AO1332" s="22"/>
      <c r="AP1332" s="22"/>
    </row>
    <row r="1333" ht="25.5" customHeight="1">
      <c r="H1333" s="384"/>
      <c r="I1333" s="384"/>
      <c r="J1333" s="378"/>
      <c r="AG1333" s="383"/>
      <c r="AH1333" s="22"/>
      <c r="AI1333" s="22"/>
      <c r="AJ1333" s="22"/>
      <c r="AK1333" s="22"/>
      <c r="AL1333" s="22"/>
      <c r="AM1333" s="22"/>
      <c r="AN1333" s="22"/>
      <c r="AO1333" s="22"/>
      <c r="AP1333" s="22"/>
    </row>
    <row r="1334" ht="25.5" customHeight="1">
      <c r="H1334" s="384"/>
      <c r="I1334" s="384"/>
      <c r="J1334" s="378"/>
      <c r="AG1334" s="383"/>
      <c r="AH1334" s="22"/>
      <c r="AI1334" s="22"/>
      <c r="AJ1334" s="22"/>
      <c r="AK1334" s="22"/>
      <c r="AL1334" s="22"/>
      <c r="AM1334" s="22"/>
      <c r="AN1334" s="22"/>
      <c r="AO1334" s="22"/>
      <c r="AP1334" s="22"/>
    </row>
    <row r="1335" ht="25.5" customHeight="1">
      <c r="H1335" s="384"/>
      <c r="I1335" s="384"/>
      <c r="J1335" s="378"/>
      <c r="AG1335" s="383"/>
      <c r="AH1335" s="22"/>
      <c r="AI1335" s="22"/>
      <c r="AJ1335" s="22"/>
      <c r="AK1335" s="22"/>
      <c r="AL1335" s="22"/>
      <c r="AM1335" s="22"/>
      <c r="AN1335" s="22"/>
      <c r="AO1335" s="22"/>
      <c r="AP1335" s="22"/>
    </row>
    <row r="1336" ht="25.5" customHeight="1">
      <c r="H1336" s="384"/>
      <c r="I1336" s="384"/>
      <c r="J1336" s="378"/>
      <c r="AG1336" s="383"/>
      <c r="AH1336" s="22"/>
      <c r="AI1336" s="22"/>
      <c r="AJ1336" s="22"/>
      <c r="AK1336" s="22"/>
      <c r="AL1336" s="22"/>
      <c r="AM1336" s="22"/>
      <c r="AN1336" s="22"/>
      <c r="AO1336" s="22"/>
      <c r="AP1336" s="22"/>
    </row>
    <row r="1337" ht="25.5" customHeight="1">
      <c r="H1337" s="384"/>
      <c r="I1337" s="384"/>
      <c r="J1337" s="378"/>
      <c r="AG1337" s="383"/>
      <c r="AH1337" s="22"/>
      <c r="AI1337" s="22"/>
      <c r="AJ1337" s="22"/>
      <c r="AK1337" s="22"/>
      <c r="AL1337" s="22"/>
      <c r="AM1337" s="22"/>
      <c r="AN1337" s="22"/>
      <c r="AO1337" s="22"/>
      <c r="AP1337" s="22"/>
    </row>
    <row r="1338" ht="25.5" customHeight="1">
      <c r="H1338" s="384"/>
      <c r="I1338" s="384"/>
      <c r="J1338" s="378"/>
      <c r="AG1338" s="383"/>
      <c r="AH1338" s="22"/>
      <c r="AI1338" s="22"/>
      <c r="AJ1338" s="22"/>
      <c r="AK1338" s="22"/>
      <c r="AL1338" s="22"/>
      <c r="AM1338" s="22"/>
      <c r="AN1338" s="22"/>
      <c r="AO1338" s="22"/>
      <c r="AP1338" s="22"/>
    </row>
    <row r="1339" ht="25.5" customHeight="1">
      <c r="H1339" s="384"/>
      <c r="I1339" s="384"/>
      <c r="J1339" s="378"/>
      <c r="AG1339" s="383"/>
      <c r="AH1339" s="22"/>
      <c r="AI1339" s="22"/>
      <c r="AJ1339" s="22"/>
      <c r="AK1339" s="22"/>
      <c r="AL1339" s="22"/>
      <c r="AM1339" s="22"/>
      <c r="AN1339" s="22"/>
      <c r="AO1339" s="22"/>
      <c r="AP1339" s="22"/>
    </row>
    <row r="1340" ht="25.5" customHeight="1">
      <c r="H1340" s="384"/>
      <c r="I1340" s="384"/>
      <c r="J1340" s="378"/>
      <c r="AG1340" s="383"/>
      <c r="AH1340" s="22"/>
      <c r="AI1340" s="22"/>
      <c r="AJ1340" s="22"/>
      <c r="AK1340" s="22"/>
      <c r="AL1340" s="22"/>
      <c r="AM1340" s="22"/>
      <c r="AN1340" s="22"/>
      <c r="AO1340" s="22"/>
      <c r="AP1340" s="22"/>
    </row>
    <row r="1341" ht="25.5" customHeight="1">
      <c r="H1341" s="384"/>
      <c r="I1341" s="384"/>
      <c r="J1341" s="378"/>
      <c r="AG1341" s="383"/>
      <c r="AH1341" s="22"/>
      <c r="AI1341" s="22"/>
      <c r="AJ1341" s="22"/>
      <c r="AK1341" s="22"/>
      <c r="AL1341" s="22"/>
      <c r="AM1341" s="22"/>
      <c r="AN1341" s="22"/>
      <c r="AO1341" s="22"/>
      <c r="AP1341" s="22"/>
    </row>
    <row r="1342" ht="25.5" customHeight="1">
      <c r="H1342" s="384"/>
      <c r="I1342" s="384"/>
      <c r="J1342" s="378"/>
      <c r="AG1342" s="383"/>
      <c r="AH1342" s="22"/>
      <c r="AI1342" s="22"/>
      <c r="AJ1342" s="22"/>
      <c r="AK1342" s="22"/>
      <c r="AL1342" s="22"/>
      <c r="AM1342" s="22"/>
      <c r="AN1342" s="22"/>
      <c r="AO1342" s="22"/>
      <c r="AP1342" s="22"/>
    </row>
    <row r="1343" ht="25.5" customHeight="1">
      <c r="H1343" s="384"/>
      <c r="I1343" s="384"/>
      <c r="J1343" s="378"/>
      <c r="AG1343" s="383"/>
      <c r="AH1343" s="22"/>
      <c r="AI1343" s="22"/>
      <c r="AJ1343" s="22"/>
      <c r="AK1343" s="22"/>
      <c r="AL1343" s="22"/>
      <c r="AM1343" s="22"/>
      <c r="AN1343" s="22"/>
      <c r="AO1343" s="22"/>
      <c r="AP1343" s="22"/>
    </row>
    <row r="1344" ht="25.5" customHeight="1">
      <c r="H1344" s="384"/>
      <c r="I1344" s="384"/>
      <c r="J1344" s="378"/>
      <c r="AG1344" s="383"/>
      <c r="AH1344" s="22"/>
      <c r="AI1344" s="22"/>
      <c r="AJ1344" s="22"/>
      <c r="AK1344" s="22"/>
      <c r="AL1344" s="22"/>
      <c r="AM1344" s="22"/>
      <c r="AN1344" s="22"/>
      <c r="AO1344" s="22"/>
      <c r="AP1344" s="22"/>
    </row>
    <row r="1345" ht="25.5" customHeight="1">
      <c r="H1345" s="384"/>
      <c r="I1345" s="384"/>
      <c r="J1345" s="378"/>
      <c r="AG1345" s="383"/>
      <c r="AH1345" s="22"/>
      <c r="AI1345" s="22"/>
      <c r="AJ1345" s="22"/>
      <c r="AK1345" s="22"/>
      <c r="AL1345" s="22"/>
      <c r="AM1345" s="22"/>
      <c r="AN1345" s="22"/>
      <c r="AO1345" s="22"/>
      <c r="AP1345" s="22"/>
    </row>
    <row r="1346" ht="25.5" customHeight="1">
      <c r="H1346" s="384"/>
      <c r="I1346" s="384"/>
      <c r="J1346" s="378"/>
      <c r="AG1346" s="383"/>
      <c r="AH1346" s="22"/>
      <c r="AI1346" s="22"/>
      <c r="AJ1346" s="22"/>
      <c r="AK1346" s="22"/>
      <c r="AL1346" s="22"/>
      <c r="AM1346" s="22"/>
      <c r="AN1346" s="22"/>
      <c r="AO1346" s="22"/>
      <c r="AP1346" s="22"/>
    </row>
    <row r="1347" ht="25.5" customHeight="1">
      <c r="H1347" s="384"/>
      <c r="I1347" s="384"/>
      <c r="J1347" s="378"/>
      <c r="AG1347" s="383"/>
      <c r="AH1347" s="22"/>
      <c r="AI1347" s="22"/>
      <c r="AJ1347" s="22"/>
      <c r="AK1347" s="22"/>
      <c r="AL1347" s="22"/>
      <c r="AM1347" s="22"/>
      <c r="AN1347" s="22"/>
      <c r="AO1347" s="22"/>
      <c r="AP1347" s="22"/>
    </row>
    <row r="1348" ht="25.5" customHeight="1">
      <c r="H1348" s="384"/>
      <c r="I1348" s="384"/>
      <c r="J1348" s="378"/>
      <c r="AG1348" s="383"/>
      <c r="AH1348" s="22"/>
      <c r="AI1348" s="22"/>
      <c r="AJ1348" s="22"/>
      <c r="AK1348" s="22"/>
      <c r="AL1348" s="22"/>
      <c r="AM1348" s="22"/>
      <c r="AN1348" s="22"/>
      <c r="AO1348" s="22"/>
      <c r="AP1348" s="22"/>
    </row>
    <row r="1349" ht="25.5" customHeight="1">
      <c r="H1349" s="384"/>
      <c r="I1349" s="384"/>
      <c r="J1349" s="378"/>
      <c r="AG1349" s="383"/>
      <c r="AH1349" s="22"/>
      <c r="AI1349" s="22"/>
      <c r="AJ1349" s="22"/>
      <c r="AK1349" s="22"/>
      <c r="AL1349" s="22"/>
      <c r="AM1349" s="22"/>
      <c r="AN1349" s="22"/>
      <c r="AO1349" s="22"/>
      <c r="AP1349" s="22"/>
    </row>
    <row r="1350" ht="25.5" customHeight="1">
      <c r="H1350" s="384"/>
      <c r="I1350" s="384"/>
      <c r="J1350" s="378"/>
      <c r="AG1350" s="383"/>
      <c r="AH1350" s="22"/>
      <c r="AI1350" s="22"/>
      <c r="AJ1350" s="22"/>
      <c r="AK1350" s="22"/>
      <c r="AL1350" s="22"/>
      <c r="AM1350" s="22"/>
      <c r="AN1350" s="22"/>
      <c r="AO1350" s="22"/>
      <c r="AP1350" s="22"/>
    </row>
    <row r="1351" ht="25.5" customHeight="1">
      <c r="H1351" s="384"/>
      <c r="I1351" s="384"/>
      <c r="J1351" s="378"/>
      <c r="AG1351" s="383"/>
      <c r="AH1351" s="22"/>
      <c r="AI1351" s="22"/>
      <c r="AJ1351" s="22"/>
      <c r="AK1351" s="22"/>
      <c r="AL1351" s="22"/>
      <c r="AM1351" s="22"/>
      <c r="AN1351" s="22"/>
      <c r="AO1351" s="22"/>
      <c r="AP1351" s="22"/>
    </row>
    <row r="1352" ht="25.5" customHeight="1">
      <c r="H1352" s="384"/>
      <c r="I1352" s="384"/>
      <c r="J1352" s="378"/>
      <c r="AG1352" s="383"/>
      <c r="AH1352" s="22"/>
      <c r="AI1352" s="22"/>
      <c r="AJ1352" s="22"/>
      <c r="AK1352" s="22"/>
      <c r="AL1352" s="22"/>
      <c r="AM1352" s="22"/>
      <c r="AN1352" s="22"/>
      <c r="AO1352" s="22"/>
      <c r="AP1352" s="22"/>
    </row>
    <row r="1353" ht="25.5" customHeight="1">
      <c r="H1353" s="384"/>
      <c r="I1353" s="384"/>
      <c r="J1353" s="378"/>
      <c r="AG1353" s="383"/>
      <c r="AH1353" s="22"/>
      <c r="AI1353" s="22"/>
      <c r="AJ1353" s="22"/>
      <c r="AK1353" s="22"/>
      <c r="AL1353" s="22"/>
      <c r="AM1353" s="22"/>
      <c r="AN1353" s="22"/>
      <c r="AO1353" s="22"/>
      <c r="AP1353" s="22"/>
    </row>
    <row r="1354" ht="25.5" customHeight="1">
      <c r="H1354" s="384"/>
      <c r="I1354" s="384"/>
      <c r="J1354" s="378"/>
      <c r="AG1354" s="383"/>
      <c r="AH1354" s="22"/>
      <c r="AI1354" s="22"/>
      <c r="AJ1354" s="22"/>
      <c r="AK1354" s="22"/>
      <c r="AL1354" s="22"/>
      <c r="AM1354" s="22"/>
      <c r="AN1354" s="22"/>
      <c r="AO1354" s="22"/>
      <c r="AP1354" s="22"/>
    </row>
    <row r="1355" ht="25.5" customHeight="1">
      <c r="H1355" s="384"/>
      <c r="I1355" s="384"/>
      <c r="J1355" s="378"/>
      <c r="AG1355" s="383"/>
      <c r="AH1355" s="22"/>
      <c r="AI1355" s="22"/>
      <c r="AJ1355" s="22"/>
      <c r="AK1355" s="22"/>
      <c r="AL1355" s="22"/>
      <c r="AM1355" s="22"/>
      <c r="AN1355" s="22"/>
      <c r="AO1355" s="22"/>
      <c r="AP1355" s="22"/>
    </row>
    <row r="1356" ht="25.5" customHeight="1">
      <c r="H1356" s="384"/>
      <c r="I1356" s="384"/>
      <c r="J1356" s="378"/>
      <c r="AG1356" s="383"/>
      <c r="AH1356" s="22"/>
      <c r="AI1356" s="22"/>
      <c r="AJ1356" s="22"/>
      <c r="AK1356" s="22"/>
      <c r="AL1356" s="22"/>
      <c r="AM1356" s="22"/>
      <c r="AN1356" s="22"/>
      <c r="AO1356" s="22"/>
      <c r="AP1356" s="22"/>
    </row>
    <row r="1357" ht="25.5" customHeight="1">
      <c r="H1357" s="384"/>
      <c r="I1357" s="384"/>
      <c r="J1357" s="378"/>
      <c r="AG1357" s="383"/>
      <c r="AH1357" s="22"/>
      <c r="AI1357" s="22"/>
      <c r="AJ1357" s="22"/>
      <c r="AK1357" s="22"/>
      <c r="AL1357" s="22"/>
      <c r="AM1357" s="22"/>
      <c r="AN1357" s="22"/>
      <c r="AO1357" s="22"/>
      <c r="AP1357" s="22"/>
    </row>
    <row r="1358" ht="25.5" customHeight="1">
      <c r="H1358" s="384"/>
      <c r="I1358" s="384"/>
      <c r="J1358" s="378"/>
      <c r="AG1358" s="383"/>
      <c r="AH1358" s="22"/>
      <c r="AI1358" s="22"/>
      <c r="AJ1358" s="22"/>
      <c r="AK1358" s="22"/>
      <c r="AL1358" s="22"/>
      <c r="AM1358" s="22"/>
      <c r="AN1358" s="22"/>
      <c r="AO1358" s="22"/>
      <c r="AP1358" s="22"/>
    </row>
    <row r="1359" ht="25.5" customHeight="1">
      <c r="H1359" s="384"/>
      <c r="I1359" s="384"/>
      <c r="J1359" s="378"/>
      <c r="AG1359" s="383"/>
      <c r="AH1359" s="22"/>
      <c r="AI1359" s="22"/>
      <c r="AJ1359" s="22"/>
      <c r="AK1359" s="22"/>
      <c r="AL1359" s="22"/>
      <c r="AM1359" s="22"/>
      <c r="AN1359" s="22"/>
      <c r="AO1359" s="22"/>
      <c r="AP1359" s="22"/>
    </row>
    <row r="1360" ht="25.5" customHeight="1">
      <c r="H1360" s="384"/>
      <c r="I1360" s="384"/>
      <c r="J1360" s="378"/>
      <c r="AG1360" s="383"/>
      <c r="AH1360" s="22"/>
      <c r="AI1360" s="22"/>
      <c r="AJ1360" s="22"/>
      <c r="AK1360" s="22"/>
      <c r="AL1360" s="22"/>
      <c r="AM1360" s="22"/>
      <c r="AN1360" s="22"/>
      <c r="AO1360" s="22"/>
      <c r="AP1360" s="22"/>
    </row>
    <row r="1361" ht="25.5" customHeight="1">
      <c r="H1361" s="384"/>
      <c r="I1361" s="384"/>
      <c r="J1361" s="378"/>
      <c r="AG1361" s="383"/>
      <c r="AH1361" s="22"/>
      <c r="AI1361" s="22"/>
      <c r="AJ1361" s="22"/>
      <c r="AK1361" s="22"/>
      <c r="AL1361" s="22"/>
      <c r="AM1361" s="22"/>
      <c r="AN1361" s="22"/>
      <c r="AO1361" s="22"/>
      <c r="AP1361" s="22"/>
    </row>
    <row r="1362" ht="25.5" customHeight="1">
      <c r="H1362" s="384"/>
      <c r="I1362" s="384"/>
      <c r="J1362" s="378"/>
      <c r="AG1362" s="383"/>
      <c r="AH1362" s="22"/>
      <c r="AI1362" s="22"/>
      <c r="AJ1362" s="22"/>
      <c r="AK1362" s="22"/>
      <c r="AL1362" s="22"/>
      <c r="AM1362" s="22"/>
      <c r="AN1362" s="22"/>
      <c r="AO1362" s="22"/>
      <c r="AP1362" s="22"/>
    </row>
    <row r="1363" ht="25.5" customHeight="1">
      <c r="H1363" s="384"/>
      <c r="I1363" s="384"/>
      <c r="J1363" s="378"/>
      <c r="AG1363" s="383"/>
      <c r="AH1363" s="22"/>
      <c r="AI1363" s="22"/>
      <c r="AJ1363" s="22"/>
      <c r="AK1363" s="22"/>
      <c r="AL1363" s="22"/>
      <c r="AM1363" s="22"/>
      <c r="AN1363" s="22"/>
      <c r="AO1363" s="22"/>
      <c r="AP1363" s="22"/>
    </row>
    <row r="1364" ht="25.5" customHeight="1">
      <c r="H1364" s="384"/>
      <c r="I1364" s="384"/>
      <c r="J1364" s="378"/>
      <c r="AG1364" s="383"/>
      <c r="AH1364" s="22"/>
      <c r="AI1364" s="22"/>
      <c r="AJ1364" s="22"/>
      <c r="AK1364" s="22"/>
      <c r="AL1364" s="22"/>
      <c r="AM1364" s="22"/>
      <c r="AN1364" s="22"/>
      <c r="AO1364" s="22"/>
      <c r="AP1364" s="22"/>
    </row>
    <row r="1365" ht="25.5" customHeight="1">
      <c r="H1365" s="384"/>
      <c r="I1365" s="384"/>
      <c r="J1365" s="378"/>
      <c r="AG1365" s="383"/>
      <c r="AH1365" s="22"/>
      <c r="AI1365" s="22"/>
      <c r="AJ1365" s="22"/>
      <c r="AK1365" s="22"/>
      <c r="AL1365" s="22"/>
      <c r="AM1365" s="22"/>
      <c r="AN1365" s="22"/>
      <c r="AO1365" s="22"/>
      <c r="AP1365" s="22"/>
    </row>
    <row r="1366" ht="25.5" customHeight="1">
      <c r="H1366" s="384"/>
      <c r="I1366" s="384"/>
      <c r="J1366" s="378"/>
      <c r="AG1366" s="383"/>
      <c r="AH1366" s="22"/>
      <c r="AI1366" s="22"/>
      <c r="AJ1366" s="22"/>
      <c r="AK1366" s="22"/>
      <c r="AL1366" s="22"/>
      <c r="AM1366" s="22"/>
      <c r="AN1366" s="22"/>
      <c r="AO1366" s="22"/>
      <c r="AP1366" s="22"/>
    </row>
    <row r="1367" ht="25.5" customHeight="1">
      <c r="H1367" s="384"/>
      <c r="I1367" s="384"/>
      <c r="J1367" s="378"/>
      <c r="AG1367" s="383"/>
      <c r="AH1367" s="22"/>
      <c r="AI1367" s="22"/>
      <c r="AJ1367" s="22"/>
      <c r="AK1367" s="22"/>
      <c r="AL1367" s="22"/>
      <c r="AM1367" s="22"/>
      <c r="AN1367" s="22"/>
      <c r="AO1367" s="22"/>
      <c r="AP1367" s="22"/>
    </row>
    <row r="1368" ht="25.5" customHeight="1">
      <c r="H1368" s="384"/>
      <c r="I1368" s="384"/>
      <c r="J1368" s="378"/>
      <c r="AG1368" s="383"/>
      <c r="AH1368" s="22"/>
      <c r="AI1368" s="22"/>
      <c r="AJ1368" s="22"/>
      <c r="AK1368" s="22"/>
      <c r="AL1368" s="22"/>
      <c r="AM1368" s="22"/>
      <c r="AN1368" s="22"/>
      <c r="AO1368" s="22"/>
      <c r="AP1368" s="22"/>
    </row>
    <row r="1369" ht="25.5" customHeight="1">
      <c r="H1369" s="384"/>
      <c r="I1369" s="384"/>
      <c r="J1369" s="378"/>
      <c r="AG1369" s="383"/>
      <c r="AH1369" s="22"/>
      <c r="AI1369" s="22"/>
      <c r="AJ1369" s="22"/>
      <c r="AK1369" s="22"/>
      <c r="AL1369" s="22"/>
      <c r="AM1369" s="22"/>
      <c r="AN1369" s="22"/>
      <c r="AO1369" s="22"/>
      <c r="AP1369" s="22"/>
    </row>
    <row r="1370" ht="25.5" customHeight="1">
      <c r="H1370" s="384"/>
      <c r="I1370" s="384"/>
      <c r="J1370" s="378"/>
      <c r="AG1370" s="383"/>
      <c r="AH1370" s="22"/>
      <c r="AI1370" s="22"/>
      <c r="AJ1370" s="22"/>
      <c r="AK1370" s="22"/>
      <c r="AL1370" s="22"/>
      <c r="AM1370" s="22"/>
      <c r="AN1370" s="22"/>
      <c r="AO1370" s="22"/>
      <c r="AP1370" s="22"/>
    </row>
    <row r="1371" ht="25.5" customHeight="1">
      <c r="H1371" s="384"/>
      <c r="I1371" s="384"/>
      <c r="J1371" s="378"/>
      <c r="AG1371" s="383"/>
      <c r="AH1371" s="22"/>
      <c r="AI1371" s="22"/>
      <c r="AJ1371" s="22"/>
      <c r="AK1371" s="22"/>
      <c r="AL1371" s="22"/>
      <c r="AM1371" s="22"/>
      <c r="AN1371" s="22"/>
      <c r="AO1371" s="22"/>
      <c r="AP1371" s="22"/>
    </row>
    <row r="1372" ht="25.5" customHeight="1">
      <c r="H1372" s="384"/>
      <c r="I1372" s="384"/>
      <c r="J1372" s="378"/>
      <c r="AG1372" s="383"/>
      <c r="AH1372" s="22"/>
      <c r="AI1372" s="22"/>
      <c r="AJ1372" s="22"/>
      <c r="AK1372" s="22"/>
      <c r="AL1372" s="22"/>
      <c r="AM1372" s="22"/>
      <c r="AN1372" s="22"/>
      <c r="AO1372" s="22"/>
      <c r="AP1372" s="22"/>
    </row>
    <row r="1373" ht="25.5" customHeight="1">
      <c r="H1373" s="384"/>
      <c r="I1373" s="384"/>
      <c r="J1373" s="378"/>
      <c r="AG1373" s="383"/>
      <c r="AH1373" s="22"/>
      <c r="AI1373" s="22"/>
      <c r="AJ1373" s="22"/>
      <c r="AK1373" s="22"/>
      <c r="AL1373" s="22"/>
      <c r="AM1373" s="22"/>
      <c r="AN1373" s="22"/>
      <c r="AO1373" s="22"/>
      <c r="AP1373" s="22"/>
    </row>
    <row r="1374" ht="25.5" customHeight="1">
      <c r="H1374" s="384"/>
      <c r="I1374" s="384"/>
      <c r="J1374" s="378"/>
      <c r="AG1374" s="383"/>
      <c r="AH1374" s="22"/>
      <c r="AI1374" s="22"/>
      <c r="AJ1374" s="22"/>
      <c r="AK1374" s="22"/>
      <c r="AL1374" s="22"/>
      <c r="AM1374" s="22"/>
      <c r="AN1374" s="22"/>
      <c r="AO1374" s="22"/>
      <c r="AP1374" s="22"/>
    </row>
    <row r="1375" ht="25.5" customHeight="1">
      <c r="H1375" s="384"/>
      <c r="I1375" s="384"/>
      <c r="J1375" s="378"/>
      <c r="AG1375" s="383"/>
      <c r="AH1375" s="22"/>
      <c r="AI1375" s="22"/>
      <c r="AJ1375" s="22"/>
      <c r="AK1375" s="22"/>
      <c r="AL1375" s="22"/>
      <c r="AM1375" s="22"/>
      <c r="AN1375" s="22"/>
      <c r="AO1375" s="22"/>
      <c r="AP1375" s="22"/>
    </row>
    <row r="1376" ht="25.5" customHeight="1">
      <c r="H1376" s="384"/>
      <c r="I1376" s="384"/>
      <c r="J1376" s="378"/>
      <c r="AG1376" s="383"/>
      <c r="AH1376" s="22"/>
      <c r="AI1376" s="22"/>
      <c r="AJ1376" s="22"/>
      <c r="AK1376" s="22"/>
      <c r="AL1376" s="22"/>
      <c r="AM1376" s="22"/>
      <c r="AN1376" s="22"/>
      <c r="AO1376" s="22"/>
      <c r="AP1376" s="22"/>
    </row>
    <row r="1377" ht="25.5" customHeight="1">
      <c r="H1377" s="384"/>
      <c r="I1377" s="384"/>
      <c r="J1377" s="378"/>
      <c r="AG1377" s="383"/>
      <c r="AH1377" s="22"/>
      <c r="AI1377" s="22"/>
      <c r="AJ1377" s="22"/>
      <c r="AK1377" s="22"/>
      <c r="AL1377" s="22"/>
      <c r="AM1377" s="22"/>
      <c r="AN1377" s="22"/>
      <c r="AO1377" s="22"/>
      <c r="AP1377" s="22"/>
    </row>
    <row r="1378" ht="25.5" customHeight="1">
      <c r="H1378" s="384"/>
      <c r="I1378" s="384"/>
      <c r="J1378" s="378"/>
      <c r="AG1378" s="383"/>
      <c r="AH1378" s="22"/>
      <c r="AI1378" s="22"/>
      <c r="AJ1378" s="22"/>
      <c r="AK1378" s="22"/>
      <c r="AL1378" s="22"/>
      <c r="AM1378" s="22"/>
      <c r="AN1378" s="22"/>
      <c r="AO1378" s="22"/>
      <c r="AP1378" s="22"/>
    </row>
    <row r="1379" ht="25.5" customHeight="1">
      <c r="H1379" s="384"/>
      <c r="I1379" s="384"/>
      <c r="J1379" s="378"/>
      <c r="AG1379" s="383"/>
      <c r="AH1379" s="22"/>
      <c r="AI1379" s="22"/>
      <c r="AJ1379" s="22"/>
      <c r="AK1379" s="22"/>
      <c r="AL1379" s="22"/>
      <c r="AM1379" s="22"/>
      <c r="AN1379" s="22"/>
      <c r="AO1379" s="22"/>
      <c r="AP1379" s="22"/>
    </row>
    <row r="1380" ht="25.5" customHeight="1">
      <c r="H1380" s="384"/>
      <c r="I1380" s="384"/>
      <c r="J1380" s="378"/>
      <c r="AG1380" s="383"/>
      <c r="AH1380" s="22"/>
      <c r="AI1380" s="22"/>
      <c r="AJ1380" s="22"/>
      <c r="AK1380" s="22"/>
      <c r="AL1380" s="22"/>
      <c r="AM1380" s="22"/>
      <c r="AN1380" s="22"/>
      <c r="AO1380" s="22"/>
      <c r="AP1380" s="22"/>
    </row>
    <row r="1381" ht="25.5" customHeight="1">
      <c r="H1381" s="384"/>
      <c r="I1381" s="384"/>
      <c r="J1381" s="378"/>
      <c r="AG1381" s="383"/>
      <c r="AH1381" s="22"/>
      <c r="AI1381" s="22"/>
      <c r="AJ1381" s="22"/>
      <c r="AK1381" s="22"/>
      <c r="AL1381" s="22"/>
      <c r="AM1381" s="22"/>
      <c r="AN1381" s="22"/>
      <c r="AO1381" s="22"/>
      <c r="AP1381" s="22"/>
    </row>
    <row r="1382" ht="25.5" customHeight="1">
      <c r="H1382" s="384"/>
      <c r="I1382" s="384"/>
      <c r="J1382" s="378"/>
      <c r="AG1382" s="383"/>
      <c r="AH1382" s="22"/>
      <c r="AI1382" s="22"/>
      <c r="AJ1382" s="22"/>
      <c r="AK1382" s="22"/>
      <c r="AL1382" s="22"/>
      <c r="AM1382" s="22"/>
      <c r="AN1382" s="22"/>
      <c r="AO1382" s="22"/>
      <c r="AP1382" s="22"/>
    </row>
    <row r="1383" ht="25.5" customHeight="1">
      <c r="H1383" s="384"/>
      <c r="I1383" s="384"/>
      <c r="J1383" s="378"/>
      <c r="AG1383" s="383"/>
      <c r="AH1383" s="22"/>
      <c r="AI1383" s="22"/>
      <c r="AJ1383" s="22"/>
      <c r="AK1383" s="22"/>
      <c r="AL1383" s="22"/>
      <c r="AM1383" s="22"/>
      <c r="AN1383" s="22"/>
      <c r="AO1383" s="22"/>
      <c r="AP1383" s="22"/>
    </row>
    <row r="1384" ht="25.5" customHeight="1">
      <c r="H1384" s="384"/>
      <c r="I1384" s="384"/>
      <c r="J1384" s="378"/>
      <c r="AG1384" s="383"/>
      <c r="AH1384" s="22"/>
      <c r="AI1384" s="22"/>
      <c r="AJ1384" s="22"/>
      <c r="AK1384" s="22"/>
      <c r="AL1384" s="22"/>
      <c r="AM1384" s="22"/>
      <c r="AN1384" s="22"/>
      <c r="AO1384" s="22"/>
      <c r="AP1384" s="22"/>
    </row>
    <row r="1385" ht="25.5" customHeight="1">
      <c r="H1385" s="384"/>
      <c r="I1385" s="384"/>
      <c r="J1385" s="378"/>
      <c r="AG1385" s="383"/>
      <c r="AH1385" s="22"/>
      <c r="AI1385" s="22"/>
      <c r="AJ1385" s="22"/>
      <c r="AK1385" s="22"/>
      <c r="AL1385" s="22"/>
      <c r="AM1385" s="22"/>
      <c r="AN1385" s="22"/>
      <c r="AO1385" s="22"/>
      <c r="AP1385" s="22"/>
    </row>
    <row r="1386" ht="25.5" customHeight="1">
      <c r="H1386" s="384"/>
      <c r="I1386" s="384"/>
      <c r="J1386" s="378"/>
      <c r="AG1386" s="383"/>
      <c r="AH1386" s="22"/>
      <c r="AI1386" s="22"/>
      <c r="AJ1386" s="22"/>
      <c r="AK1386" s="22"/>
      <c r="AL1386" s="22"/>
      <c r="AM1386" s="22"/>
      <c r="AN1386" s="22"/>
      <c r="AO1386" s="22"/>
      <c r="AP1386" s="22"/>
    </row>
    <row r="1387" ht="25.5" customHeight="1">
      <c r="H1387" s="384"/>
      <c r="I1387" s="384"/>
      <c r="J1387" s="378"/>
      <c r="AG1387" s="383"/>
      <c r="AH1387" s="22"/>
      <c r="AI1387" s="22"/>
      <c r="AJ1387" s="22"/>
      <c r="AK1387" s="22"/>
      <c r="AL1387" s="22"/>
      <c r="AM1387" s="22"/>
      <c r="AN1387" s="22"/>
      <c r="AO1387" s="22"/>
      <c r="AP1387" s="22"/>
    </row>
    <row r="1388" ht="25.5" customHeight="1">
      <c r="H1388" s="384"/>
      <c r="I1388" s="384"/>
      <c r="J1388" s="378"/>
      <c r="AG1388" s="383"/>
      <c r="AH1388" s="22"/>
      <c r="AI1388" s="22"/>
      <c r="AJ1388" s="22"/>
      <c r="AK1388" s="22"/>
      <c r="AL1388" s="22"/>
      <c r="AM1388" s="22"/>
      <c r="AN1388" s="22"/>
      <c r="AO1388" s="22"/>
      <c r="AP1388" s="22"/>
    </row>
    <row r="1389" ht="25.5" customHeight="1">
      <c r="H1389" s="384"/>
      <c r="I1389" s="384"/>
      <c r="J1389" s="378"/>
      <c r="AG1389" s="383"/>
      <c r="AH1389" s="22"/>
      <c r="AI1389" s="22"/>
      <c r="AJ1389" s="22"/>
      <c r="AK1389" s="22"/>
      <c r="AL1389" s="22"/>
      <c r="AM1389" s="22"/>
      <c r="AN1389" s="22"/>
      <c r="AO1389" s="22"/>
      <c r="AP1389" s="22"/>
    </row>
    <row r="1390" ht="25.5" customHeight="1">
      <c r="H1390" s="384"/>
      <c r="I1390" s="384"/>
      <c r="J1390" s="378"/>
      <c r="AG1390" s="383"/>
      <c r="AH1390" s="22"/>
      <c r="AI1390" s="22"/>
      <c r="AJ1390" s="22"/>
      <c r="AK1390" s="22"/>
      <c r="AL1390" s="22"/>
      <c r="AM1390" s="22"/>
      <c r="AN1390" s="22"/>
      <c r="AO1390" s="22"/>
      <c r="AP1390" s="22"/>
    </row>
    <row r="1391" ht="25.5" customHeight="1">
      <c r="H1391" s="384"/>
      <c r="I1391" s="384"/>
      <c r="J1391" s="378"/>
      <c r="AG1391" s="383"/>
      <c r="AH1391" s="22"/>
      <c r="AI1391" s="22"/>
      <c r="AJ1391" s="22"/>
      <c r="AK1391" s="22"/>
      <c r="AL1391" s="22"/>
      <c r="AM1391" s="22"/>
      <c r="AN1391" s="22"/>
      <c r="AO1391" s="22"/>
      <c r="AP1391" s="22"/>
    </row>
    <row r="1392" ht="25.5" customHeight="1">
      <c r="H1392" s="384"/>
      <c r="I1392" s="384"/>
      <c r="J1392" s="378"/>
      <c r="AG1392" s="383"/>
      <c r="AH1392" s="22"/>
      <c r="AI1392" s="22"/>
      <c r="AJ1392" s="22"/>
      <c r="AK1392" s="22"/>
      <c r="AL1392" s="22"/>
      <c r="AM1392" s="22"/>
      <c r="AN1392" s="22"/>
      <c r="AO1392" s="22"/>
      <c r="AP1392" s="22"/>
    </row>
    <row r="1393" ht="25.5" customHeight="1">
      <c r="H1393" s="384"/>
      <c r="I1393" s="384"/>
      <c r="J1393" s="378"/>
      <c r="AG1393" s="383"/>
      <c r="AH1393" s="22"/>
      <c r="AI1393" s="22"/>
      <c r="AJ1393" s="22"/>
      <c r="AK1393" s="22"/>
      <c r="AL1393" s="22"/>
      <c r="AM1393" s="22"/>
      <c r="AN1393" s="22"/>
      <c r="AO1393" s="22"/>
      <c r="AP1393" s="22"/>
    </row>
    <row r="1394" ht="25.5" customHeight="1">
      <c r="H1394" s="384"/>
      <c r="I1394" s="384"/>
      <c r="J1394" s="378"/>
      <c r="AG1394" s="383"/>
      <c r="AH1394" s="22"/>
      <c r="AI1394" s="22"/>
      <c r="AJ1394" s="22"/>
      <c r="AK1394" s="22"/>
      <c r="AL1394" s="22"/>
      <c r="AM1394" s="22"/>
      <c r="AN1394" s="22"/>
      <c r="AO1394" s="22"/>
      <c r="AP1394" s="22"/>
    </row>
    <row r="1395" ht="25.5" customHeight="1">
      <c r="H1395" s="384"/>
      <c r="I1395" s="384"/>
      <c r="J1395" s="378"/>
      <c r="AG1395" s="383"/>
      <c r="AH1395" s="22"/>
      <c r="AI1395" s="22"/>
      <c r="AJ1395" s="22"/>
      <c r="AK1395" s="22"/>
      <c r="AL1395" s="22"/>
      <c r="AM1395" s="22"/>
      <c r="AN1395" s="22"/>
      <c r="AO1395" s="22"/>
      <c r="AP1395" s="22"/>
    </row>
    <row r="1396" ht="25.5" customHeight="1">
      <c r="H1396" s="384"/>
      <c r="I1396" s="384"/>
      <c r="J1396" s="378"/>
      <c r="AG1396" s="383"/>
      <c r="AH1396" s="22"/>
      <c r="AI1396" s="22"/>
      <c r="AJ1396" s="22"/>
      <c r="AK1396" s="22"/>
      <c r="AL1396" s="22"/>
      <c r="AM1396" s="22"/>
      <c r="AN1396" s="22"/>
      <c r="AO1396" s="22"/>
      <c r="AP1396" s="22"/>
    </row>
    <row r="1397" ht="25.5" customHeight="1">
      <c r="H1397" s="384"/>
      <c r="I1397" s="384"/>
      <c r="J1397" s="378"/>
      <c r="AG1397" s="383"/>
      <c r="AH1397" s="22"/>
      <c r="AI1397" s="22"/>
      <c r="AJ1397" s="22"/>
      <c r="AK1397" s="22"/>
      <c r="AL1397" s="22"/>
      <c r="AM1397" s="22"/>
      <c r="AN1397" s="22"/>
      <c r="AO1397" s="22"/>
      <c r="AP1397" s="22"/>
    </row>
    <row r="1398" ht="25.5" customHeight="1">
      <c r="H1398" s="384"/>
      <c r="I1398" s="384"/>
      <c r="J1398" s="378"/>
      <c r="AG1398" s="383"/>
      <c r="AH1398" s="22"/>
      <c r="AI1398" s="22"/>
      <c r="AJ1398" s="22"/>
      <c r="AK1398" s="22"/>
      <c r="AL1398" s="22"/>
      <c r="AM1398" s="22"/>
      <c r="AN1398" s="22"/>
      <c r="AO1398" s="22"/>
      <c r="AP1398" s="22"/>
    </row>
    <row r="1399" ht="25.5" customHeight="1">
      <c r="H1399" s="384"/>
      <c r="I1399" s="384"/>
      <c r="J1399" s="378"/>
      <c r="AG1399" s="383"/>
      <c r="AH1399" s="22"/>
      <c r="AI1399" s="22"/>
      <c r="AJ1399" s="22"/>
      <c r="AK1399" s="22"/>
      <c r="AL1399" s="22"/>
      <c r="AM1399" s="22"/>
      <c r="AN1399" s="22"/>
      <c r="AO1399" s="22"/>
      <c r="AP1399" s="22"/>
    </row>
    <row r="1400" ht="25.5" customHeight="1">
      <c r="H1400" s="384"/>
      <c r="I1400" s="384"/>
      <c r="J1400" s="378"/>
      <c r="AG1400" s="383"/>
      <c r="AH1400" s="22"/>
      <c r="AI1400" s="22"/>
      <c r="AJ1400" s="22"/>
      <c r="AK1400" s="22"/>
      <c r="AL1400" s="22"/>
      <c r="AM1400" s="22"/>
      <c r="AN1400" s="22"/>
      <c r="AO1400" s="22"/>
      <c r="AP1400" s="22"/>
    </row>
    <row r="1401" ht="25.5" customHeight="1">
      <c r="H1401" s="384"/>
      <c r="I1401" s="384"/>
      <c r="J1401" s="378"/>
      <c r="AG1401" s="383"/>
      <c r="AH1401" s="22"/>
      <c r="AI1401" s="22"/>
      <c r="AJ1401" s="22"/>
      <c r="AK1401" s="22"/>
      <c r="AL1401" s="22"/>
      <c r="AM1401" s="22"/>
      <c r="AN1401" s="22"/>
      <c r="AO1401" s="22"/>
      <c r="AP1401" s="22"/>
    </row>
    <row r="1402" ht="25.5" customHeight="1">
      <c r="H1402" s="384"/>
      <c r="I1402" s="384"/>
      <c r="J1402" s="378"/>
      <c r="AG1402" s="383"/>
      <c r="AH1402" s="22"/>
      <c r="AI1402" s="22"/>
      <c r="AJ1402" s="22"/>
      <c r="AK1402" s="22"/>
      <c r="AL1402" s="22"/>
      <c r="AM1402" s="22"/>
      <c r="AN1402" s="22"/>
      <c r="AO1402" s="22"/>
      <c r="AP1402" s="22"/>
    </row>
    <row r="1403" ht="25.5" customHeight="1">
      <c r="H1403" s="384"/>
      <c r="I1403" s="384"/>
      <c r="J1403" s="378"/>
      <c r="AG1403" s="383"/>
      <c r="AH1403" s="22"/>
      <c r="AI1403" s="22"/>
      <c r="AJ1403" s="22"/>
      <c r="AK1403" s="22"/>
      <c r="AL1403" s="22"/>
      <c r="AM1403" s="22"/>
      <c r="AN1403" s="22"/>
      <c r="AO1403" s="22"/>
      <c r="AP1403" s="22"/>
    </row>
    <row r="1404" ht="25.5" customHeight="1">
      <c r="H1404" s="384"/>
      <c r="I1404" s="384"/>
      <c r="J1404" s="378"/>
      <c r="AG1404" s="383"/>
      <c r="AH1404" s="22"/>
      <c r="AI1404" s="22"/>
      <c r="AJ1404" s="22"/>
      <c r="AK1404" s="22"/>
      <c r="AL1404" s="22"/>
      <c r="AM1404" s="22"/>
      <c r="AN1404" s="22"/>
      <c r="AO1404" s="22"/>
      <c r="AP1404" s="22"/>
    </row>
    <row r="1405" ht="25.5" customHeight="1">
      <c r="H1405" s="384"/>
      <c r="I1405" s="384"/>
      <c r="J1405" s="378"/>
      <c r="AG1405" s="383"/>
      <c r="AH1405" s="22"/>
      <c r="AI1405" s="22"/>
      <c r="AJ1405" s="22"/>
      <c r="AK1405" s="22"/>
      <c r="AL1405" s="22"/>
      <c r="AM1405" s="22"/>
      <c r="AN1405" s="22"/>
      <c r="AO1405" s="22"/>
      <c r="AP1405" s="22"/>
    </row>
    <row r="1406" ht="25.5" customHeight="1">
      <c r="H1406" s="384"/>
      <c r="I1406" s="384"/>
      <c r="J1406" s="378"/>
      <c r="AG1406" s="383"/>
      <c r="AH1406" s="22"/>
      <c r="AI1406" s="22"/>
      <c r="AJ1406" s="22"/>
      <c r="AK1406" s="22"/>
      <c r="AL1406" s="22"/>
      <c r="AM1406" s="22"/>
      <c r="AN1406" s="22"/>
      <c r="AO1406" s="22"/>
      <c r="AP1406" s="22"/>
    </row>
    <row r="1407" ht="25.5" customHeight="1">
      <c r="H1407" s="384"/>
      <c r="I1407" s="384"/>
      <c r="J1407" s="378"/>
      <c r="AG1407" s="383"/>
      <c r="AH1407" s="22"/>
      <c r="AI1407" s="22"/>
      <c r="AJ1407" s="22"/>
      <c r="AK1407" s="22"/>
      <c r="AL1407" s="22"/>
      <c r="AM1407" s="22"/>
      <c r="AN1407" s="22"/>
      <c r="AO1407" s="22"/>
      <c r="AP1407" s="22"/>
    </row>
    <row r="1408" ht="25.5" customHeight="1">
      <c r="H1408" s="384"/>
      <c r="I1408" s="384"/>
      <c r="J1408" s="378"/>
      <c r="AG1408" s="383"/>
      <c r="AH1408" s="22"/>
      <c r="AI1408" s="22"/>
      <c r="AJ1408" s="22"/>
      <c r="AK1408" s="22"/>
      <c r="AL1408" s="22"/>
      <c r="AM1408" s="22"/>
      <c r="AN1408" s="22"/>
      <c r="AO1408" s="22"/>
      <c r="AP1408" s="22"/>
    </row>
    <row r="1409" ht="25.5" customHeight="1">
      <c r="H1409" s="384"/>
      <c r="I1409" s="384"/>
      <c r="J1409" s="378"/>
      <c r="AG1409" s="383"/>
      <c r="AH1409" s="22"/>
      <c r="AI1409" s="22"/>
      <c r="AJ1409" s="22"/>
      <c r="AK1409" s="22"/>
      <c r="AL1409" s="22"/>
      <c r="AM1409" s="22"/>
      <c r="AN1409" s="22"/>
      <c r="AO1409" s="22"/>
      <c r="AP1409" s="22"/>
    </row>
    <row r="1410" ht="25.5" customHeight="1">
      <c r="H1410" s="384"/>
      <c r="I1410" s="384"/>
      <c r="J1410" s="378"/>
      <c r="AG1410" s="383"/>
      <c r="AH1410" s="22"/>
      <c r="AI1410" s="22"/>
      <c r="AJ1410" s="22"/>
      <c r="AK1410" s="22"/>
      <c r="AL1410" s="22"/>
      <c r="AM1410" s="22"/>
      <c r="AN1410" s="22"/>
      <c r="AO1410" s="22"/>
      <c r="AP1410" s="22"/>
    </row>
    <row r="1411" ht="25.5" customHeight="1">
      <c r="H1411" s="384"/>
      <c r="I1411" s="384"/>
      <c r="J1411" s="378"/>
      <c r="AG1411" s="383"/>
      <c r="AH1411" s="22"/>
      <c r="AI1411" s="22"/>
      <c r="AJ1411" s="22"/>
      <c r="AK1411" s="22"/>
      <c r="AL1411" s="22"/>
      <c r="AM1411" s="22"/>
      <c r="AN1411" s="22"/>
      <c r="AO1411" s="22"/>
      <c r="AP1411" s="22"/>
    </row>
    <row r="1412" ht="25.5" customHeight="1">
      <c r="H1412" s="384"/>
      <c r="I1412" s="384"/>
      <c r="J1412" s="378"/>
      <c r="AG1412" s="383"/>
      <c r="AH1412" s="22"/>
      <c r="AI1412" s="22"/>
      <c r="AJ1412" s="22"/>
      <c r="AK1412" s="22"/>
      <c r="AL1412" s="22"/>
      <c r="AM1412" s="22"/>
      <c r="AN1412" s="22"/>
      <c r="AO1412" s="22"/>
      <c r="AP1412" s="22"/>
    </row>
    <row r="1413" ht="25.5" customHeight="1">
      <c r="H1413" s="384"/>
      <c r="I1413" s="384"/>
      <c r="J1413" s="378"/>
      <c r="AG1413" s="383"/>
      <c r="AH1413" s="22"/>
      <c r="AI1413" s="22"/>
      <c r="AJ1413" s="22"/>
      <c r="AK1413" s="22"/>
      <c r="AL1413" s="22"/>
      <c r="AM1413" s="22"/>
      <c r="AN1413" s="22"/>
      <c r="AO1413" s="22"/>
      <c r="AP1413" s="22"/>
    </row>
    <row r="1414" ht="25.5" customHeight="1">
      <c r="H1414" s="384"/>
      <c r="I1414" s="384"/>
      <c r="J1414" s="378"/>
      <c r="AG1414" s="383"/>
      <c r="AH1414" s="22"/>
      <c r="AI1414" s="22"/>
      <c r="AJ1414" s="22"/>
      <c r="AK1414" s="22"/>
      <c r="AL1414" s="22"/>
      <c r="AM1414" s="22"/>
      <c r="AN1414" s="22"/>
      <c r="AO1414" s="22"/>
      <c r="AP1414" s="22"/>
    </row>
    <row r="1415" ht="25.5" customHeight="1">
      <c r="H1415" s="384"/>
      <c r="I1415" s="384"/>
      <c r="J1415" s="378"/>
      <c r="AG1415" s="383"/>
      <c r="AH1415" s="22"/>
      <c r="AI1415" s="22"/>
      <c r="AJ1415" s="22"/>
      <c r="AK1415" s="22"/>
      <c r="AL1415" s="22"/>
      <c r="AM1415" s="22"/>
      <c r="AN1415" s="22"/>
      <c r="AO1415" s="22"/>
      <c r="AP1415" s="22"/>
    </row>
    <row r="1416" ht="25.5" customHeight="1">
      <c r="H1416" s="384"/>
      <c r="I1416" s="384"/>
      <c r="J1416" s="378"/>
      <c r="AG1416" s="383"/>
      <c r="AH1416" s="22"/>
      <c r="AI1416" s="22"/>
      <c r="AJ1416" s="22"/>
      <c r="AK1416" s="22"/>
      <c r="AL1416" s="22"/>
      <c r="AM1416" s="22"/>
      <c r="AN1416" s="22"/>
      <c r="AO1416" s="22"/>
      <c r="AP1416" s="22"/>
    </row>
    <row r="1417" ht="25.5" customHeight="1">
      <c r="H1417" s="384"/>
      <c r="I1417" s="384"/>
      <c r="J1417" s="378"/>
      <c r="AG1417" s="383"/>
      <c r="AH1417" s="22"/>
      <c r="AI1417" s="22"/>
      <c r="AJ1417" s="22"/>
      <c r="AK1417" s="22"/>
      <c r="AL1417" s="22"/>
      <c r="AM1417" s="22"/>
      <c r="AN1417" s="22"/>
      <c r="AO1417" s="22"/>
      <c r="AP1417" s="22"/>
    </row>
    <row r="1418" ht="25.5" customHeight="1">
      <c r="H1418" s="384"/>
      <c r="I1418" s="384"/>
      <c r="J1418" s="378"/>
      <c r="AG1418" s="383"/>
      <c r="AH1418" s="22"/>
      <c r="AI1418" s="22"/>
      <c r="AJ1418" s="22"/>
      <c r="AK1418" s="22"/>
      <c r="AL1418" s="22"/>
      <c r="AM1418" s="22"/>
      <c r="AN1418" s="22"/>
      <c r="AO1418" s="22"/>
      <c r="AP1418" s="22"/>
    </row>
    <row r="1419" ht="25.5" customHeight="1">
      <c r="H1419" s="384"/>
      <c r="I1419" s="384"/>
      <c r="J1419" s="378"/>
      <c r="AG1419" s="383"/>
      <c r="AH1419" s="22"/>
      <c r="AI1419" s="22"/>
      <c r="AJ1419" s="22"/>
      <c r="AK1419" s="22"/>
      <c r="AL1419" s="22"/>
      <c r="AM1419" s="22"/>
      <c r="AN1419" s="22"/>
      <c r="AO1419" s="22"/>
      <c r="AP1419" s="22"/>
    </row>
    <row r="1420" ht="25.5" customHeight="1">
      <c r="H1420" s="384"/>
      <c r="I1420" s="384"/>
      <c r="J1420" s="378"/>
      <c r="AG1420" s="383"/>
      <c r="AH1420" s="22"/>
      <c r="AI1420" s="22"/>
      <c r="AJ1420" s="22"/>
      <c r="AK1420" s="22"/>
      <c r="AL1420" s="22"/>
      <c r="AM1420" s="22"/>
      <c r="AN1420" s="22"/>
      <c r="AO1420" s="22"/>
      <c r="AP1420" s="22"/>
    </row>
    <row r="1421" ht="25.5" customHeight="1">
      <c r="H1421" s="384"/>
      <c r="I1421" s="384"/>
      <c r="J1421" s="378"/>
      <c r="AG1421" s="383"/>
      <c r="AH1421" s="22"/>
      <c r="AI1421" s="22"/>
      <c r="AJ1421" s="22"/>
      <c r="AK1421" s="22"/>
      <c r="AL1421" s="22"/>
      <c r="AM1421" s="22"/>
      <c r="AN1421" s="22"/>
      <c r="AO1421" s="22"/>
      <c r="AP1421" s="22"/>
    </row>
    <row r="1422" ht="25.5" customHeight="1">
      <c r="H1422" s="384"/>
      <c r="I1422" s="384"/>
      <c r="J1422" s="378"/>
      <c r="AG1422" s="383"/>
      <c r="AH1422" s="22"/>
      <c r="AI1422" s="22"/>
      <c r="AJ1422" s="22"/>
      <c r="AK1422" s="22"/>
      <c r="AL1422" s="22"/>
      <c r="AM1422" s="22"/>
      <c r="AN1422" s="22"/>
      <c r="AO1422" s="22"/>
      <c r="AP1422" s="22"/>
    </row>
    <row r="1423" ht="25.5" customHeight="1">
      <c r="H1423" s="384"/>
      <c r="I1423" s="384"/>
      <c r="J1423" s="378"/>
      <c r="AG1423" s="383"/>
      <c r="AH1423" s="22"/>
      <c r="AI1423" s="22"/>
      <c r="AJ1423" s="22"/>
      <c r="AK1423" s="22"/>
      <c r="AL1423" s="22"/>
      <c r="AM1423" s="22"/>
      <c r="AN1423" s="22"/>
      <c r="AO1423" s="22"/>
      <c r="AP1423" s="22"/>
    </row>
    <row r="1424" ht="25.5" customHeight="1">
      <c r="H1424" s="384"/>
      <c r="I1424" s="384"/>
      <c r="J1424" s="378"/>
      <c r="AG1424" s="383"/>
      <c r="AH1424" s="22"/>
      <c r="AI1424" s="22"/>
      <c r="AJ1424" s="22"/>
      <c r="AK1424" s="22"/>
      <c r="AL1424" s="22"/>
      <c r="AM1424" s="22"/>
      <c r="AN1424" s="22"/>
      <c r="AO1424" s="22"/>
      <c r="AP1424" s="22"/>
    </row>
    <row r="1425" ht="25.5" customHeight="1">
      <c r="H1425" s="384"/>
      <c r="I1425" s="384"/>
      <c r="J1425" s="378"/>
      <c r="AG1425" s="383"/>
      <c r="AH1425" s="22"/>
      <c r="AI1425" s="22"/>
      <c r="AJ1425" s="22"/>
      <c r="AK1425" s="22"/>
      <c r="AL1425" s="22"/>
      <c r="AM1425" s="22"/>
      <c r="AN1425" s="22"/>
      <c r="AO1425" s="22"/>
      <c r="AP1425" s="22"/>
    </row>
    <row r="1426" ht="25.5" customHeight="1">
      <c r="H1426" s="384"/>
      <c r="I1426" s="384"/>
      <c r="J1426" s="378"/>
      <c r="AG1426" s="383"/>
      <c r="AH1426" s="22"/>
      <c r="AI1426" s="22"/>
      <c r="AJ1426" s="22"/>
      <c r="AK1426" s="22"/>
      <c r="AL1426" s="22"/>
      <c r="AM1426" s="22"/>
      <c r="AN1426" s="22"/>
      <c r="AO1426" s="22"/>
      <c r="AP1426" s="22"/>
    </row>
    <row r="1427" ht="25.5" customHeight="1">
      <c r="H1427" s="384"/>
      <c r="I1427" s="384"/>
      <c r="J1427" s="378"/>
      <c r="AG1427" s="383"/>
      <c r="AH1427" s="22"/>
      <c r="AI1427" s="22"/>
      <c r="AJ1427" s="22"/>
      <c r="AK1427" s="22"/>
      <c r="AL1427" s="22"/>
      <c r="AM1427" s="22"/>
      <c r="AN1427" s="22"/>
      <c r="AO1427" s="22"/>
      <c r="AP1427" s="22"/>
    </row>
    <row r="1428" ht="25.5" customHeight="1">
      <c r="H1428" s="384"/>
      <c r="I1428" s="384"/>
      <c r="J1428" s="378"/>
      <c r="AG1428" s="383"/>
      <c r="AH1428" s="22"/>
      <c r="AI1428" s="22"/>
      <c r="AJ1428" s="22"/>
      <c r="AK1428" s="22"/>
      <c r="AL1428" s="22"/>
      <c r="AM1428" s="22"/>
      <c r="AN1428" s="22"/>
      <c r="AO1428" s="22"/>
      <c r="AP1428" s="22"/>
    </row>
    <row r="1429" ht="25.5" customHeight="1">
      <c r="H1429" s="384"/>
      <c r="I1429" s="384"/>
      <c r="J1429" s="378"/>
      <c r="AG1429" s="383"/>
      <c r="AH1429" s="22"/>
      <c r="AI1429" s="22"/>
      <c r="AJ1429" s="22"/>
      <c r="AK1429" s="22"/>
      <c r="AL1429" s="22"/>
      <c r="AM1429" s="22"/>
      <c r="AN1429" s="22"/>
      <c r="AO1429" s="22"/>
      <c r="AP1429" s="22"/>
    </row>
    <row r="1430" ht="25.5" customHeight="1">
      <c r="H1430" s="384"/>
      <c r="I1430" s="384"/>
      <c r="J1430" s="378"/>
      <c r="AG1430" s="383"/>
      <c r="AH1430" s="22"/>
      <c r="AI1430" s="22"/>
      <c r="AJ1430" s="22"/>
      <c r="AK1430" s="22"/>
      <c r="AL1430" s="22"/>
      <c r="AM1430" s="22"/>
      <c r="AN1430" s="22"/>
      <c r="AO1430" s="22"/>
      <c r="AP1430" s="22"/>
    </row>
    <row r="1431" ht="25.5" customHeight="1">
      <c r="H1431" s="384"/>
      <c r="I1431" s="384"/>
      <c r="J1431" s="378"/>
      <c r="AG1431" s="383"/>
      <c r="AH1431" s="22"/>
      <c r="AI1431" s="22"/>
      <c r="AJ1431" s="22"/>
      <c r="AK1431" s="22"/>
      <c r="AL1431" s="22"/>
      <c r="AM1431" s="22"/>
      <c r="AN1431" s="22"/>
      <c r="AO1431" s="22"/>
      <c r="AP1431" s="22"/>
    </row>
    <row r="1432" ht="25.5" customHeight="1">
      <c r="H1432" s="384"/>
      <c r="I1432" s="384"/>
      <c r="J1432" s="378"/>
      <c r="AG1432" s="383"/>
      <c r="AH1432" s="22"/>
      <c r="AI1432" s="22"/>
      <c r="AJ1432" s="22"/>
      <c r="AK1432" s="22"/>
      <c r="AL1432" s="22"/>
      <c r="AM1432" s="22"/>
      <c r="AN1432" s="22"/>
      <c r="AO1432" s="22"/>
      <c r="AP1432" s="22"/>
    </row>
    <row r="1433" ht="25.5" customHeight="1">
      <c r="H1433" s="384"/>
      <c r="I1433" s="384"/>
      <c r="J1433" s="378"/>
      <c r="AG1433" s="383"/>
      <c r="AH1433" s="22"/>
      <c r="AI1433" s="22"/>
      <c r="AJ1433" s="22"/>
      <c r="AK1433" s="22"/>
      <c r="AL1433" s="22"/>
      <c r="AM1433" s="22"/>
      <c r="AN1433" s="22"/>
      <c r="AO1433" s="22"/>
      <c r="AP1433" s="22"/>
    </row>
    <row r="1434" ht="25.5" customHeight="1">
      <c r="H1434" s="384"/>
      <c r="I1434" s="384"/>
      <c r="J1434" s="378"/>
      <c r="AG1434" s="383"/>
      <c r="AH1434" s="22"/>
      <c r="AI1434" s="22"/>
      <c r="AJ1434" s="22"/>
      <c r="AK1434" s="22"/>
      <c r="AL1434" s="22"/>
      <c r="AM1434" s="22"/>
      <c r="AN1434" s="22"/>
      <c r="AO1434" s="22"/>
      <c r="AP1434" s="22"/>
    </row>
    <row r="1435" ht="25.5" customHeight="1">
      <c r="H1435" s="384"/>
      <c r="I1435" s="384"/>
      <c r="J1435" s="378"/>
      <c r="AG1435" s="383"/>
      <c r="AH1435" s="22"/>
      <c r="AI1435" s="22"/>
      <c r="AJ1435" s="22"/>
      <c r="AK1435" s="22"/>
      <c r="AL1435" s="22"/>
      <c r="AM1435" s="22"/>
      <c r="AN1435" s="22"/>
      <c r="AO1435" s="22"/>
      <c r="AP1435" s="22"/>
    </row>
    <row r="1436" ht="25.5" customHeight="1">
      <c r="H1436" s="384"/>
      <c r="I1436" s="384"/>
      <c r="J1436" s="378"/>
      <c r="AG1436" s="383"/>
      <c r="AH1436" s="22"/>
      <c r="AI1436" s="22"/>
      <c r="AJ1436" s="22"/>
      <c r="AK1436" s="22"/>
      <c r="AL1436" s="22"/>
      <c r="AM1436" s="22"/>
      <c r="AN1436" s="22"/>
      <c r="AO1436" s="22"/>
      <c r="AP1436" s="22"/>
    </row>
    <row r="1437" ht="25.5" customHeight="1">
      <c r="H1437" s="384"/>
      <c r="I1437" s="384"/>
      <c r="J1437" s="378"/>
      <c r="AG1437" s="383"/>
      <c r="AH1437" s="22"/>
      <c r="AI1437" s="22"/>
      <c r="AJ1437" s="22"/>
      <c r="AK1437" s="22"/>
      <c r="AL1437" s="22"/>
      <c r="AM1437" s="22"/>
      <c r="AN1437" s="22"/>
      <c r="AO1437" s="22"/>
      <c r="AP1437" s="22"/>
    </row>
    <row r="1438" ht="25.5" customHeight="1">
      <c r="H1438" s="384"/>
      <c r="I1438" s="384"/>
      <c r="J1438" s="378"/>
      <c r="AG1438" s="383"/>
      <c r="AH1438" s="22"/>
      <c r="AI1438" s="22"/>
      <c r="AJ1438" s="22"/>
      <c r="AK1438" s="22"/>
      <c r="AL1438" s="22"/>
      <c r="AM1438" s="22"/>
      <c r="AN1438" s="22"/>
      <c r="AO1438" s="22"/>
      <c r="AP1438" s="22"/>
    </row>
    <row r="1439" ht="25.5" customHeight="1">
      <c r="H1439" s="384"/>
      <c r="I1439" s="384"/>
      <c r="J1439" s="378"/>
      <c r="AG1439" s="383"/>
      <c r="AH1439" s="22"/>
      <c r="AI1439" s="22"/>
      <c r="AJ1439" s="22"/>
      <c r="AK1439" s="22"/>
      <c r="AL1439" s="22"/>
      <c r="AM1439" s="22"/>
      <c r="AN1439" s="22"/>
      <c r="AO1439" s="22"/>
      <c r="AP1439" s="22"/>
    </row>
    <row r="1440" ht="25.5" customHeight="1">
      <c r="H1440" s="384"/>
      <c r="I1440" s="384"/>
      <c r="J1440" s="378"/>
      <c r="AG1440" s="383"/>
      <c r="AH1440" s="22"/>
      <c r="AI1440" s="22"/>
      <c r="AJ1440" s="22"/>
      <c r="AK1440" s="22"/>
      <c r="AL1440" s="22"/>
      <c r="AM1440" s="22"/>
      <c r="AN1440" s="22"/>
      <c r="AO1440" s="22"/>
      <c r="AP1440" s="22"/>
    </row>
    <row r="1441" ht="25.5" customHeight="1">
      <c r="H1441" s="384"/>
      <c r="I1441" s="384"/>
      <c r="J1441" s="378"/>
      <c r="AG1441" s="383"/>
      <c r="AH1441" s="22"/>
      <c r="AI1441" s="22"/>
      <c r="AJ1441" s="22"/>
      <c r="AK1441" s="22"/>
      <c r="AL1441" s="22"/>
      <c r="AM1441" s="22"/>
      <c r="AN1441" s="22"/>
      <c r="AO1441" s="22"/>
      <c r="AP1441" s="22"/>
    </row>
    <row r="1442" ht="25.5" customHeight="1">
      <c r="H1442" s="384"/>
      <c r="I1442" s="384"/>
      <c r="J1442" s="378"/>
      <c r="AG1442" s="383"/>
      <c r="AH1442" s="22"/>
      <c r="AI1442" s="22"/>
      <c r="AJ1442" s="22"/>
      <c r="AK1442" s="22"/>
      <c r="AL1442" s="22"/>
      <c r="AM1442" s="22"/>
      <c r="AN1442" s="22"/>
      <c r="AO1442" s="22"/>
      <c r="AP1442" s="22"/>
    </row>
    <row r="1443" ht="25.5" customHeight="1">
      <c r="H1443" s="384"/>
      <c r="I1443" s="384"/>
      <c r="J1443" s="378"/>
      <c r="AG1443" s="383"/>
      <c r="AH1443" s="22"/>
      <c r="AI1443" s="22"/>
      <c r="AJ1443" s="22"/>
      <c r="AK1443" s="22"/>
      <c r="AL1443" s="22"/>
      <c r="AM1443" s="22"/>
      <c r="AN1443" s="22"/>
      <c r="AO1443" s="22"/>
      <c r="AP1443" s="22"/>
    </row>
    <row r="1444" ht="25.5" customHeight="1">
      <c r="H1444" s="384"/>
      <c r="I1444" s="384"/>
      <c r="J1444" s="378"/>
      <c r="AG1444" s="383"/>
      <c r="AH1444" s="22"/>
      <c r="AI1444" s="22"/>
      <c r="AJ1444" s="22"/>
      <c r="AK1444" s="22"/>
      <c r="AL1444" s="22"/>
      <c r="AM1444" s="22"/>
      <c r="AN1444" s="22"/>
      <c r="AO1444" s="22"/>
      <c r="AP1444" s="22"/>
    </row>
    <row r="1445" ht="25.5" customHeight="1">
      <c r="H1445" s="384"/>
      <c r="I1445" s="384"/>
      <c r="J1445" s="378"/>
      <c r="AG1445" s="383"/>
      <c r="AH1445" s="22"/>
      <c r="AI1445" s="22"/>
      <c r="AJ1445" s="22"/>
      <c r="AK1445" s="22"/>
      <c r="AL1445" s="22"/>
      <c r="AM1445" s="22"/>
      <c r="AN1445" s="22"/>
      <c r="AO1445" s="22"/>
      <c r="AP1445" s="22"/>
    </row>
    <row r="1446" ht="25.5" customHeight="1">
      <c r="H1446" s="384"/>
      <c r="I1446" s="384"/>
      <c r="J1446" s="378"/>
      <c r="AG1446" s="383"/>
      <c r="AH1446" s="22"/>
      <c r="AI1446" s="22"/>
      <c r="AJ1446" s="22"/>
      <c r="AK1446" s="22"/>
      <c r="AL1446" s="22"/>
      <c r="AM1446" s="22"/>
      <c r="AN1446" s="22"/>
      <c r="AO1446" s="22"/>
      <c r="AP1446" s="22"/>
    </row>
    <row r="1447" ht="25.5" customHeight="1">
      <c r="H1447" s="384"/>
      <c r="I1447" s="384"/>
      <c r="J1447" s="378"/>
      <c r="AG1447" s="383"/>
      <c r="AH1447" s="22"/>
      <c r="AI1447" s="22"/>
      <c r="AJ1447" s="22"/>
      <c r="AK1447" s="22"/>
      <c r="AL1447" s="22"/>
      <c r="AM1447" s="22"/>
      <c r="AN1447" s="22"/>
      <c r="AO1447" s="22"/>
      <c r="AP1447" s="22"/>
    </row>
    <row r="1448" ht="25.5" customHeight="1">
      <c r="H1448" s="384"/>
      <c r="I1448" s="384"/>
      <c r="J1448" s="378"/>
      <c r="AG1448" s="383"/>
      <c r="AH1448" s="22"/>
      <c r="AI1448" s="22"/>
      <c r="AJ1448" s="22"/>
      <c r="AK1448" s="22"/>
      <c r="AL1448" s="22"/>
      <c r="AM1448" s="22"/>
      <c r="AN1448" s="22"/>
      <c r="AO1448" s="22"/>
      <c r="AP1448" s="22"/>
    </row>
    <row r="1449" ht="25.5" customHeight="1">
      <c r="H1449" s="384"/>
      <c r="I1449" s="384"/>
      <c r="J1449" s="378"/>
      <c r="AG1449" s="383"/>
      <c r="AH1449" s="22"/>
      <c r="AI1449" s="22"/>
      <c r="AJ1449" s="22"/>
      <c r="AK1449" s="22"/>
      <c r="AL1449" s="22"/>
      <c r="AM1449" s="22"/>
      <c r="AN1449" s="22"/>
      <c r="AO1449" s="22"/>
      <c r="AP1449" s="22"/>
    </row>
    <row r="1450" ht="25.5" customHeight="1">
      <c r="H1450" s="384"/>
      <c r="I1450" s="384"/>
      <c r="J1450" s="378"/>
      <c r="AG1450" s="383"/>
      <c r="AH1450" s="22"/>
      <c r="AI1450" s="22"/>
      <c r="AJ1450" s="22"/>
      <c r="AK1450" s="22"/>
      <c r="AL1450" s="22"/>
      <c r="AM1450" s="22"/>
      <c r="AN1450" s="22"/>
      <c r="AO1450" s="22"/>
      <c r="AP1450" s="22"/>
    </row>
    <row r="1451" ht="25.5" customHeight="1">
      <c r="H1451" s="384"/>
      <c r="I1451" s="384"/>
      <c r="J1451" s="378"/>
      <c r="AG1451" s="383"/>
      <c r="AH1451" s="22"/>
      <c r="AI1451" s="22"/>
      <c r="AJ1451" s="22"/>
      <c r="AK1451" s="22"/>
      <c r="AL1451" s="22"/>
      <c r="AM1451" s="22"/>
      <c r="AN1451" s="22"/>
      <c r="AO1451" s="22"/>
      <c r="AP1451" s="22"/>
    </row>
    <row r="1452" ht="25.5" customHeight="1">
      <c r="H1452" s="384"/>
      <c r="I1452" s="384"/>
      <c r="J1452" s="378"/>
      <c r="AG1452" s="383"/>
      <c r="AH1452" s="22"/>
      <c r="AI1452" s="22"/>
      <c r="AJ1452" s="22"/>
      <c r="AK1452" s="22"/>
      <c r="AL1452" s="22"/>
      <c r="AM1452" s="22"/>
      <c r="AN1452" s="22"/>
      <c r="AO1452" s="22"/>
      <c r="AP1452" s="22"/>
    </row>
    <row r="1453" ht="25.5" customHeight="1">
      <c r="H1453" s="384"/>
      <c r="I1453" s="384"/>
      <c r="J1453" s="378"/>
      <c r="AG1453" s="383"/>
      <c r="AH1453" s="22"/>
      <c r="AI1453" s="22"/>
      <c r="AJ1453" s="22"/>
      <c r="AK1453" s="22"/>
      <c r="AL1453" s="22"/>
      <c r="AM1453" s="22"/>
      <c r="AN1453" s="22"/>
      <c r="AO1453" s="22"/>
      <c r="AP1453" s="22"/>
    </row>
    <row r="1454" ht="25.5" customHeight="1">
      <c r="H1454" s="384"/>
      <c r="I1454" s="384"/>
      <c r="J1454" s="378"/>
      <c r="AG1454" s="383"/>
      <c r="AH1454" s="22"/>
      <c r="AI1454" s="22"/>
      <c r="AJ1454" s="22"/>
      <c r="AK1454" s="22"/>
      <c r="AL1454" s="22"/>
      <c r="AM1454" s="22"/>
      <c r="AN1454" s="22"/>
      <c r="AO1454" s="22"/>
      <c r="AP1454" s="22"/>
    </row>
    <row r="1455" ht="25.5" customHeight="1">
      <c r="H1455" s="384"/>
      <c r="I1455" s="384"/>
      <c r="J1455" s="378"/>
      <c r="AG1455" s="383"/>
      <c r="AH1455" s="22"/>
      <c r="AI1455" s="22"/>
      <c r="AJ1455" s="22"/>
      <c r="AK1455" s="22"/>
      <c r="AL1455" s="22"/>
      <c r="AM1455" s="22"/>
      <c r="AN1455" s="22"/>
      <c r="AO1455" s="22"/>
      <c r="AP1455" s="22"/>
    </row>
    <row r="1456" ht="25.5" customHeight="1">
      <c r="H1456" s="384"/>
      <c r="I1456" s="384"/>
      <c r="J1456" s="378"/>
      <c r="AG1456" s="383"/>
      <c r="AH1456" s="22"/>
      <c r="AI1456" s="22"/>
      <c r="AJ1456" s="22"/>
      <c r="AK1456" s="22"/>
      <c r="AL1456" s="22"/>
      <c r="AM1456" s="22"/>
      <c r="AN1456" s="22"/>
      <c r="AO1456" s="22"/>
      <c r="AP1456" s="22"/>
    </row>
    <row r="1457" ht="25.5" customHeight="1">
      <c r="H1457" s="384"/>
      <c r="I1457" s="384"/>
      <c r="J1457" s="378"/>
      <c r="AG1457" s="383"/>
      <c r="AH1457" s="22"/>
      <c r="AI1457" s="22"/>
      <c r="AJ1457" s="22"/>
      <c r="AK1457" s="22"/>
      <c r="AL1457" s="22"/>
      <c r="AM1457" s="22"/>
      <c r="AN1457" s="22"/>
      <c r="AO1457" s="22"/>
      <c r="AP1457" s="22"/>
    </row>
    <row r="1458" ht="25.5" customHeight="1">
      <c r="H1458" s="384"/>
      <c r="I1458" s="384"/>
      <c r="J1458" s="378"/>
      <c r="AG1458" s="383"/>
      <c r="AH1458" s="22"/>
      <c r="AI1458" s="22"/>
      <c r="AJ1458" s="22"/>
      <c r="AK1458" s="22"/>
      <c r="AL1458" s="22"/>
      <c r="AM1458" s="22"/>
      <c r="AN1458" s="22"/>
      <c r="AO1458" s="22"/>
      <c r="AP1458" s="22"/>
    </row>
    <row r="1459" ht="25.5" customHeight="1">
      <c r="H1459" s="384"/>
      <c r="I1459" s="384"/>
      <c r="J1459" s="378"/>
      <c r="AG1459" s="383"/>
      <c r="AH1459" s="22"/>
      <c r="AI1459" s="22"/>
      <c r="AJ1459" s="22"/>
      <c r="AK1459" s="22"/>
      <c r="AL1459" s="22"/>
      <c r="AM1459" s="22"/>
      <c r="AN1459" s="22"/>
      <c r="AO1459" s="22"/>
      <c r="AP1459" s="22"/>
    </row>
    <row r="1460" ht="25.5" customHeight="1">
      <c r="H1460" s="384"/>
      <c r="I1460" s="384"/>
      <c r="J1460" s="378"/>
      <c r="AG1460" s="383"/>
      <c r="AH1460" s="22"/>
      <c r="AI1460" s="22"/>
      <c r="AJ1460" s="22"/>
      <c r="AK1460" s="22"/>
      <c r="AL1460" s="22"/>
      <c r="AM1460" s="22"/>
      <c r="AN1460" s="22"/>
      <c r="AO1460" s="22"/>
      <c r="AP1460" s="22"/>
    </row>
    <row r="1461" ht="25.5" customHeight="1">
      <c r="H1461" s="384"/>
      <c r="I1461" s="384"/>
      <c r="J1461" s="378"/>
      <c r="AG1461" s="383"/>
      <c r="AH1461" s="22"/>
      <c r="AI1461" s="22"/>
      <c r="AJ1461" s="22"/>
      <c r="AK1461" s="22"/>
      <c r="AL1461" s="22"/>
      <c r="AM1461" s="22"/>
      <c r="AN1461" s="22"/>
      <c r="AO1461" s="22"/>
      <c r="AP1461" s="22"/>
    </row>
    <row r="1462" ht="25.5" customHeight="1">
      <c r="H1462" s="384"/>
      <c r="I1462" s="384"/>
      <c r="J1462" s="378"/>
      <c r="AG1462" s="383"/>
      <c r="AH1462" s="22"/>
      <c r="AI1462" s="22"/>
      <c r="AJ1462" s="22"/>
      <c r="AK1462" s="22"/>
      <c r="AL1462" s="22"/>
      <c r="AM1462" s="22"/>
      <c r="AN1462" s="22"/>
      <c r="AO1462" s="22"/>
      <c r="AP1462" s="22"/>
    </row>
    <row r="1463" ht="25.5" customHeight="1">
      <c r="H1463" s="384"/>
      <c r="I1463" s="384"/>
      <c r="J1463" s="378"/>
      <c r="AG1463" s="383"/>
      <c r="AH1463" s="22"/>
      <c r="AI1463" s="22"/>
      <c r="AJ1463" s="22"/>
      <c r="AK1463" s="22"/>
      <c r="AL1463" s="22"/>
      <c r="AM1463" s="22"/>
      <c r="AN1463" s="22"/>
      <c r="AO1463" s="22"/>
      <c r="AP1463" s="22"/>
    </row>
    <row r="1464" ht="25.5" customHeight="1">
      <c r="H1464" s="384"/>
      <c r="I1464" s="384"/>
      <c r="J1464" s="378"/>
      <c r="AG1464" s="383"/>
      <c r="AH1464" s="22"/>
      <c r="AI1464" s="22"/>
      <c r="AJ1464" s="22"/>
      <c r="AK1464" s="22"/>
      <c r="AL1464" s="22"/>
      <c r="AM1464" s="22"/>
      <c r="AN1464" s="22"/>
      <c r="AO1464" s="22"/>
      <c r="AP1464" s="22"/>
    </row>
    <row r="1465" ht="25.5" customHeight="1">
      <c r="H1465" s="384"/>
      <c r="I1465" s="384"/>
      <c r="J1465" s="378"/>
      <c r="AG1465" s="383"/>
      <c r="AH1465" s="22"/>
      <c r="AI1465" s="22"/>
      <c r="AJ1465" s="22"/>
      <c r="AK1465" s="22"/>
      <c r="AL1465" s="22"/>
      <c r="AM1465" s="22"/>
      <c r="AN1465" s="22"/>
      <c r="AO1465" s="22"/>
      <c r="AP1465" s="22"/>
    </row>
    <row r="1466" ht="25.5" customHeight="1">
      <c r="H1466" s="384"/>
      <c r="I1466" s="384"/>
      <c r="J1466" s="378"/>
      <c r="AG1466" s="383"/>
      <c r="AH1466" s="22"/>
      <c r="AI1466" s="22"/>
      <c r="AJ1466" s="22"/>
      <c r="AK1466" s="22"/>
      <c r="AL1466" s="22"/>
      <c r="AM1466" s="22"/>
      <c r="AN1466" s="22"/>
      <c r="AO1466" s="22"/>
      <c r="AP1466" s="22"/>
    </row>
    <row r="1467" ht="25.5" customHeight="1">
      <c r="H1467" s="384"/>
      <c r="I1467" s="384"/>
      <c r="J1467" s="378"/>
      <c r="AG1467" s="383"/>
      <c r="AH1467" s="22"/>
      <c r="AI1467" s="22"/>
      <c r="AJ1467" s="22"/>
      <c r="AK1467" s="22"/>
      <c r="AL1467" s="22"/>
      <c r="AM1467" s="22"/>
      <c r="AN1467" s="22"/>
      <c r="AO1467" s="22"/>
      <c r="AP1467" s="22"/>
    </row>
    <row r="1468" ht="25.5" customHeight="1">
      <c r="H1468" s="384"/>
      <c r="I1468" s="384"/>
      <c r="J1468" s="378"/>
      <c r="AG1468" s="383"/>
      <c r="AH1468" s="22"/>
      <c r="AI1468" s="22"/>
      <c r="AJ1468" s="22"/>
      <c r="AK1468" s="22"/>
      <c r="AL1468" s="22"/>
      <c r="AM1468" s="22"/>
      <c r="AN1468" s="22"/>
      <c r="AO1468" s="22"/>
      <c r="AP1468" s="22"/>
    </row>
    <row r="1469" ht="25.5" customHeight="1">
      <c r="H1469" s="384"/>
      <c r="I1469" s="384"/>
      <c r="J1469" s="378"/>
      <c r="AG1469" s="383"/>
      <c r="AH1469" s="22"/>
      <c r="AI1469" s="22"/>
      <c r="AJ1469" s="22"/>
      <c r="AK1469" s="22"/>
      <c r="AL1469" s="22"/>
      <c r="AM1469" s="22"/>
      <c r="AN1469" s="22"/>
      <c r="AO1469" s="22"/>
      <c r="AP1469" s="22"/>
    </row>
    <row r="1470" ht="25.5" customHeight="1">
      <c r="H1470" s="384"/>
      <c r="I1470" s="384"/>
      <c r="J1470" s="378"/>
      <c r="AG1470" s="383"/>
      <c r="AH1470" s="22"/>
      <c r="AI1470" s="22"/>
      <c r="AJ1470" s="22"/>
      <c r="AK1470" s="22"/>
      <c r="AL1470" s="22"/>
      <c r="AM1470" s="22"/>
      <c r="AN1470" s="22"/>
      <c r="AO1470" s="22"/>
      <c r="AP1470" s="22"/>
    </row>
    <row r="1471" ht="25.5" customHeight="1">
      <c r="H1471" s="384"/>
      <c r="I1471" s="384"/>
      <c r="J1471" s="378"/>
      <c r="AG1471" s="383"/>
      <c r="AH1471" s="22"/>
      <c r="AI1471" s="22"/>
      <c r="AJ1471" s="22"/>
      <c r="AK1471" s="22"/>
      <c r="AL1471" s="22"/>
      <c r="AM1471" s="22"/>
      <c r="AN1471" s="22"/>
      <c r="AO1471" s="22"/>
      <c r="AP1471" s="22"/>
    </row>
    <row r="1472" ht="25.5" customHeight="1">
      <c r="H1472" s="384"/>
      <c r="I1472" s="384"/>
      <c r="J1472" s="378"/>
      <c r="AG1472" s="383"/>
      <c r="AH1472" s="22"/>
      <c r="AI1472" s="22"/>
      <c r="AJ1472" s="22"/>
      <c r="AK1472" s="22"/>
      <c r="AL1472" s="22"/>
      <c r="AM1472" s="22"/>
      <c r="AN1472" s="22"/>
      <c r="AO1472" s="22"/>
      <c r="AP1472" s="22"/>
    </row>
    <row r="1473" ht="25.5" customHeight="1">
      <c r="H1473" s="384"/>
      <c r="I1473" s="384"/>
      <c r="J1473" s="378"/>
      <c r="AG1473" s="383"/>
      <c r="AH1473" s="22"/>
      <c r="AI1473" s="22"/>
      <c r="AJ1473" s="22"/>
      <c r="AK1473" s="22"/>
      <c r="AL1473" s="22"/>
      <c r="AM1473" s="22"/>
      <c r="AN1473" s="22"/>
      <c r="AO1473" s="22"/>
      <c r="AP1473" s="22"/>
    </row>
    <row r="1474" ht="25.5" customHeight="1">
      <c r="H1474" s="384"/>
      <c r="I1474" s="384"/>
      <c r="J1474" s="378"/>
      <c r="AG1474" s="383"/>
      <c r="AH1474" s="22"/>
      <c r="AI1474" s="22"/>
      <c r="AJ1474" s="22"/>
      <c r="AK1474" s="22"/>
      <c r="AL1474" s="22"/>
      <c r="AM1474" s="22"/>
      <c r="AN1474" s="22"/>
      <c r="AO1474" s="22"/>
      <c r="AP1474" s="22"/>
    </row>
    <row r="1475" ht="25.5" customHeight="1">
      <c r="H1475" s="384"/>
      <c r="I1475" s="384"/>
      <c r="J1475" s="378"/>
      <c r="AG1475" s="383"/>
      <c r="AH1475" s="22"/>
      <c r="AI1475" s="22"/>
      <c r="AJ1475" s="22"/>
      <c r="AK1475" s="22"/>
      <c r="AL1475" s="22"/>
      <c r="AM1475" s="22"/>
      <c r="AN1475" s="22"/>
      <c r="AO1475" s="22"/>
      <c r="AP1475" s="22"/>
    </row>
    <row r="1476" ht="25.5" customHeight="1">
      <c r="H1476" s="384"/>
      <c r="I1476" s="384"/>
      <c r="J1476" s="378"/>
      <c r="AG1476" s="383"/>
      <c r="AH1476" s="22"/>
      <c r="AI1476" s="22"/>
      <c r="AJ1476" s="22"/>
      <c r="AK1476" s="22"/>
      <c r="AL1476" s="22"/>
      <c r="AM1476" s="22"/>
      <c r="AN1476" s="22"/>
      <c r="AO1476" s="22"/>
      <c r="AP1476" s="22"/>
    </row>
    <row r="1477" ht="25.5" customHeight="1">
      <c r="H1477" s="384"/>
      <c r="I1477" s="384"/>
      <c r="J1477" s="378"/>
      <c r="AG1477" s="383"/>
      <c r="AH1477" s="22"/>
      <c r="AI1477" s="22"/>
      <c r="AJ1477" s="22"/>
      <c r="AK1477" s="22"/>
      <c r="AL1477" s="22"/>
      <c r="AM1477" s="22"/>
      <c r="AN1477" s="22"/>
      <c r="AO1477" s="22"/>
      <c r="AP1477" s="22"/>
    </row>
    <row r="1478" ht="25.5" customHeight="1">
      <c r="H1478" s="384"/>
      <c r="I1478" s="384"/>
      <c r="J1478" s="378"/>
      <c r="AG1478" s="383"/>
      <c r="AH1478" s="22"/>
      <c r="AI1478" s="22"/>
      <c r="AJ1478" s="22"/>
      <c r="AK1478" s="22"/>
      <c r="AL1478" s="22"/>
      <c r="AM1478" s="22"/>
      <c r="AN1478" s="22"/>
      <c r="AO1478" s="22"/>
      <c r="AP1478" s="22"/>
    </row>
    <row r="1479" ht="25.5" customHeight="1">
      <c r="H1479" s="384"/>
      <c r="I1479" s="384"/>
      <c r="J1479" s="378"/>
      <c r="AG1479" s="383"/>
      <c r="AH1479" s="22"/>
      <c r="AI1479" s="22"/>
      <c r="AJ1479" s="22"/>
      <c r="AK1479" s="22"/>
      <c r="AL1479" s="22"/>
      <c r="AM1479" s="22"/>
      <c r="AN1479" s="22"/>
      <c r="AO1479" s="22"/>
      <c r="AP1479" s="22"/>
    </row>
    <row r="1480" ht="25.5" customHeight="1">
      <c r="H1480" s="384"/>
      <c r="I1480" s="384"/>
      <c r="J1480" s="378"/>
      <c r="AG1480" s="383"/>
      <c r="AH1480" s="22"/>
      <c r="AI1480" s="22"/>
      <c r="AJ1480" s="22"/>
      <c r="AK1480" s="22"/>
      <c r="AL1480" s="22"/>
      <c r="AM1480" s="22"/>
      <c r="AN1480" s="22"/>
      <c r="AO1480" s="22"/>
      <c r="AP1480" s="22"/>
    </row>
    <row r="1481" ht="25.5" customHeight="1">
      <c r="H1481" s="384"/>
      <c r="I1481" s="384"/>
      <c r="J1481" s="378"/>
      <c r="AG1481" s="383"/>
      <c r="AH1481" s="22"/>
      <c r="AI1481" s="22"/>
      <c r="AJ1481" s="22"/>
      <c r="AK1481" s="22"/>
      <c r="AL1481" s="22"/>
      <c r="AM1481" s="22"/>
      <c r="AN1481" s="22"/>
      <c r="AO1481" s="22"/>
      <c r="AP1481" s="22"/>
    </row>
    <row r="1482" ht="25.5" customHeight="1">
      <c r="H1482" s="384"/>
      <c r="I1482" s="384"/>
      <c r="J1482" s="378"/>
      <c r="AG1482" s="383"/>
      <c r="AH1482" s="22"/>
      <c r="AI1482" s="22"/>
      <c r="AJ1482" s="22"/>
      <c r="AK1482" s="22"/>
      <c r="AL1482" s="22"/>
      <c r="AM1482" s="22"/>
      <c r="AN1482" s="22"/>
      <c r="AO1482" s="22"/>
      <c r="AP1482" s="22"/>
    </row>
    <row r="1483" ht="25.5" customHeight="1">
      <c r="H1483" s="384"/>
      <c r="I1483" s="384"/>
      <c r="J1483" s="378"/>
      <c r="AG1483" s="383"/>
      <c r="AH1483" s="22"/>
      <c r="AI1483" s="22"/>
      <c r="AJ1483" s="22"/>
      <c r="AK1483" s="22"/>
      <c r="AL1483" s="22"/>
      <c r="AM1483" s="22"/>
      <c r="AN1483" s="22"/>
      <c r="AO1483" s="22"/>
      <c r="AP1483" s="22"/>
    </row>
    <row r="1484" ht="25.5" customHeight="1">
      <c r="H1484" s="384"/>
      <c r="I1484" s="384"/>
      <c r="J1484" s="378"/>
      <c r="AG1484" s="383"/>
      <c r="AH1484" s="22"/>
      <c r="AI1484" s="22"/>
      <c r="AJ1484" s="22"/>
      <c r="AK1484" s="22"/>
      <c r="AL1484" s="22"/>
      <c r="AM1484" s="22"/>
      <c r="AN1484" s="22"/>
      <c r="AO1484" s="22"/>
      <c r="AP1484" s="22"/>
    </row>
    <row r="1485" ht="25.5" customHeight="1">
      <c r="H1485" s="384"/>
      <c r="I1485" s="384"/>
      <c r="J1485" s="378"/>
      <c r="AG1485" s="383"/>
      <c r="AH1485" s="22"/>
      <c r="AI1485" s="22"/>
      <c r="AJ1485" s="22"/>
      <c r="AK1485" s="22"/>
      <c r="AL1485" s="22"/>
      <c r="AM1485" s="22"/>
      <c r="AN1485" s="22"/>
      <c r="AO1485" s="22"/>
      <c r="AP1485" s="22"/>
    </row>
    <row r="1486" ht="25.5" customHeight="1">
      <c r="H1486" s="384"/>
      <c r="I1486" s="384"/>
      <c r="J1486" s="378"/>
      <c r="AG1486" s="383"/>
      <c r="AH1486" s="22"/>
      <c r="AI1486" s="22"/>
      <c r="AJ1486" s="22"/>
      <c r="AK1486" s="22"/>
      <c r="AL1486" s="22"/>
      <c r="AM1486" s="22"/>
      <c r="AN1486" s="22"/>
      <c r="AO1486" s="22"/>
      <c r="AP1486" s="22"/>
    </row>
    <row r="1487" ht="25.5" customHeight="1">
      <c r="H1487" s="384"/>
      <c r="I1487" s="384"/>
      <c r="J1487" s="378"/>
      <c r="AG1487" s="383"/>
      <c r="AH1487" s="22"/>
      <c r="AI1487" s="22"/>
      <c r="AJ1487" s="22"/>
      <c r="AK1487" s="22"/>
      <c r="AL1487" s="22"/>
      <c r="AM1487" s="22"/>
      <c r="AN1487" s="22"/>
      <c r="AO1487" s="22"/>
      <c r="AP1487" s="22"/>
    </row>
    <row r="1488" ht="25.5" customHeight="1">
      <c r="H1488" s="384"/>
      <c r="I1488" s="384"/>
      <c r="J1488" s="378"/>
      <c r="AG1488" s="383"/>
      <c r="AH1488" s="22"/>
      <c r="AI1488" s="22"/>
      <c r="AJ1488" s="22"/>
      <c r="AK1488" s="22"/>
      <c r="AL1488" s="22"/>
      <c r="AM1488" s="22"/>
      <c r="AN1488" s="22"/>
      <c r="AO1488" s="22"/>
      <c r="AP1488" s="22"/>
    </row>
    <row r="1489" ht="25.5" customHeight="1">
      <c r="H1489" s="384"/>
      <c r="I1489" s="384"/>
      <c r="J1489" s="378"/>
      <c r="AG1489" s="383"/>
      <c r="AH1489" s="22"/>
      <c r="AI1489" s="22"/>
      <c r="AJ1489" s="22"/>
      <c r="AK1489" s="22"/>
      <c r="AL1489" s="22"/>
      <c r="AM1489" s="22"/>
      <c r="AN1489" s="22"/>
      <c r="AO1489" s="22"/>
      <c r="AP1489" s="22"/>
    </row>
    <row r="1490" ht="25.5" customHeight="1">
      <c r="H1490" s="384"/>
      <c r="I1490" s="384"/>
      <c r="J1490" s="378"/>
      <c r="AG1490" s="383"/>
      <c r="AH1490" s="22"/>
      <c r="AI1490" s="22"/>
      <c r="AJ1490" s="22"/>
      <c r="AK1490" s="22"/>
      <c r="AL1490" s="22"/>
      <c r="AM1490" s="22"/>
      <c r="AN1490" s="22"/>
      <c r="AO1490" s="22"/>
      <c r="AP1490" s="22"/>
    </row>
    <row r="1491" ht="25.5" customHeight="1">
      <c r="H1491" s="384"/>
      <c r="I1491" s="384"/>
      <c r="J1491" s="378"/>
      <c r="AG1491" s="383"/>
      <c r="AH1491" s="22"/>
      <c r="AI1491" s="22"/>
      <c r="AJ1491" s="22"/>
      <c r="AK1491" s="22"/>
      <c r="AL1491" s="22"/>
      <c r="AM1491" s="22"/>
      <c r="AN1491" s="22"/>
      <c r="AO1491" s="22"/>
      <c r="AP1491" s="22"/>
    </row>
    <row r="1492" ht="25.5" customHeight="1">
      <c r="H1492" s="384"/>
      <c r="I1492" s="384"/>
      <c r="J1492" s="378"/>
      <c r="AG1492" s="383"/>
      <c r="AH1492" s="22"/>
      <c r="AI1492" s="22"/>
      <c r="AJ1492" s="22"/>
      <c r="AK1492" s="22"/>
      <c r="AL1492" s="22"/>
      <c r="AM1492" s="22"/>
      <c r="AN1492" s="22"/>
      <c r="AO1492" s="22"/>
      <c r="AP1492" s="22"/>
    </row>
    <row r="1493" ht="25.5" customHeight="1">
      <c r="H1493" s="384"/>
      <c r="I1493" s="384"/>
      <c r="J1493" s="378"/>
      <c r="AG1493" s="383"/>
      <c r="AH1493" s="22"/>
      <c r="AI1493" s="22"/>
      <c r="AJ1493" s="22"/>
      <c r="AK1493" s="22"/>
      <c r="AL1493" s="22"/>
      <c r="AM1493" s="22"/>
      <c r="AN1493" s="22"/>
      <c r="AO1493" s="22"/>
      <c r="AP1493" s="22"/>
    </row>
    <row r="1494" ht="25.5" customHeight="1">
      <c r="H1494" s="384"/>
      <c r="I1494" s="384"/>
      <c r="J1494" s="378"/>
      <c r="AG1494" s="383"/>
      <c r="AH1494" s="22"/>
      <c r="AI1494" s="22"/>
      <c r="AJ1494" s="22"/>
      <c r="AK1494" s="22"/>
      <c r="AL1494" s="22"/>
      <c r="AM1494" s="22"/>
      <c r="AN1494" s="22"/>
      <c r="AO1494" s="22"/>
      <c r="AP1494" s="22"/>
    </row>
    <row r="1495" ht="25.5" customHeight="1">
      <c r="H1495" s="384"/>
      <c r="I1495" s="384"/>
      <c r="J1495" s="378"/>
      <c r="AG1495" s="383"/>
      <c r="AH1495" s="22"/>
      <c r="AI1495" s="22"/>
      <c r="AJ1495" s="22"/>
      <c r="AK1495" s="22"/>
      <c r="AL1495" s="22"/>
      <c r="AM1495" s="22"/>
      <c r="AN1495" s="22"/>
      <c r="AO1495" s="22"/>
      <c r="AP1495" s="22"/>
    </row>
    <row r="1496" ht="25.5" customHeight="1">
      <c r="H1496" s="384"/>
      <c r="I1496" s="384"/>
      <c r="J1496" s="378"/>
      <c r="AG1496" s="383"/>
      <c r="AH1496" s="22"/>
      <c r="AI1496" s="22"/>
      <c r="AJ1496" s="22"/>
      <c r="AK1496" s="22"/>
      <c r="AL1496" s="22"/>
      <c r="AM1496" s="22"/>
      <c r="AN1496" s="22"/>
      <c r="AO1496" s="22"/>
      <c r="AP1496" s="22"/>
    </row>
    <row r="1497" ht="25.5" customHeight="1">
      <c r="H1497" s="384"/>
      <c r="I1497" s="384"/>
      <c r="J1497" s="378"/>
      <c r="AG1497" s="383"/>
      <c r="AH1497" s="22"/>
      <c r="AI1497" s="22"/>
      <c r="AJ1497" s="22"/>
      <c r="AK1497" s="22"/>
      <c r="AL1497" s="22"/>
      <c r="AM1497" s="22"/>
      <c r="AN1497" s="22"/>
      <c r="AO1497" s="22"/>
      <c r="AP1497" s="22"/>
    </row>
    <row r="1498" ht="25.5" customHeight="1">
      <c r="H1498" s="384"/>
      <c r="I1498" s="384"/>
      <c r="J1498" s="378"/>
      <c r="AG1498" s="383"/>
      <c r="AH1498" s="22"/>
      <c r="AI1498" s="22"/>
      <c r="AJ1498" s="22"/>
      <c r="AK1498" s="22"/>
      <c r="AL1498" s="22"/>
      <c r="AM1498" s="22"/>
      <c r="AN1498" s="22"/>
      <c r="AO1498" s="22"/>
      <c r="AP1498" s="22"/>
    </row>
    <row r="1499" ht="25.5" customHeight="1">
      <c r="H1499" s="384"/>
      <c r="I1499" s="384"/>
      <c r="J1499" s="378"/>
      <c r="AG1499" s="383"/>
      <c r="AH1499" s="22"/>
      <c r="AI1499" s="22"/>
      <c r="AJ1499" s="22"/>
      <c r="AK1499" s="22"/>
      <c r="AL1499" s="22"/>
      <c r="AM1499" s="22"/>
      <c r="AN1499" s="22"/>
      <c r="AO1499" s="22"/>
      <c r="AP1499" s="22"/>
    </row>
    <row r="1500" ht="25.5" customHeight="1">
      <c r="H1500" s="384"/>
      <c r="I1500" s="384"/>
      <c r="J1500" s="378"/>
      <c r="AG1500" s="383"/>
      <c r="AH1500" s="22"/>
      <c r="AI1500" s="22"/>
      <c r="AJ1500" s="22"/>
      <c r="AK1500" s="22"/>
      <c r="AL1500" s="22"/>
      <c r="AM1500" s="22"/>
      <c r="AN1500" s="22"/>
      <c r="AO1500" s="22"/>
      <c r="AP1500" s="22"/>
    </row>
    <row r="1501" ht="25.5" customHeight="1">
      <c r="H1501" s="384"/>
      <c r="I1501" s="384"/>
      <c r="J1501" s="378"/>
      <c r="AG1501" s="383"/>
      <c r="AH1501" s="22"/>
      <c r="AI1501" s="22"/>
      <c r="AJ1501" s="22"/>
      <c r="AK1501" s="22"/>
      <c r="AL1501" s="22"/>
      <c r="AM1501" s="22"/>
      <c r="AN1501" s="22"/>
      <c r="AO1501" s="22"/>
      <c r="AP1501" s="22"/>
    </row>
    <row r="1502" ht="25.5" customHeight="1">
      <c r="H1502" s="384"/>
      <c r="I1502" s="384"/>
      <c r="J1502" s="378"/>
      <c r="AG1502" s="383"/>
      <c r="AH1502" s="22"/>
      <c r="AI1502" s="22"/>
      <c r="AJ1502" s="22"/>
      <c r="AK1502" s="22"/>
      <c r="AL1502" s="22"/>
      <c r="AM1502" s="22"/>
      <c r="AN1502" s="22"/>
      <c r="AO1502" s="22"/>
      <c r="AP1502" s="22"/>
    </row>
    <row r="1503" ht="25.5" customHeight="1">
      <c r="H1503" s="384"/>
      <c r="I1503" s="384"/>
      <c r="J1503" s="378"/>
      <c r="AG1503" s="383"/>
      <c r="AH1503" s="22"/>
      <c r="AI1503" s="22"/>
      <c r="AJ1503" s="22"/>
      <c r="AK1503" s="22"/>
      <c r="AL1503" s="22"/>
      <c r="AM1503" s="22"/>
      <c r="AN1503" s="22"/>
      <c r="AO1503" s="22"/>
      <c r="AP1503" s="22"/>
    </row>
    <row r="1504" ht="25.5" customHeight="1">
      <c r="H1504" s="384"/>
      <c r="I1504" s="384"/>
      <c r="J1504" s="378"/>
      <c r="AG1504" s="383"/>
      <c r="AH1504" s="22"/>
      <c r="AI1504" s="22"/>
      <c r="AJ1504" s="22"/>
      <c r="AK1504" s="22"/>
      <c r="AL1504" s="22"/>
      <c r="AM1504" s="22"/>
      <c r="AN1504" s="22"/>
      <c r="AO1504" s="22"/>
      <c r="AP1504" s="22"/>
    </row>
    <row r="1505" ht="25.5" customHeight="1">
      <c r="H1505" s="384"/>
      <c r="I1505" s="384"/>
      <c r="J1505" s="378"/>
      <c r="AG1505" s="383"/>
      <c r="AH1505" s="22"/>
      <c r="AI1505" s="22"/>
      <c r="AJ1505" s="22"/>
      <c r="AK1505" s="22"/>
      <c r="AL1505" s="22"/>
      <c r="AM1505" s="22"/>
      <c r="AN1505" s="22"/>
      <c r="AO1505" s="22"/>
      <c r="AP1505" s="22"/>
    </row>
    <row r="1506" ht="25.5" customHeight="1">
      <c r="H1506" s="384"/>
      <c r="I1506" s="384"/>
      <c r="J1506" s="378"/>
      <c r="AG1506" s="383"/>
      <c r="AH1506" s="22"/>
      <c r="AI1506" s="22"/>
      <c r="AJ1506" s="22"/>
      <c r="AK1506" s="22"/>
      <c r="AL1506" s="22"/>
      <c r="AM1506" s="22"/>
      <c r="AN1506" s="22"/>
      <c r="AO1506" s="22"/>
      <c r="AP1506" s="22"/>
    </row>
    <row r="1507" ht="25.5" customHeight="1">
      <c r="H1507" s="384"/>
      <c r="I1507" s="384"/>
      <c r="J1507" s="378"/>
      <c r="AG1507" s="383"/>
      <c r="AH1507" s="22"/>
      <c r="AI1507" s="22"/>
      <c r="AJ1507" s="22"/>
      <c r="AK1507" s="22"/>
      <c r="AL1507" s="22"/>
      <c r="AM1507" s="22"/>
      <c r="AN1507" s="22"/>
      <c r="AO1507" s="22"/>
      <c r="AP1507" s="22"/>
    </row>
    <row r="1508" ht="25.5" customHeight="1">
      <c r="H1508" s="384"/>
      <c r="I1508" s="384"/>
      <c r="J1508" s="378"/>
      <c r="AG1508" s="383"/>
      <c r="AH1508" s="22"/>
      <c r="AI1508" s="22"/>
      <c r="AJ1508" s="22"/>
      <c r="AK1508" s="22"/>
      <c r="AL1508" s="22"/>
      <c r="AM1508" s="22"/>
      <c r="AN1508" s="22"/>
      <c r="AO1508" s="22"/>
      <c r="AP1508" s="22"/>
    </row>
    <row r="1509" ht="25.5" customHeight="1">
      <c r="H1509" s="384"/>
      <c r="I1509" s="384"/>
      <c r="J1509" s="378"/>
      <c r="AG1509" s="383"/>
      <c r="AH1509" s="22"/>
      <c r="AI1509" s="22"/>
      <c r="AJ1509" s="22"/>
      <c r="AK1509" s="22"/>
      <c r="AL1509" s="22"/>
      <c r="AM1509" s="22"/>
      <c r="AN1509" s="22"/>
      <c r="AO1509" s="22"/>
      <c r="AP1509" s="22"/>
    </row>
    <row r="1510" ht="25.5" customHeight="1">
      <c r="H1510" s="384"/>
      <c r="I1510" s="384"/>
      <c r="J1510" s="378"/>
      <c r="AG1510" s="383"/>
      <c r="AH1510" s="22"/>
      <c r="AI1510" s="22"/>
      <c r="AJ1510" s="22"/>
      <c r="AK1510" s="22"/>
      <c r="AL1510" s="22"/>
      <c r="AM1510" s="22"/>
      <c r="AN1510" s="22"/>
      <c r="AO1510" s="22"/>
      <c r="AP1510" s="22"/>
    </row>
    <row r="1511" ht="25.5" customHeight="1">
      <c r="H1511" s="384"/>
      <c r="I1511" s="384"/>
      <c r="J1511" s="378"/>
      <c r="AG1511" s="383"/>
      <c r="AH1511" s="22"/>
      <c r="AI1511" s="22"/>
      <c r="AJ1511" s="22"/>
      <c r="AK1511" s="22"/>
      <c r="AL1511" s="22"/>
      <c r="AM1511" s="22"/>
      <c r="AN1511" s="22"/>
      <c r="AO1511" s="22"/>
      <c r="AP1511" s="22"/>
    </row>
    <row r="1512" ht="25.5" customHeight="1">
      <c r="H1512" s="384"/>
      <c r="I1512" s="384"/>
      <c r="J1512" s="378"/>
      <c r="AG1512" s="383"/>
      <c r="AH1512" s="22"/>
      <c r="AI1512" s="22"/>
      <c r="AJ1512" s="22"/>
      <c r="AK1512" s="22"/>
      <c r="AL1512" s="22"/>
      <c r="AM1512" s="22"/>
      <c r="AN1512" s="22"/>
      <c r="AO1512" s="22"/>
      <c r="AP1512" s="22"/>
    </row>
    <row r="1513" ht="25.5" customHeight="1">
      <c r="H1513" s="384"/>
      <c r="I1513" s="384"/>
      <c r="J1513" s="378"/>
      <c r="AG1513" s="383"/>
      <c r="AH1513" s="22"/>
      <c r="AI1513" s="22"/>
      <c r="AJ1513" s="22"/>
      <c r="AK1513" s="22"/>
      <c r="AL1513" s="22"/>
      <c r="AM1513" s="22"/>
      <c r="AN1513" s="22"/>
      <c r="AO1513" s="22"/>
      <c r="AP1513" s="22"/>
    </row>
    <row r="1514" ht="25.5" customHeight="1">
      <c r="H1514" s="384"/>
      <c r="I1514" s="384"/>
      <c r="J1514" s="378"/>
      <c r="AG1514" s="383"/>
      <c r="AH1514" s="22"/>
      <c r="AI1514" s="22"/>
      <c r="AJ1514" s="22"/>
      <c r="AK1514" s="22"/>
      <c r="AL1514" s="22"/>
      <c r="AM1514" s="22"/>
      <c r="AN1514" s="22"/>
      <c r="AO1514" s="22"/>
      <c r="AP1514" s="22"/>
    </row>
    <row r="1515" ht="25.5" customHeight="1">
      <c r="H1515" s="384"/>
      <c r="I1515" s="384"/>
      <c r="J1515" s="378"/>
      <c r="AG1515" s="383"/>
      <c r="AH1515" s="22"/>
      <c r="AI1515" s="22"/>
      <c r="AJ1515" s="22"/>
      <c r="AK1515" s="22"/>
      <c r="AL1515" s="22"/>
      <c r="AM1515" s="22"/>
      <c r="AN1515" s="22"/>
      <c r="AO1515" s="22"/>
      <c r="AP1515" s="22"/>
    </row>
    <row r="1516" ht="25.5" customHeight="1">
      <c r="H1516" s="384"/>
      <c r="I1516" s="384"/>
      <c r="J1516" s="378"/>
      <c r="AG1516" s="383"/>
      <c r="AH1516" s="22"/>
      <c r="AI1516" s="22"/>
      <c r="AJ1516" s="22"/>
      <c r="AK1516" s="22"/>
      <c r="AL1516" s="22"/>
      <c r="AM1516" s="22"/>
      <c r="AN1516" s="22"/>
      <c r="AO1516" s="22"/>
      <c r="AP1516" s="22"/>
    </row>
    <row r="1517" ht="25.5" customHeight="1">
      <c r="H1517" s="384"/>
      <c r="I1517" s="384"/>
      <c r="J1517" s="378"/>
      <c r="AG1517" s="383"/>
      <c r="AH1517" s="22"/>
      <c r="AI1517" s="22"/>
      <c r="AJ1517" s="22"/>
      <c r="AK1517" s="22"/>
      <c r="AL1517" s="22"/>
      <c r="AM1517" s="22"/>
      <c r="AN1517" s="22"/>
      <c r="AO1517" s="22"/>
      <c r="AP1517" s="22"/>
    </row>
    <row r="1518" ht="25.5" customHeight="1">
      <c r="H1518" s="384"/>
      <c r="I1518" s="384"/>
      <c r="J1518" s="378"/>
      <c r="AG1518" s="383"/>
      <c r="AH1518" s="22"/>
      <c r="AI1518" s="22"/>
      <c r="AJ1518" s="22"/>
      <c r="AK1518" s="22"/>
      <c r="AL1518" s="22"/>
      <c r="AM1518" s="22"/>
      <c r="AN1518" s="22"/>
      <c r="AO1518" s="22"/>
      <c r="AP1518" s="22"/>
    </row>
    <row r="1519" ht="25.5" customHeight="1">
      <c r="H1519" s="384"/>
      <c r="I1519" s="384"/>
      <c r="J1519" s="378"/>
      <c r="AG1519" s="383"/>
      <c r="AH1519" s="22"/>
      <c r="AI1519" s="22"/>
      <c r="AJ1519" s="22"/>
      <c r="AK1519" s="22"/>
      <c r="AL1519" s="22"/>
      <c r="AM1519" s="22"/>
      <c r="AN1519" s="22"/>
      <c r="AO1519" s="22"/>
      <c r="AP1519" s="22"/>
    </row>
    <row r="1520" ht="25.5" customHeight="1">
      <c r="H1520" s="384"/>
      <c r="I1520" s="384"/>
      <c r="J1520" s="378"/>
      <c r="AG1520" s="383"/>
      <c r="AH1520" s="22"/>
      <c r="AI1520" s="22"/>
      <c r="AJ1520" s="22"/>
      <c r="AK1520" s="22"/>
      <c r="AL1520" s="22"/>
      <c r="AM1520" s="22"/>
      <c r="AN1520" s="22"/>
      <c r="AO1520" s="22"/>
      <c r="AP1520" s="22"/>
    </row>
    <row r="1521" ht="25.5" customHeight="1">
      <c r="H1521" s="384"/>
      <c r="I1521" s="384"/>
      <c r="J1521" s="378"/>
      <c r="AG1521" s="383"/>
      <c r="AH1521" s="22"/>
      <c r="AI1521" s="22"/>
      <c r="AJ1521" s="22"/>
      <c r="AK1521" s="22"/>
      <c r="AL1521" s="22"/>
      <c r="AM1521" s="22"/>
      <c r="AN1521" s="22"/>
      <c r="AO1521" s="22"/>
      <c r="AP1521" s="22"/>
    </row>
    <row r="1522" ht="25.5" customHeight="1">
      <c r="H1522" s="384"/>
      <c r="I1522" s="384"/>
      <c r="J1522" s="378"/>
      <c r="AG1522" s="383"/>
      <c r="AH1522" s="22"/>
      <c r="AI1522" s="22"/>
      <c r="AJ1522" s="22"/>
      <c r="AK1522" s="22"/>
      <c r="AL1522" s="22"/>
      <c r="AM1522" s="22"/>
      <c r="AN1522" s="22"/>
      <c r="AO1522" s="22"/>
      <c r="AP1522" s="22"/>
    </row>
    <row r="1523" ht="25.5" customHeight="1">
      <c r="H1523" s="384"/>
      <c r="I1523" s="384"/>
      <c r="J1523" s="378"/>
      <c r="AG1523" s="383"/>
      <c r="AH1523" s="22"/>
      <c r="AI1523" s="22"/>
      <c r="AJ1523" s="22"/>
      <c r="AK1523" s="22"/>
      <c r="AL1523" s="22"/>
      <c r="AM1523" s="22"/>
      <c r="AN1523" s="22"/>
      <c r="AO1523" s="22"/>
      <c r="AP1523" s="22"/>
    </row>
    <row r="1524" ht="25.5" customHeight="1">
      <c r="H1524" s="384"/>
      <c r="I1524" s="384"/>
      <c r="J1524" s="378"/>
      <c r="AG1524" s="383"/>
      <c r="AH1524" s="22"/>
      <c r="AI1524" s="22"/>
      <c r="AJ1524" s="22"/>
      <c r="AK1524" s="22"/>
      <c r="AL1524" s="22"/>
      <c r="AM1524" s="22"/>
      <c r="AN1524" s="22"/>
      <c r="AO1524" s="22"/>
      <c r="AP1524" s="22"/>
    </row>
    <row r="1525" ht="25.5" customHeight="1">
      <c r="H1525" s="384"/>
      <c r="I1525" s="384"/>
      <c r="J1525" s="378"/>
      <c r="AG1525" s="383"/>
      <c r="AH1525" s="22"/>
      <c r="AI1525" s="22"/>
      <c r="AJ1525" s="22"/>
      <c r="AK1525" s="22"/>
      <c r="AL1525" s="22"/>
      <c r="AM1525" s="22"/>
      <c r="AN1525" s="22"/>
      <c r="AO1525" s="22"/>
      <c r="AP1525" s="22"/>
    </row>
    <row r="1526" ht="25.5" customHeight="1">
      <c r="H1526" s="384"/>
      <c r="I1526" s="384"/>
      <c r="J1526" s="378"/>
      <c r="AG1526" s="383"/>
      <c r="AH1526" s="22"/>
      <c r="AI1526" s="22"/>
      <c r="AJ1526" s="22"/>
      <c r="AK1526" s="22"/>
      <c r="AL1526" s="22"/>
      <c r="AM1526" s="22"/>
      <c r="AN1526" s="22"/>
      <c r="AO1526" s="22"/>
      <c r="AP1526" s="22"/>
    </row>
    <row r="1527" ht="25.5" customHeight="1">
      <c r="H1527" s="384"/>
      <c r="I1527" s="384"/>
      <c r="J1527" s="378"/>
      <c r="AG1527" s="383"/>
      <c r="AH1527" s="22"/>
      <c r="AI1527" s="22"/>
      <c r="AJ1527" s="22"/>
      <c r="AK1527" s="22"/>
      <c r="AL1527" s="22"/>
      <c r="AM1527" s="22"/>
      <c r="AN1527" s="22"/>
      <c r="AO1527" s="22"/>
      <c r="AP1527" s="22"/>
    </row>
    <row r="1528" ht="25.5" customHeight="1">
      <c r="H1528" s="384"/>
      <c r="I1528" s="384"/>
      <c r="J1528" s="378"/>
      <c r="AG1528" s="383"/>
      <c r="AH1528" s="22"/>
      <c r="AI1528" s="22"/>
      <c r="AJ1528" s="22"/>
      <c r="AK1528" s="22"/>
      <c r="AL1528" s="22"/>
      <c r="AM1528" s="22"/>
      <c r="AN1528" s="22"/>
      <c r="AO1528" s="22"/>
      <c r="AP1528" s="22"/>
    </row>
    <row r="1529" ht="25.5" customHeight="1">
      <c r="H1529" s="384"/>
      <c r="I1529" s="384"/>
      <c r="J1529" s="378"/>
      <c r="AG1529" s="383"/>
      <c r="AH1529" s="22"/>
      <c r="AI1529" s="22"/>
      <c r="AJ1529" s="22"/>
      <c r="AK1529" s="22"/>
      <c r="AL1529" s="22"/>
      <c r="AM1529" s="22"/>
      <c r="AN1529" s="22"/>
      <c r="AO1529" s="22"/>
      <c r="AP1529" s="22"/>
    </row>
    <row r="1530" ht="25.5" customHeight="1">
      <c r="H1530" s="384"/>
      <c r="I1530" s="384"/>
      <c r="J1530" s="378"/>
      <c r="AG1530" s="383"/>
      <c r="AH1530" s="22"/>
      <c r="AI1530" s="22"/>
      <c r="AJ1530" s="22"/>
      <c r="AK1530" s="22"/>
      <c r="AL1530" s="22"/>
      <c r="AM1530" s="22"/>
      <c r="AN1530" s="22"/>
      <c r="AO1530" s="22"/>
      <c r="AP1530" s="22"/>
    </row>
    <row r="1531" ht="25.5" customHeight="1">
      <c r="H1531" s="384"/>
      <c r="I1531" s="384"/>
      <c r="J1531" s="378"/>
      <c r="AG1531" s="383"/>
      <c r="AH1531" s="22"/>
      <c r="AI1531" s="22"/>
      <c r="AJ1531" s="22"/>
      <c r="AK1531" s="22"/>
      <c r="AL1531" s="22"/>
      <c r="AM1531" s="22"/>
      <c r="AN1531" s="22"/>
      <c r="AO1531" s="22"/>
      <c r="AP1531" s="22"/>
    </row>
    <row r="1532" ht="25.5" customHeight="1">
      <c r="H1532" s="384"/>
      <c r="I1532" s="384"/>
      <c r="J1532" s="378"/>
      <c r="AG1532" s="383"/>
      <c r="AH1532" s="22"/>
      <c r="AI1532" s="22"/>
      <c r="AJ1532" s="22"/>
      <c r="AK1532" s="22"/>
      <c r="AL1532" s="22"/>
      <c r="AM1532" s="22"/>
      <c r="AN1532" s="22"/>
      <c r="AO1532" s="22"/>
      <c r="AP1532" s="22"/>
    </row>
    <row r="1533" ht="25.5" customHeight="1">
      <c r="H1533" s="384"/>
      <c r="I1533" s="384"/>
      <c r="J1533" s="378"/>
      <c r="AG1533" s="383"/>
      <c r="AH1533" s="22"/>
      <c r="AI1533" s="22"/>
      <c r="AJ1533" s="22"/>
      <c r="AK1533" s="22"/>
      <c r="AL1533" s="22"/>
      <c r="AM1533" s="22"/>
      <c r="AN1533" s="22"/>
      <c r="AO1533" s="22"/>
      <c r="AP1533" s="22"/>
    </row>
    <row r="1534" ht="25.5" customHeight="1">
      <c r="H1534" s="384"/>
      <c r="I1534" s="384"/>
      <c r="J1534" s="378"/>
      <c r="AG1534" s="383"/>
      <c r="AH1534" s="22"/>
      <c r="AI1534" s="22"/>
      <c r="AJ1534" s="22"/>
      <c r="AK1534" s="22"/>
      <c r="AL1534" s="22"/>
      <c r="AM1534" s="22"/>
      <c r="AN1534" s="22"/>
      <c r="AO1534" s="22"/>
      <c r="AP1534" s="22"/>
    </row>
    <row r="1535" ht="25.5" customHeight="1">
      <c r="H1535" s="384"/>
      <c r="I1535" s="384"/>
      <c r="J1535" s="378"/>
      <c r="AG1535" s="383"/>
      <c r="AH1535" s="22"/>
      <c r="AI1535" s="22"/>
      <c r="AJ1535" s="22"/>
      <c r="AK1535" s="22"/>
      <c r="AL1535" s="22"/>
      <c r="AM1535" s="22"/>
      <c r="AN1535" s="22"/>
      <c r="AO1535" s="22"/>
      <c r="AP1535" s="22"/>
    </row>
    <row r="1536" ht="25.5" customHeight="1">
      <c r="H1536" s="384"/>
      <c r="I1536" s="384"/>
      <c r="J1536" s="378"/>
      <c r="AG1536" s="383"/>
      <c r="AH1536" s="22"/>
      <c r="AI1536" s="22"/>
      <c r="AJ1536" s="22"/>
      <c r="AK1536" s="22"/>
      <c r="AL1536" s="22"/>
      <c r="AM1536" s="22"/>
      <c r="AN1536" s="22"/>
      <c r="AO1536" s="22"/>
      <c r="AP1536" s="22"/>
    </row>
    <row r="1537" ht="25.5" customHeight="1">
      <c r="H1537" s="384"/>
      <c r="I1537" s="384"/>
      <c r="J1537" s="378"/>
      <c r="AG1537" s="383"/>
      <c r="AH1537" s="22"/>
      <c r="AI1537" s="22"/>
      <c r="AJ1537" s="22"/>
      <c r="AK1537" s="22"/>
      <c r="AL1537" s="22"/>
      <c r="AM1537" s="22"/>
      <c r="AN1537" s="22"/>
      <c r="AO1537" s="22"/>
      <c r="AP1537" s="22"/>
    </row>
    <row r="1538" ht="25.5" customHeight="1">
      <c r="H1538" s="384"/>
      <c r="I1538" s="384"/>
      <c r="J1538" s="378"/>
      <c r="AG1538" s="383"/>
      <c r="AH1538" s="22"/>
      <c r="AI1538" s="22"/>
      <c r="AJ1538" s="22"/>
      <c r="AK1538" s="22"/>
      <c r="AL1538" s="22"/>
      <c r="AM1538" s="22"/>
      <c r="AN1538" s="22"/>
      <c r="AO1538" s="22"/>
      <c r="AP1538" s="22"/>
    </row>
    <row r="1539" ht="25.5" customHeight="1">
      <c r="H1539" s="384"/>
      <c r="I1539" s="384"/>
      <c r="J1539" s="378"/>
      <c r="AG1539" s="383"/>
      <c r="AH1539" s="22"/>
      <c r="AI1539" s="22"/>
      <c r="AJ1539" s="22"/>
      <c r="AK1539" s="22"/>
      <c r="AL1539" s="22"/>
      <c r="AM1539" s="22"/>
      <c r="AN1539" s="22"/>
      <c r="AO1539" s="22"/>
      <c r="AP1539" s="22"/>
    </row>
    <row r="1540" ht="25.5" customHeight="1">
      <c r="H1540" s="384"/>
      <c r="I1540" s="384"/>
      <c r="J1540" s="378"/>
      <c r="AG1540" s="383"/>
      <c r="AH1540" s="22"/>
      <c r="AI1540" s="22"/>
      <c r="AJ1540" s="22"/>
      <c r="AK1540" s="22"/>
      <c r="AL1540" s="22"/>
      <c r="AM1540" s="22"/>
      <c r="AN1540" s="22"/>
      <c r="AO1540" s="22"/>
      <c r="AP1540" s="22"/>
    </row>
    <row r="1541" ht="25.5" customHeight="1">
      <c r="H1541" s="384"/>
      <c r="I1541" s="384"/>
      <c r="J1541" s="378"/>
      <c r="AG1541" s="383"/>
      <c r="AH1541" s="22"/>
      <c r="AI1541" s="22"/>
      <c r="AJ1541" s="22"/>
      <c r="AK1541" s="22"/>
      <c r="AL1541" s="22"/>
      <c r="AM1541" s="22"/>
      <c r="AN1541" s="22"/>
      <c r="AO1541" s="22"/>
      <c r="AP1541" s="22"/>
    </row>
    <row r="1542" ht="25.5" customHeight="1">
      <c r="H1542" s="384"/>
      <c r="I1542" s="384"/>
      <c r="J1542" s="378"/>
      <c r="AG1542" s="383"/>
      <c r="AH1542" s="22"/>
      <c r="AI1542" s="22"/>
      <c r="AJ1542" s="22"/>
      <c r="AK1542" s="22"/>
      <c r="AL1542" s="22"/>
      <c r="AM1542" s="22"/>
      <c r="AN1542" s="22"/>
      <c r="AO1542" s="22"/>
      <c r="AP1542" s="22"/>
    </row>
    <row r="1543" ht="25.5" customHeight="1">
      <c r="H1543" s="384"/>
      <c r="I1543" s="384"/>
      <c r="J1543" s="378"/>
      <c r="AG1543" s="383"/>
      <c r="AH1543" s="22"/>
      <c r="AI1543" s="22"/>
      <c r="AJ1543" s="22"/>
      <c r="AK1543" s="22"/>
      <c r="AL1543" s="22"/>
      <c r="AM1543" s="22"/>
      <c r="AN1543" s="22"/>
      <c r="AO1543" s="22"/>
      <c r="AP1543" s="22"/>
    </row>
    <row r="1544" ht="25.5" customHeight="1">
      <c r="H1544" s="384"/>
      <c r="I1544" s="384"/>
      <c r="J1544" s="378"/>
      <c r="AG1544" s="383"/>
      <c r="AH1544" s="22"/>
      <c r="AI1544" s="22"/>
      <c r="AJ1544" s="22"/>
      <c r="AK1544" s="22"/>
      <c r="AL1544" s="22"/>
      <c r="AM1544" s="22"/>
      <c r="AN1544" s="22"/>
      <c r="AO1544" s="22"/>
      <c r="AP1544" s="22"/>
    </row>
    <row r="1545" ht="25.5" customHeight="1">
      <c r="H1545" s="384"/>
      <c r="I1545" s="384"/>
      <c r="J1545" s="378"/>
      <c r="AG1545" s="383"/>
      <c r="AH1545" s="22"/>
      <c r="AI1545" s="22"/>
      <c r="AJ1545" s="22"/>
      <c r="AK1545" s="22"/>
      <c r="AL1545" s="22"/>
      <c r="AM1545" s="22"/>
      <c r="AN1545" s="22"/>
      <c r="AO1545" s="22"/>
      <c r="AP1545" s="22"/>
    </row>
    <row r="1546" ht="25.5" customHeight="1">
      <c r="H1546" s="384"/>
      <c r="I1546" s="384"/>
      <c r="J1546" s="378"/>
      <c r="AG1546" s="383"/>
      <c r="AH1546" s="22"/>
      <c r="AI1546" s="22"/>
      <c r="AJ1546" s="22"/>
      <c r="AK1546" s="22"/>
      <c r="AL1546" s="22"/>
      <c r="AM1546" s="22"/>
      <c r="AN1546" s="22"/>
      <c r="AO1546" s="22"/>
      <c r="AP1546" s="22"/>
    </row>
    <row r="1547" ht="25.5" customHeight="1">
      <c r="H1547" s="384"/>
      <c r="I1547" s="384"/>
      <c r="J1547" s="378"/>
      <c r="AG1547" s="383"/>
      <c r="AH1547" s="22"/>
      <c r="AI1547" s="22"/>
      <c r="AJ1547" s="22"/>
      <c r="AK1547" s="22"/>
      <c r="AL1547" s="22"/>
      <c r="AM1547" s="22"/>
      <c r="AN1547" s="22"/>
      <c r="AO1547" s="22"/>
      <c r="AP1547" s="22"/>
    </row>
    <row r="1548" ht="25.5" customHeight="1">
      <c r="H1548" s="384"/>
      <c r="I1548" s="384"/>
      <c r="J1548" s="378"/>
      <c r="AG1548" s="383"/>
      <c r="AH1548" s="22"/>
      <c r="AI1548" s="22"/>
      <c r="AJ1548" s="22"/>
      <c r="AK1548" s="22"/>
      <c r="AL1548" s="22"/>
      <c r="AM1548" s="22"/>
      <c r="AN1548" s="22"/>
      <c r="AO1548" s="22"/>
      <c r="AP1548" s="22"/>
    </row>
    <row r="1549" ht="25.5" customHeight="1">
      <c r="H1549" s="384"/>
      <c r="I1549" s="384"/>
      <c r="J1549" s="378"/>
      <c r="AG1549" s="383"/>
      <c r="AH1549" s="22"/>
      <c r="AI1549" s="22"/>
      <c r="AJ1549" s="22"/>
      <c r="AK1549" s="22"/>
      <c r="AL1549" s="22"/>
      <c r="AM1549" s="22"/>
      <c r="AN1549" s="22"/>
      <c r="AO1549" s="22"/>
      <c r="AP1549" s="22"/>
    </row>
    <row r="1550" ht="25.5" customHeight="1">
      <c r="H1550" s="384"/>
      <c r="I1550" s="384"/>
      <c r="J1550" s="378"/>
      <c r="AG1550" s="383"/>
      <c r="AH1550" s="22"/>
      <c r="AI1550" s="22"/>
      <c r="AJ1550" s="22"/>
      <c r="AK1550" s="22"/>
      <c r="AL1550" s="22"/>
      <c r="AM1550" s="22"/>
      <c r="AN1550" s="22"/>
      <c r="AO1550" s="22"/>
      <c r="AP1550" s="22"/>
    </row>
    <row r="1551" ht="25.5" customHeight="1">
      <c r="H1551" s="384"/>
      <c r="I1551" s="384"/>
      <c r="J1551" s="378"/>
      <c r="AG1551" s="383"/>
      <c r="AH1551" s="22"/>
      <c r="AI1551" s="22"/>
      <c r="AJ1551" s="22"/>
      <c r="AK1551" s="22"/>
      <c r="AL1551" s="22"/>
      <c r="AM1551" s="22"/>
      <c r="AN1551" s="22"/>
      <c r="AO1551" s="22"/>
      <c r="AP1551" s="22"/>
    </row>
    <row r="1552" ht="25.5" customHeight="1">
      <c r="H1552" s="384"/>
      <c r="I1552" s="384"/>
      <c r="J1552" s="378"/>
      <c r="AG1552" s="383"/>
      <c r="AH1552" s="22"/>
      <c r="AI1552" s="22"/>
      <c r="AJ1552" s="22"/>
      <c r="AK1552" s="22"/>
      <c r="AL1552" s="22"/>
      <c r="AM1552" s="22"/>
      <c r="AN1552" s="22"/>
      <c r="AO1552" s="22"/>
      <c r="AP1552" s="22"/>
    </row>
    <row r="1553" ht="25.5" customHeight="1">
      <c r="H1553" s="384"/>
      <c r="I1553" s="384"/>
      <c r="J1553" s="378"/>
      <c r="AG1553" s="383"/>
      <c r="AH1553" s="22"/>
      <c r="AI1553" s="22"/>
      <c r="AJ1553" s="22"/>
      <c r="AK1553" s="22"/>
      <c r="AL1553" s="22"/>
      <c r="AM1553" s="22"/>
      <c r="AN1553" s="22"/>
      <c r="AO1553" s="22"/>
      <c r="AP1553" s="22"/>
    </row>
    <row r="1554" ht="25.5" customHeight="1">
      <c r="H1554" s="384"/>
      <c r="I1554" s="384"/>
      <c r="J1554" s="378"/>
      <c r="AG1554" s="383"/>
      <c r="AH1554" s="22"/>
      <c r="AI1554" s="22"/>
      <c r="AJ1554" s="22"/>
      <c r="AK1554" s="22"/>
      <c r="AL1554" s="22"/>
      <c r="AM1554" s="22"/>
      <c r="AN1554" s="22"/>
      <c r="AO1554" s="22"/>
      <c r="AP1554" s="22"/>
    </row>
    <row r="1555" ht="25.5" customHeight="1">
      <c r="H1555" s="384"/>
      <c r="I1555" s="384"/>
      <c r="J1555" s="378"/>
      <c r="AG1555" s="383"/>
      <c r="AH1555" s="22"/>
      <c r="AI1555" s="22"/>
      <c r="AJ1555" s="22"/>
      <c r="AK1555" s="22"/>
      <c r="AL1555" s="22"/>
      <c r="AM1555" s="22"/>
      <c r="AN1555" s="22"/>
      <c r="AO1555" s="22"/>
      <c r="AP1555" s="22"/>
    </row>
    <row r="1556" ht="25.5" customHeight="1">
      <c r="H1556" s="384"/>
      <c r="I1556" s="384"/>
      <c r="J1556" s="378"/>
      <c r="AG1556" s="383"/>
      <c r="AH1556" s="22"/>
      <c r="AI1556" s="22"/>
      <c r="AJ1556" s="22"/>
      <c r="AK1556" s="22"/>
      <c r="AL1556" s="22"/>
      <c r="AM1556" s="22"/>
      <c r="AN1556" s="22"/>
      <c r="AO1556" s="22"/>
      <c r="AP1556" s="22"/>
    </row>
    <row r="1557" ht="25.5" customHeight="1">
      <c r="H1557" s="384"/>
      <c r="I1557" s="384"/>
      <c r="J1557" s="378"/>
      <c r="AG1557" s="383"/>
      <c r="AH1557" s="22"/>
      <c r="AI1557" s="22"/>
      <c r="AJ1557" s="22"/>
      <c r="AK1557" s="22"/>
      <c r="AL1557" s="22"/>
      <c r="AM1557" s="22"/>
      <c r="AN1557" s="22"/>
      <c r="AO1557" s="22"/>
      <c r="AP1557" s="22"/>
    </row>
    <row r="1558" ht="25.5" customHeight="1">
      <c r="H1558" s="384"/>
      <c r="I1558" s="384"/>
      <c r="J1558" s="378"/>
      <c r="AG1558" s="383"/>
      <c r="AH1558" s="22"/>
      <c r="AI1558" s="22"/>
      <c r="AJ1558" s="22"/>
      <c r="AK1558" s="22"/>
      <c r="AL1558" s="22"/>
      <c r="AM1558" s="22"/>
      <c r="AN1558" s="22"/>
      <c r="AO1558" s="22"/>
      <c r="AP1558" s="22"/>
    </row>
    <row r="1559" ht="25.5" customHeight="1">
      <c r="H1559" s="384"/>
      <c r="I1559" s="384"/>
      <c r="J1559" s="378"/>
      <c r="AG1559" s="383"/>
      <c r="AH1559" s="22"/>
      <c r="AI1559" s="22"/>
      <c r="AJ1559" s="22"/>
      <c r="AK1559" s="22"/>
      <c r="AL1559" s="22"/>
      <c r="AM1559" s="22"/>
      <c r="AN1559" s="22"/>
      <c r="AO1559" s="22"/>
      <c r="AP1559" s="22"/>
    </row>
    <row r="1560" ht="25.5" customHeight="1">
      <c r="H1560" s="384"/>
      <c r="I1560" s="384"/>
      <c r="J1560" s="378"/>
      <c r="AG1560" s="383"/>
      <c r="AH1560" s="22"/>
      <c r="AI1560" s="22"/>
      <c r="AJ1560" s="22"/>
      <c r="AK1560" s="22"/>
      <c r="AL1560" s="22"/>
      <c r="AM1560" s="22"/>
      <c r="AN1560" s="22"/>
      <c r="AO1560" s="22"/>
      <c r="AP1560" s="22"/>
    </row>
    <row r="1561" ht="25.5" customHeight="1">
      <c r="H1561" s="384"/>
      <c r="I1561" s="384"/>
      <c r="J1561" s="378"/>
      <c r="AG1561" s="383"/>
      <c r="AH1561" s="22"/>
      <c r="AI1561" s="22"/>
      <c r="AJ1561" s="22"/>
      <c r="AK1561" s="22"/>
      <c r="AL1561" s="22"/>
      <c r="AM1561" s="22"/>
      <c r="AN1561" s="22"/>
      <c r="AO1561" s="22"/>
      <c r="AP1561" s="22"/>
    </row>
    <row r="1562" ht="25.5" customHeight="1">
      <c r="H1562" s="384"/>
      <c r="I1562" s="384"/>
      <c r="J1562" s="378"/>
      <c r="AG1562" s="383"/>
      <c r="AH1562" s="22"/>
      <c r="AI1562" s="22"/>
      <c r="AJ1562" s="22"/>
      <c r="AK1562" s="22"/>
      <c r="AL1562" s="22"/>
      <c r="AM1562" s="22"/>
      <c r="AN1562" s="22"/>
      <c r="AO1562" s="22"/>
      <c r="AP1562" s="22"/>
    </row>
    <row r="1563" ht="25.5" customHeight="1">
      <c r="H1563" s="384"/>
      <c r="I1563" s="384"/>
      <c r="J1563" s="378"/>
      <c r="AG1563" s="383"/>
      <c r="AH1563" s="22"/>
      <c r="AI1563" s="22"/>
      <c r="AJ1563" s="22"/>
      <c r="AK1563" s="22"/>
      <c r="AL1563" s="22"/>
      <c r="AM1563" s="22"/>
      <c r="AN1563" s="22"/>
      <c r="AO1563" s="22"/>
      <c r="AP1563" s="22"/>
    </row>
    <row r="1564" ht="25.5" customHeight="1">
      <c r="H1564" s="384"/>
      <c r="I1564" s="384"/>
      <c r="J1564" s="378"/>
      <c r="AG1564" s="383"/>
      <c r="AH1564" s="22"/>
      <c r="AI1564" s="22"/>
      <c r="AJ1564" s="22"/>
      <c r="AK1564" s="22"/>
      <c r="AL1564" s="22"/>
      <c r="AM1564" s="22"/>
      <c r="AN1564" s="22"/>
      <c r="AO1564" s="22"/>
      <c r="AP1564" s="22"/>
    </row>
    <row r="1565" ht="25.5" customHeight="1">
      <c r="H1565" s="384"/>
      <c r="I1565" s="384"/>
      <c r="J1565" s="378"/>
      <c r="AG1565" s="383"/>
      <c r="AH1565" s="22"/>
      <c r="AI1565" s="22"/>
      <c r="AJ1565" s="22"/>
      <c r="AK1565" s="22"/>
      <c r="AL1565" s="22"/>
      <c r="AM1565" s="22"/>
      <c r="AN1565" s="22"/>
      <c r="AO1565" s="22"/>
      <c r="AP1565" s="22"/>
    </row>
    <row r="1566" ht="25.5" customHeight="1">
      <c r="H1566" s="384"/>
      <c r="I1566" s="384"/>
      <c r="J1566" s="378"/>
      <c r="AG1566" s="383"/>
      <c r="AH1566" s="22"/>
      <c r="AI1566" s="22"/>
      <c r="AJ1566" s="22"/>
      <c r="AK1566" s="22"/>
      <c r="AL1566" s="22"/>
      <c r="AM1566" s="22"/>
      <c r="AN1566" s="22"/>
      <c r="AO1566" s="22"/>
      <c r="AP1566" s="22"/>
    </row>
    <row r="1567" ht="25.5" customHeight="1">
      <c r="H1567" s="384"/>
      <c r="I1567" s="384"/>
      <c r="J1567" s="378"/>
      <c r="AG1567" s="383"/>
      <c r="AH1567" s="22"/>
      <c r="AI1567" s="22"/>
      <c r="AJ1567" s="22"/>
      <c r="AK1567" s="22"/>
      <c r="AL1567" s="22"/>
      <c r="AM1567" s="22"/>
      <c r="AN1567" s="22"/>
      <c r="AO1567" s="22"/>
      <c r="AP1567" s="22"/>
    </row>
    <row r="1568" ht="25.5" customHeight="1">
      <c r="H1568" s="384"/>
      <c r="I1568" s="384"/>
      <c r="J1568" s="378"/>
      <c r="AG1568" s="383"/>
      <c r="AH1568" s="22"/>
      <c r="AI1568" s="22"/>
      <c r="AJ1568" s="22"/>
      <c r="AK1568" s="22"/>
      <c r="AL1568" s="22"/>
      <c r="AM1568" s="22"/>
      <c r="AN1568" s="22"/>
      <c r="AO1568" s="22"/>
      <c r="AP1568" s="22"/>
    </row>
    <row r="1569" ht="25.5" customHeight="1">
      <c r="H1569" s="384"/>
      <c r="I1569" s="384"/>
      <c r="J1569" s="378"/>
      <c r="AG1569" s="383"/>
      <c r="AH1569" s="22"/>
      <c r="AI1569" s="22"/>
      <c r="AJ1569" s="22"/>
      <c r="AK1569" s="22"/>
      <c r="AL1569" s="22"/>
      <c r="AM1569" s="22"/>
      <c r="AN1569" s="22"/>
      <c r="AO1569" s="22"/>
      <c r="AP1569" s="22"/>
    </row>
    <row r="1570" ht="25.5" customHeight="1">
      <c r="H1570" s="384"/>
      <c r="I1570" s="384"/>
      <c r="J1570" s="378"/>
      <c r="AG1570" s="383"/>
      <c r="AH1570" s="22"/>
      <c r="AI1570" s="22"/>
      <c r="AJ1570" s="22"/>
      <c r="AK1570" s="22"/>
      <c r="AL1570" s="22"/>
      <c r="AM1570" s="22"/>
      <c r="AN1570" s="22"/>
      <c r="AO1570" s="22"/>
      <c r="AP1570" s="22"/>
    </row>
    <row r="1571" ht="25.5" customHeight="1">
      <c r="H1571" s="384"/>
      <c r="I1571" s="384"/>
      <c r="J1571" s="378"/>
      <c r="AG1571" s="383"/>
      <c r="AH1571" s="22"/>
      <c r="AI1571" s="22"/>
      <c r="AJ1571" s="22"/>
      <c r="AK1571" s="22"/>
      <c r="AL1571" s="22"/>
      <c r="AM1571" s="22"/>
      <c r="AN1571" s="22"/>
      <c r="AO1571" s="22"/>
      <c r="AP1571" s="22"/>
    </row>
    <row r="1572" ht="25.5" customHeight="1">
      <c r="H1572" s="384"/>
      <c r="I1572" s="384"/>
      <c r="J1572" s="378"/>
      <c r="AG1572" s="383"/>
      <c r="AH1572" s="22"/>
      <c r="AI1572" s="22"/>
      <c r="AJ1572" s="22"/>
      <c r="AK1572" s="22"/>
      <c r="AL1572" s="22"/>
      <c r="AM1572" s="22"/>
      <c r="AN1572" s="22"/>
      <c r="AO1572" s="22"/>
      <c r="AP1572" s="22"/>
    </row>
    <row r="1573" ht="25.5" customHeight="1">
      <c r="H1573" s="384"/>
      <c r="I1573" s="384"/>
      <c r="J1573" s="378"/>
      <c r="AG1573" s="383"/>
      <c r="AH1573" s="22"/>
      <c r="AI1573" s="22"/>
      <c r="AJ1573" s="22"/>
      <c r="AK1573" s="22"/>
      <c r="AL1573" s="22"/>
      <c r="AM1573" s="22"/>
      <c r="AN1573" s="22"/>
      <c r="AO1573" s="22"/>
      <c r="AP1573" s="22"/>
    </row>
    <row r="1574" ht="25.5" customHeight="1">
      <c r="H1574" s="384"/>
      <c r="I1574" s="384"/>
      <c r="J1574" s="378"/>
      <c r="AG1574" s="383"/>
      <c r="AH1574" s="22"/>
      <c r="AI1574" s="22"/>
      <c r="AJ1574" s="22"/>
      <c r="AK1574" s="22"/>
      <c r="AL1574" s="22"/>
      <c r="AM1574" s="22"/>
      <c r="AN1574" s="22"/>
      <c r="AO1574" s="22"/>
      <c r="AP1574" s="22"/>
    </row>
    <row r="1575" ht="25.5" customHeight="1">
      <c r="H1575" s="384"/>
      <c r="I1575" s="384"/>
      <c r="J1575" s="378"/>
      <c r="AG1575" s="383"/>
      <c r="AH1575" s="22"/>
      <c r="AI1575" s="22"/>
      <c r="AJ1575" s="22"/>
      <c r="AK1575" s="22"/>
      <c r="AL1575" s="22"/>
      <c r="AM1575" s="22"/>
      <c r="AN1575" s="22"/>
      <c r="AO1575" s="22"/>
      <c r="AP1575" s="22"/>
    </row>
    <row r="1576" ht="25.5" customHeight="1">
      <c r="H1576" s="384"/>
      <c r="I1576" s="384"/>
      <c r="J1576" s="378"/>
      <c r="AG1576" s="383"/>
      <c r="AH1576" s="22"/>
      <c r="AI1576" s="22"/>
      <c r="AJ1576" s="22"/>
      <c r="AK1576" s="22"/>
      <c r="AL1576" s="22"/>
      <c r="AM1576" s="22"/>
      <c r="AN1576" s="22"/>
      <c r="AO1576" s="22"/>
      <c r="AP1576" s="22"/>
    </row>
    <row r="1577" ht="25.5" customHeight="1">
      <c r="H1577" s="384"/>
      <c r="I1577" s="384"/>
      <c r="J1577" s="378"/>
      <c r="AG1577" s="383"/>
      <c r="AH1577" s="22"/>
      <c r="AI1577" s="22"/>
      <c r="AJ1577" s="22"/>
      <c r="AK1577" s="22"/>
      <c r="AL1577" s="22"/>
      <c r="AM1577" s="22"/>
      <c r="AN1577" s="22"/>
      <c r="AO1577" s="22"/>
      <c r="AP1577" s="22"/>
    </row>
    <row r="1578" ht="25.5" customHeight="1">
      <c r="H1578" s="384"/>
      <c r="I1578" s="384"/>
      <c r="J1578" s="378"/>
      <c r="AG1578" s="383"/>
      <c r="AH1578" s="22"/>
      <c r="AI1578" s="22"/>
      <c r="AJ1578" s="22"/>
      <c r="AK1578" s="22"/>
      <c r="AL1578" s="22"/>
      <c r="AM1578" s="22"/>
      <c r="AN1578" s="22"/>
      <c r="AO1578" s="22"/>
      <c r="AP1578" s="22"/>
    </row>
    <row r="1579" ht="25.5" customHeight="1">
      <c r="H1579" s="384"/>
      <c r="I1579" s="384"/>
      <c r="J1579" s="378"/>
      <c r="AG1579" s="383"/>
      <c r="AH1579" s="22"/>
      <c r="AI1579" s="22"/>
      <c r="AJ1579" s="22"/>
      <c r="AK1579" s="22"/>
      <c r="AL1579" s="22"/>
      <c r="AM1579" s="22"/>
      <c r="AN1579" s="22"/>
      <c r="AO1579" s="22"/>
      <c r="AP1579" s="22"/>
    </row>
    <row r="1580" ht="25.5" customHeight="1">
      <c r="H1580" s="384"/>
      <c r="I1580" s="384"/>
      <c r="J1580" s="378"/>
      <c r="AG1580" s="383"/>
      <c r="AH1580" s="22"/>
      <c r="AI1580" s="22"/>
      <c r="AJ1580" s="22"/>
      <c r="AK1580" s="22"/>
      <c r="AL1580" s="22"/>
      <c r="AM1580" s="22"/>
      <c r="AN1580" s="22"/>
      <c r="AO1580" s="22"/>
      <c r="AP1580" s="22"/>
    </row>
    <row r="1581" ht="25.5" customHeight="1">
      <c r="H1581" s="384"/>
      <c r="I1581" s="384"/>
      <c r="J1581" s="378"/>
      <c r="AG1581" s="383"/>
      <c r="AH1581" s="22"/>
      <c r="AI1581" s="22"/>
      <c r="AJ1581" s="22"/>
      <c r="AK1581" s="22"/>
      <c r="AL1581" s="22"/>
      <c r="AM1581" s="22"/>
      <c r="AN1581" s="22"/>
      <c r="AO1581" s="22"/>
      <c r="AP1581" s="22"/>
    </row>
    <row r="1582" ht="25.5" customHeight="1">
      <c r="H1582" s="384"/>
      <c r="I1582" s="384"/>
      <c r="J1582" s="378"/>
      <c r="AG1582" s="383"/>
      <c r="AH1582" s="22"/>
      <c r="AI1582" s="22"/>
      <c r="AJ1582" s="22"/>
      <c r="AK1582" s="22"/>
      <c r="AL1582" s="22"/>
      <c r="AM1582" s="22"/>
      <c r="AN1582" s="22"/>
      <c r="AO1582" s="22"/>
      <c r="AP1582" s="22"/>
    </row>
    <row r="1583" ht="25.5" customHeight="1">
      <c r="H1583" s="384"/>
      <c r="I1583" s="384"/>
      <c r="J1583" s="378"/>
      <c r="AG1583" s="383"/>
      <c r="AH1583" s="22"/>
      <c r="AI1583" s="22"/>
      <c r="AJ1583" s="22"/>
      <c r="AK1583" s="22"/>
      <c r="AL1583" s="22"/>
      <c r="AM1583" s="22"/>
      <c r="AN1583" s="22"/>
      <c r="AO1583" s="22"/>
      <c r="AP1583" s="22"/>
    </row>
    <row r="1584" ht="25.5" customHeight="1">
      <c r="H1584" s="384"/>
      <c r="I1584" s="384"/>
      <c r="J1584" s="378"/>
      <c r="AG1584" s="383"/>
      <c r="AH1584" s="22"/>
      <c r="AI1584" s="22"/>
      <c r="AJ1584" s="22"/>
      <c r="AK1584" s="22"/>
      <c r="AL1584" s="22"/>
      <c r="AM1584" s="22"/>
      <c r="AN1584" s="22"/>
      <c r="AO1584" s="22"/>
      <c r="AP1584" s="22"/>
    </row>
    <row r="1585" ht="25.5" customHeight="1">
      <c r="H1585" s="384"/>
      <c r="I1585" s="384"/>
      <c r="J1585" s="378"/>
      <c r="AG1585" s="383"/>
      <c r="AH1585" s="22"/>
      <c r="AI1585" s="22"/>
      <c r="AJ1585" s="22"/>
      <c r="AK1585" s="22"/>
      <c r="AL1585" s="22"/>
      <c r="AM1585" s="22"/>
      <c r="AN1585" s="22"/>
      <c r="AO1585" s="22"/>
      <c r="AP1585" s="22"/>
    </row>
    <row r="1586" ht="25.5" customHeight="1">
      <c r="H1586" s="384"/>
      <c r="I1586" s="384"/>
      <c r="J1586" s="378"/>
      <c r="AG1586" s="383"/>
      <c r="AH1586" s="22"/>
      <c r="AI1586" s="22"/>
      <c r="AJ1586" s="22"/>
      <c r="AK1586" s="22"/>
      <c r="AL1586" s="22"/>
      <c r="AM1586" s="22"/>
      <c r="AN1586" s="22"/>
      <c r="AO1586" s="22"/>
      <c r="AP1586" s="22"/>
    </row>
    <row r="1587" ht="25.5" customHeight="1">
      <c r="H1587" s="384"/>
      <c r="I1587" s="384"/>
      <c r="J1587" s="378"/>
      <c r="AG1587" s="383"/>
      <c r="AH1587" s="22"/>
      <c r="AI1587" s="22"/>
      <c r="AJ1587" s="22"/>
      <c r="AK1587" s="22"/>
      <c r="AL1587" s="22"/>
      <c r="AM1587" s="22"/>
      <c r="AN1587" s="22"/>
      <c r="AO1587" s="22"/>
      <c r="AP1587" s="22"/>
    </row>
    <row r="1588" ht="25.5" customHeight="1">
      <c r="H1588" s="384"/>
      <c r="I1588" s="384"/>
      <c r="J1588" s="378"/>
      <c r="AG1588" s="383"/>
      <c r="AH1588" s="22"/>
      <c r="AI1588" s="22"/>
      <c r="AJ1588" s="22"/>
      <c r="AK1588" s="22"/>
      <c r="AL1588" s="22"/>
      <c r="AM1588" s="22"/>
      <c r="AN1588" s="22"/>
      <c r="AO1588" s="22"/>
      <c r="AP1588" s="22"/>
    </row>
    <row r="1589" ht="25.5" customHeight="1">
      <c r="H1589" s="384"/>
      <c r="I1589" s="384"/>
      <c r="J1589" s="378"/>
      <c r="AG1589" s="383"/>
      <c r="AH1589" s="22"/>
      <c r="AI1589" s="22"/>
      <c r="AJ1589" s="22"/>
      <c r="AK1589" s="22"/>
      <c r="AL1589" s="22"/>
      <c r="AM1589" s="22"/>
      <c r="AN1589" s="22"/>
      <c r="AO1589" s="22"/>
      <c r="AP1589" s="22"/>
    </row>
    <row r="1590" ht="25.5" customHeight="1">
      <c r="H1590" s="384"/>
      <c r="I1590" s="384"/>
      <c r="J1590" s="378"/>
      <c r="AG1590" s="383"/>
      <c r="AH1590" s="22"/>
      <c r="AI1590" s="22"/>
      <c r="AJ1590" s="22"/>
      <c r="AK1590" s="22"/>
      <c r="AL1590" s="22"/>
      <c r="AM1590" s="22"/>
      <c r="AN1590" s="22"/>
      <c r="AO1590" s="22"/>
      <c r="AP1590" s="22"/>
    </row>
    <row r="1591" ht="25.5" customHeight="1">
      <c r="H1591" s="384"/>
      <c r="I1591" s="384"/>
      <c r="J1591" s="378"/>
      <c r="AG1591" s="383"/>
      <c r="AH1591" s="22"/>
      <c r="AI1591" s="22"/>
      <c r="AJ1591" s="22"/>
      <c r="AK1591" s="22"/>
      <c r="AL1591" s="22"/>
      <c r="AM1591" s="22"/>
      <c r="AN1591" s="22"/>
      <c r="AO1591" s="22"/>
      <c r="AP1591" s="22"/>
    </row>
    <row r="1592" ht="25.5" customHeight="1">
      <c r="H1592" s="384"/>
      <c r="I1592" s="384"/>
      <c r="J1592" s="378"/>
      <c r="AG1592" s="383"/>
      <c r="AH1592" s="22"/>
      <c r="AI1592" s="22"/>
      <c r="AJ1592" s="22"/>
      <c r="AK1592" s="22"/>
      <c r="AL1592" s="22"/>
      <c r="AM1592" s="22"/>
      <c r="AN1592" s="22"/>
      <c r="AO1592" s="22"/>
      <c r="AP1592" s="22"/>
    </row>
    <row r="1593" ht="25.5" customHeight="1">
      <c r="H1593" s="384"/>
      <c r="I1593" s="384"/>
      <c r="J1593" s="378"/>
      <c r="AG1593" s="383"/>
      <c r="AH1593" s="22"/>
      <c r="AI1593" s="22"/>
      <c r="AJ1593" s="22"/>
      <c r="AK1593" s="22"/>
      <c r="AL1593" s="22"/>
      <c r="AM1593" s="22"/>
      <c r="AN1593" s="22"/>
      <c r="AO1593" s="22"/>
      <c r="AP1593" s="22"/>
    </row>
    <row r="1594" ht="25.5" customHeight="1">
      <c r="H1594" s="384"/>
      <c r="I1594" s="384"/>
      <c r="J1594" s="378"/>
      <c r="AG1594" s="383"/>
      <c r="AH1594" s="22"/>
      <c r="AI1594" s="22"/>
      <c r="AJ1594" s="22"/>
      <c r="AK1594" s="22"/>
      <c r="AL1594" s="22"/>
      <c r="AM1594" s="22"/>
      <c r="AN1594" s="22"/>
      <c r="AO1594" s="22"/>
      <c r="AP1594" s="22"/>
    </row>
    <row r="1595" ht="25.5" customHeight="1">
      <c r="H1595" s="384"/>
      <c r="I1595" s="384"/>
      <c r="J1595" s="378"/>
      <c r="AG1595" s="383"/>
      <c r="AH1595" s="22"/>
      <c r="AI1595" s="22"/>
      <c r="AJ1595" s="22"/>
      <c r="AK1595" s="22"/>
      <c r="AL1595" s="22"/>
      <c r="AM1595" s="22"/>
      <c r="AN1595" s="22"/>
      <c r="AO1595" s="22"/>
      <c r="AP1595" s="22"/>
    </row>
    <row r="1596" ht="25.5" customHeight="1">
      <c r="H1596" s="384"/>
      <c r="I1596" s="384"/>
      <c r="J1596" s="378"/>
      <c r="AG1596" s="383"/>
      <c r="AH1596" s="22"/>
      <c r="AI1596" s="22"/>
      <c r="AJ1596" s="22"/>
      <c r="AK1596" s="22"/>
      <c r="AL1596" s="22"/>
      <c r="AM1596" s="22"/>
      <c r="AN1596" s="22"/>
      <c r="AO1596" s="22"/>
      <c r="AP1596" s="22"/>
    </row>
    <row r="1597" ht="25.5" customHeight="1">
      <c r="H1597" s="384"/>
      <c r="I1597" s="384"/>
      <c r="J1597" s="378"/>
      <c r="AG1597" s="383"/>
      <c r="AH1597" s="22"/>
      <c r="AI1597" s="22"/>
      <c r="AJ1597" s="22"/>
      <c r="AK1597" s="22"/>
      <c r="AL1597" s="22"/>
      <c r="AM1597" s="22"/>
      <c r="AN1597" s="22"/>
      <c r="AO1597" s="22"/>
      <c r="AP1597" s="22"/>
    </row>
    <row r="1598" ht="25.5" customHeight="1">
      <c r="H1598" s="384"/>
      <c r="I1598" s="384"/>
      <c r="J1598" s="378"/>
      <c r="AG1598" s="383"/>
      <c r="AH1598" s="22"/>
      <c r="AI1598" s="22"/>
      <c r="AJ1598" s="22"/>
      <c r="AK1598" s="22"/>
      <c r="AL1598" s="22"/>
      <c r="AM1598" s="22"/>
      <c r="AN1598" s="22"/>
      <c r="AO1598" s="22"/>
      <c r="AP1598" s="22"/>
    </row>
    <row r="1599" ht="25.5" customHeight="1">
      <c r="H1599" s="384"/>
      <c r="I1599" s="384"/>
      <c r="J1599" s="378"/>
      <c r="AG1599" s="383"/>
      <c r="AH1599" s="22"/>
      <c r="AI1599" s="22"/>
      <c r="AJ1599" s="22"/>
      <c r="AK1599" s="22"/>
      <c r="AL1599" s="22"/>
      <c r="AM1599" s="22"/>
      <c r="AN1599" s="22"/>
      <c r="AO1599" s="22"/>
      <c r="AP1599" s="22"/>
    </row>
    <row r="1600" ht="25.5" customHeight="1">
      <c r="H1600" s="384"/>
      <c r="I1600" s="384"/>
      <c r="J1600" s="378"/>
      <c r="AG1600" s="383"/>
      <c r="AH1600" s="22"/>
      <c r="AI1600" s="22"/>
      <c r="AJ1600" s="22"/>
      <c r="AK1600" s="22"/>
      <c r="AL1600" s="22"/>
      <c r="AM1600" s="22"/>
      <c r="AN1600" s="22"/>
      <c r="AO1600" s="22"/>
      <c r="AP1600" s="22"/>
    </row>
    <row r="1601" ht="25.5" customHeight="1">
      <c r="H1601" s="384"/>
      <c r="I1601" s="384"/>
      <c r="J1601" s="378"/>
      <c r="AG1601" s="383"/>
      <c r="AH1601" s="22"/>
      <c r="AI1601" s="22"/>
      <c r="AJ1601" s="22"/>
      <c r="AK1601" s="22"/>
      <c r="AL1601" s="22"/>
      <c r="AM1601" s="22"/>
      <c r="AN1601" s="22"/>
      <c r="AO1601" s="22"/>
      <c r="AP1601" s="22"/>
    </row>
    <row r="1602" ht="25.5" customHeight="1">
      <c r="H1602" s="384"/>
      <c r="I1602" s="384"/>
      <c r="J1602" s="378"/>
      <c r="AG1602" s="383"/>
      <c r="AH1602" s="22"/>
      <c r="AI1602" s="22"/>
      <c r="AJ1602" s="22"/>
      <c r="AK1602" s="22"/>
      <c r="AL1602" s="22"/>
      <c r="AM1602" s="22"/>
      <c r="AN1602" s="22"/>
      <c r="AO1602" s="22"/>
      <c r="AP1602" s="22"/>
    </row>
    <row r="1603" ht="25.5" customHeight="1">
      <c r="H1603" s="384"/>
      <c r="I1603" s="384"/>
      <c r="J1603" s="378"/>
      <c r="AG1603" s="383"/>
      <c r="AH1603" s="22"/>
      <c r="AI1603" s="22"/>
      <c r="AJ1603" s="22"/>
      <c r="AK1603" s="22"/>
      <c r="AL1603" s="22"/>
      <c r="AM1603" s="22"/>
      <c r="AN1603" s="22"/>
      <c r="AO1603" s="22"/>
      <c r="AP1603" s="22"/>
    </row>
    <row r="1604" ht="25.5" customHeight="1">
      <c r="H1604" s="384"/>
      <c r="I1604" s="384"/>
      <c r="J1604" s="378"/>
      <c r="AG1604" s="383"/>
      <c r="AH1604" s="22"/>
      <c r="AI1604" s="22"/>
      <c r="AJ1604" s="22"/>
      <c r="AK1604" s="22"/>
      <c r="AL1604" s="22"/>
      <c r="AM1604" s="22"/>
      <c r="AN1604" s="22"/>
      <c r="AO1604" s="22"/>
      <c r="AP1604" s="22"/>
    </row>
    <row r="1605" ht="25.5" customHeight="1">
      <c r="H1605" s="384"/>
      <c r="I1605" s="384"/>
      <c r="J1605" s="378"/>
      <c r="AG1605" s="383"/>
      <c r="AH1605" s="22"/>
      <c r="AI1605" s="22"/>
      <c r="AJ1605" s="22"/>
      <c r="AK1605" s="22"/>
      <c r="AL1605" s="22"/>
      <c r="AM1605" s="22"/>
      <c r="AN1605" s="22"/>
      <c r="AO1605" s="22"/>
      <c r="AP1605" s="22"/>
    </row>
    <row r="1606" ht="25.5" customHeight="1">
      <c r="H1606" s="384"/>
      <c r="I1606" s="384"/>
      <c r="J1606" s="378"/>
      <c r="AG1606" s="383"/>
      <c r="AH1606" s="22"/>
      <c r="AI1606" s="22"/>
      <c r="AJ1606" s="22"/>
      <c r="AK1606" s="22"/>
      <c r="AL1606" s="22"/>
      <c r="AM1606" s="22"/>
      <c r="AN1606" s="22"/>
      <c r="AO1606" s="22"/>
      <c r="AP1606" s="22"/>
    </row>
    <row r="1607" ht="25.5" customHeight="1">
      <c r="H1607" s="384"/>
      <c r="I1607" s="384"/>
      <c r="J1607" s="378"/>
      <c r="AG1607" s="383"/>
      <c r="AH1607" s="22"/>
      <c r="AI1607" s="22"/>
      <c r="AJ1607" s="22"/>
      <c r="AK1607" s="22"/>
      <c r="AL1607" s="22"/>
      <c r="AM1607" s="22"/>
      <c r="AN1607" s="22"/>
      <c r="AO1607" s="22"/>
      <c r="AP1607" s="22"/>
    </row>
    <row r="1608" ht="25.5" customHeight="1">
      <c r="H1608" s="384"/>
      <c r="I1608" s="384"/>
      <c r="J1608" s="378"/>
      <c r="AG1608" s="383"/>
      <c r="AH1608" s="22"/>
      <c r="AI1608" s="22"/>
      <c r="AJ1608" s="22"/>
      <c r="AK1608" s="22"/>
      <c r="AL1608" s="22"/>
      <c r="AM1608" s="22"/>
      <c r="AN1608" s="22"/>
      <c r="AO1608" s="22"/>
      <c r="AP1608" s="22"/>
    </row>
    <row r="1609" ht="25.5" customHeight="1">
      <c r="H1609" s="384"/>
      <c r="I1609" s="384"/>
      <c r="J1609" s="378"/>
      <c r="AG1609" s="383"/>
      <c r="AH1609" s="22"/>
      <c r="AI1609" s="22"/>
      <c r="AJ1609" s="22"/>
      <c r="AK1609" s="22"/>
      <c r="AL1609" s="22"/>
      <c r="AM1609" s="22"/>
      <c r="AN1609" s="22"/>
      <c r="AO1609" s="22"/>
      <c r="AP1609" s="22"/>
    </row>
    <row r="1610" ht="25.5" customHeight="1">
      <c r="H1610" s="384"/>
      <c r="I1610" s="384"/>
      <c r="J1610" s="378"/>
      <c r="AG1610" s="383"/>
      <c r="AH1610" s="22"/>
      <c r="AI1610" s="22"/>
      <c r="AJ1610" s="22"/>
      <c r="AK1610" s="22"/>
      <c r="AL1610" s="22"/>
      <c r="AM1610" s="22"/>
      <c r="AN1610" s="22"/>
      <c r="AO1610" s="22"/>
      <c r="AP1610" s="22"/>
    </row>
    <row r="1611" ht="25.5" customHeight="1">
      <c r="H1611" s="384"/>
      <c r="I1611" s="384"/>
      <c r="J1611" s="378"/>
      <c r="AG1611" s="383"/>
      <c r="AH1611" s="22"/>
      <c r="AI1611" s="22"/>
      <c r="AJ1611" s="22"/>
      <c r="AK1611" s="22"/>
      <c r="AL1611" s="22"/>
      <c r="AM1611" s="22"/>
      <c r="AN1611" s="22"/>
      <c r="AO1611" s="22"/>
      <c r="AP1611" s="22"/>
    </row>
    <row r="1612" ht="25.5" customHeight="1">
      <c r="H1612" s="384"/>
      <c r="I1612" s="384"/>
      <c r="J1612" s="378"/>
      <c r="AG1612" s="383"/>
      <c r="AH1612" s="22"/>
      <c r="AI1612" s="22"/>
      <c r="AJ1612" s="22"/>
      <c r="AK1612" s="22"/>
      <c r="AL1612" s="22"/>
      <c r="AM1612" s="22"/>
      <c r="AN1612" s="22"/>
      <c r="AO1612" s="22"/>
      <c r="AP1612" s="22"/>
    </row>
    <row r="1613" ht="25.5" customHeight="1">
      <c r="H1613" s="384"/>
      <c r="I1613" s="384"/>
      <c r="J1613" s="378"/>
      <c r="AG1613" s="383"/>
      <c r="AH1613" s="22"/>
      <c r="AI1613" s="22"/>
      <c r="AJ1613" s="22"/>
      <c r="AK1613" s="22"/>
      <c r="AL1613" s="22"/>
      <c r="AM1613" s="22"/>
      <c r="AN1613" s="22"/>
      <c r="AO1613" s="22"/>
      <c r="AP1613" s="22"/>
    </row>
    <row r="1614" ht="25.5" customHeight="1">
      <c r="H1614" s="384"/>
      <c r="I1614" s="384"/>
      <c r="J1614" s="378"/>
      <c r="AG1614" s="383"/>
      <c r="AH1614" s="22"/>
      <c r="AI1614" s="22"/>
      <c r="AJ1614" s="22"/>
      <c r="AK1614" s="22"/>
      <c r="AL1614" s="22"/>
      <c r="AM1614" s="22"/>
      <c r="AN1614" s="22"/>
      <c r="AO1614" s="22"/>
      <c r="AP1614" s="22"/>
    </row>
    <row r="1615" ht="25.5" customHeight="1">
      <c r="H1615" s="384"/>
      <c r="I1615" s="384"/>
      <c r="J1615" s="378"/>
      <c r="AG1615" s="383"/>
      <c r="AH1615" s="22"/>
      <c r="AI1615" s="22"/>
      <c r="AJ1615" s="22"/>
      <c r="AK1615" s="22"/>
      <c r="AL1615" s="22"/>
      <c r="AM1615" s="22"/>
      <c r="AN1615" s="22"/>
      <c r="AO1615" s="22"/>
      <c r="AP1615" s="22"/>
    </row>
    <row r="1616" ht="25.5" customHeight="1">
      <c r="H1616" s="384"/>
      <c r="I1616" s="384"/>
      <c r="J1616" s="378"/>
      <c r="AG1616" s="383"/>
      <c r="AH1616" s="22"/>
      <c r="AI1616" s="22"/>
      <c r="AJ1616" s="22"/>
      <c r="AK1616" s="22"/>
      <c r="AL1616" s="22"/>
      <c r="AM1616" s="22"/>
      <c r="AN1616" s="22"/>
      <c r="AO1616" s="22"/>
      <c r="AP1616" s="22"/>
    </row>
    <row r="1617" ht="25.5" customHeight="1">
      <c r="H1617" s="384"/>
      <c r="I1617" s="384"/>
      <c r="J1617" s="378"/>
      <c r="AG1617" s="383"/>
      <c r="AH1617" s="22"/>
      <c r="AI1617" s="22"/>
      <c r="AJ1617" s="22"/>
      <c r="AK1617" s="22"/>
      <c r="AL1617" s="22"/>
      <c r="AM1617" s="22"/>
      <c r="AN1617" s="22"/>
      <c r="AO1617" s="22"/>
      <c r="AP1617" s="22"/>
    </row>
    <row r="1618" ht="25.5" customHeight="1">
      <c r="H1618" s="384"/>
      <c r="I1618" s="384"/>
      <c r="J1618" s="378"/>
      <c r="AG1618" s="383"/>
      <c r="AH1618" s="22"/>
      <c r="AI1618" s="22"/>
      <c r="AJ1618" s="22"/>
      <c r="AK1618" s="22"/>
      <c r="AL1618" s="22"/>
      <c r="AM1618" s="22"/>
      <c r="AN1618" s="22"/>
      <c r="AO1618" s="22"/>
      <c r="AP1618" s="22"/>
    </row>
    <row r="1619" ht="25.5" customHeight="1">
      <c r="H1619" s="384"/>
      <c r="I1619" s="384"/>
      <c r="J1619" s="378"/>
      <c r="AG1619" s="383"/>
      <c r="AH1619" s="22"/>
      <c r="AI1619" s="22"/>
      <c r="AJ1619" s="22"/>
      <c r="AK1619" s="22"/>
      <c r="AL1619" s="22"/>
      <c r="AM1619" s="22"/>
      <c r="AN1619" s="22"/>
      <c r="AO1619" s="22"/>
      <c r="AP1619" s="22"/>
    </row>
    <row r="1620" ht="25.5" customHeight="1">
      <c r="H1620" s="384"/>
      <c r="I1620" s="384"/>
      <c r="J1620" s="378"/>
      <c r="AG1620" s="383"/>
      <c r="AH1620" s="22"/>
      <c r="AI1620" s="22"/>
      <c r="AJ1620" s="22"/>
      <c r="AK1620" s="22"/>
      <c r="AL1620" s="22"/>
      <c r="AM1620" s="22"/>
      <c r="AN1620" s="22"/>
      <c r="AO1620" s="22"/>
      <c r="AP1620" s="22"/>
    </row>
    <row r="1621" ht="25.5" customHeight="1">
      <c r="H1621" s="384"/>
      <c r="I1621" s="384"/>
      <c r="J1621" s="378"/>
      <c r="AG1621" s="383"/>
      <c r="AH1621" s="22"/>
      <c r="AI1621" s="22"/>
      <c r="AJ1621" s="22"/>
      <c r="AK1621" s="22"/>
      <c r="AL1621" s="22"/>
      <c r="AM1621" s="22"/>
      <c r="AN1621" s="22"/>
      <c r="AO1621" s="22"/>
      <c r="AP1621" s="22"/>
    </row>
    <row r="1622" ht="25.5" customHeight="1">
      <c r="H1622" s="384"/>
      <c r="I1622" s="384"/>
      <c r="J1622" s="378"/>
      <c r="AG1622" s="383"/>
      <c r="AH1622" s="22"/>
      <c r="AI1622" s="22"/>
      <c r="AJ1622" s="22"/>
      <c r="AK1622" s="22"/>
      <c r="AL1622" s="22"/>
      <c r="AM1622" s="22"/>
      <c r="AN1622" s="22"/>
      <c r="AO1622" s="22"/>
      <c r="AP1622" s="22"/>
    </row>
    <row r="1623" ht="25.5" customHeight="1">
      <c r="H1623" s="384"/>
      <c r="I1623" s="384"/>
      <c r="J1623" s="378"/>
      <c r="AG1623" s="22"/>
      <c r="AH1623" s="22"/>
      <c r="AI1623" s="22"/>
      <c r="AJ1623" s="22"/>
      <c r="AK1623" s="22"/>
      <c r="AL1623" s="22"/>
      <c r="AM1623" s="22"/>
      <c r="AN1623" s="22"/>
      <c r="AO1623" s="22"/>
      <c r="AP1623" s="22"/>
    </row>
    <row r="1624" ht="25.5" customHeight="1">
      <c r="H1624" s="384"/>
      <c r="I1624" s="384"/>
      <c r="J1624" s="378"/>
      <c r="AG1624" s="22"/>
      <c r="AH1624" s="22"/>
      <c r="AI1624" s="22"/>
      <c r="AJ1624" s="22"/>
      <c r="AK1624" s="22"/>
      <c r="AL1624" s="22"/>
      <c r="AM1624" s="22"/>
      <c r="AN1624" s="22"/>
      <c r="AO1624" s="22"/>
      <c r="AP1624" s="22"/>
    </row>
    <row r="1625" ht="25.5" customHeight="1">
      <c r="H1625" s="384"/>
      <c r="I1625" s="384"/>
      <c r="J1625" s="378"/>
      <c r="AG1625" s="22"/>
      <c r="AH1625" s="22"/>
      <c r="AI1625" s="22"/>
      <c r="AJ1625" s="22"/>
      <c r="AK1625" s="22"/>
      <c r="AL1625" s="22"/>
      <c r="AM1625" s="22"/>
      <c r="AN1625" s="22"/>
      <c r="AO1625" s="22"/>
      <c r="AP1625" s="22"/>
    </row>
    <row r="1626" ht="25.5" customHeight="1">
      <c r="H1626" s="384"/>
      <c r="I1626" s="384"/>
      <c r="J1626" s="378"/>
      <c r="AG1626" s="22"/>
      <c r="AH1626" s="22"/>
      <c r="AI1626" s="22"/>
      <c r="AJ1626" s="22"/>
      <c r="AK1626" s="22"/>
      <c r="AL1626" s="22"/>
      <c r="AM1626" s="22"/>
      <c r="AN1626" s="22"/>
      <c r="AO1626" s="22"/>
      <c r="AP1626" s="22"/>
    </row>
    <row r="1627" ht="25.5" customHeight="1">
      <c r="H1627" s="384"/>
      <c r="I1627" s="384"/>
      <c r="J1627" s="378"/>
      <c r="AG1627" s="22"/>
      <c r="AH1627" s="22"/>
      <c r="AI1627" s="22"/>
      <c r="AJ1627" s="22"/>
      <c r="AK1627" s="22"/>
      <c r="AL1627" s="22"/>
      <c r="AM1627" s="22"/>
      <c r="AN1627" s="22"/>
      <c r="AO1627" s="22"/>
      <c r="AP1627" s="22"/>
    </row>
    <row r="1628" ht="25.5" customHeight="1">
      <c r="H1628" s="384"/>
      <c r="I1628" s="384"/>
      <c r="J1628" s="378"/>
      <c r="AG1628" s="22"/>
      <c r="AH1628" s="22"/>
      <c r="AI1628" s="22"/>
      <c r="AJ1628" s="22"/>
      <c r="AK1628" s="22"/>
      <c r="AL1628" s="22"/>
      <c r="AM1628" s="22"/>
      <c r="AN1628" s="22"/>
      <c r="AO1628" s="22"/>
      <c r="AP1628" s="22"/>
    </row>
    <row r="1629" ht="25.5" customHeight="1">
      <c r="H1629" s="384"/>
      <c r="I1629" s="384"/>
      <c r="J1629" s="378"/>
      <c r="AG1629" s="22"/>
      <c r="AH1629" s="22"/>
      <c r="AI1629" s="22"/>
      <c r="AJ1629" s="22"/>
      <c r="AK1629" s="22"/>
      <c r="AL1629" s="22"/>
      <c r="AM1629" s="22"/>
      <c r="AN1629" s="22"/>
      <c r="AO1629" s="22"/>
      <c r="AP1629" s="22"/>
    </row>
    <row r="1630" ht="25.5" customHeight="1">
      <c r="H1630" s="384"/>
      <c r="I1630" s="384"/>
      <c r="J1630" s="378"/>
      <c r="AG1630" s="22"/>
      <c r="AH1630" s="22"/>
      <c r="AI1630" s="22"/>
      <c r="AJ1630" s="22"/>
      <c r="AK1630" s="22"/>
      <c r="AL1630" s="22"/>
      <c r="AM1630" s="22"/>
      <c r="AN1630" s="22"/>
      <c r="AO1630" s="22"/>
      <c r="AP1630" s="22"/>
    </row>
    <row r="1631" ht="25.5" customHeight="1">
      <c r="H1631" s="384"/>
      <c r="I1631" s="384"/>
      <c r="J1631" s="378"/>
      <c r="AG1631" s="22"/>
      <c r="AH1631" s="22"/>
      <c r="AI1631" s="22"/>
      <c r="AJ1631" s="22"/>
      <c r="AK1631" s="22"/>
      <c r="AL1631" s="22"/>
      <c r="AM1631" s="22"/>
      <c r="AN1631" s="22"/>
      <c r="AO1631" s="22"/>
      <c r="AP1631" s="22"/>
    </row>
    <row r="1632" ht="25.5" customHeight="1">
      <c r="H1632" s="384"/>
      <c r="I1632" s="384"/>
      <c r="J1632" s="378"/>
      <c r="AG1632" s="22"/>
      <c r="AH1632" s="22"/>
      <c r="AI1632" s="22"/>
      <c r="AJ1632" s="22"/>
      <c r="AK1632" s="22"/>
      <c r="AL1632" s="22"/>
      <c r="AM1632" s="22"/>
      <c r="AN1632" s="22"/>
      <c r="AO1632" s="22"/>
      <c r="AP1632" s="22"/>
    </row>
    <row r="1633" ht="25.5" customHeight="1">
      <c r="H1633" s="384"/>
      <c r="I1633" s="384"/>
      <c r="J1633" s="378"/>
      <c r="AG1633" s="22"/>
      <c r="AH1633" s="22"/>
      <c r="AI1633" s="22"/>
      <c r="AJ1633" s="22"/>
      <c r="AK1633" s="22"/>
      <c r="AL1633" s="22"/>
      <c r="AM1633" s="22"/>
      <c r="AN1633" s="22"/>
      <c r="AO1633" s="22"/>
      <c r="AP1633" s="22"/>
    </row>
    <row r="1634" ht="25.5" customHeight="1">
      <c r="H1634" s="384"/>
      <c r="I1634" s="384"/>
      <c r="J1634" s="378"/>
      <c r="AG1634" s="22"/>
      <c r="AH1634" s="22"/>
      <c r="AI1634" s="22"/>
      <c r="AJ1634" s="22"/>
      <c r="AK1634" s="22"/>
      <c r="AL1634" s="22"/>
      <c r="AM1634" s="22"/>
      <c r="AN1634" s="22"/>
      <c r="AO1634" s="22"/>
      <c r="AP1634" s="22"/>
    </row>
    <row r="1635" ht="25.5" customHeight="1">
      <c r="H1635" s="384"/>
      <c r="I1635" s="384"/>
      <c r="J1635" s="378"/>
      <c r="AG1635" s="22"/>
      <c r="AH1635" s="22"/>
      <c r="AI1635" s="22"/>
      <c r="AJ1635" s="22"/>
      <c r="AK1635" s="22"/>
      <c r="AL1635" s="22"/>
      <c r="AM1635" s="22"/>
      <c r="AN1635" s="22"/>
      <c r="AO1635" s="22"/>
      <c r="AP1635" s="22"/>
    </row>
    <row r="1636" ht="25.5" customHeight="1">
      <c r="H1636" s="384"/>
      <c r="I1636" s="384"/>
      <c r="J1636" s="378"/>
      <c r="AG1636" s="22"/>
      <c r="AH1636" s="22"/>
      <c r="AI1636" s="22"/>
      <c r="AJ1636" s="22"/>
      <c r="AK1636" s="22"/>
      <c r="AL1636" s="22"/>
      <c r="AM1636" s="22"/>
      <c r="AN1636" s="22"/>
      <c r="AO1636" s="22"/>
      <c r="AP1636" s="22"/>
    </row>
    <row r="1637" ht="25.5" customHeight="1">
      <c r="H1637" s="384"/>
      <c r="I1637" s="384"/>
      <c r="J1637" s="378"/>
      <c r="AG1637" s="22"/>
      <c r="AH1637" s="22"/>
      <c r="AI1637" s="22"/>
      <c r="AJ1637" s="22"/>
      <c r="AK1637" s="22"/>
      <c r="AL1637" s="22"/>
      <c r="AM1637" s="22"/>
      <c r="AN1637" s="22"/>
      <c r="AO1637" s="22"/>
      <c r="AP1637" s="22"/>
    </row>
    <row r="1638" ht="25.5" customHeight="1">
      <c r="H1638" s="384"/>
      <c r="I1638" s="384"/>
      <c r="J1638" s="378"/>
      <c r="AG1638" s="22"/>
      <c r="AH1638" s="22"/>
      <c r="AI1638" s="22"/>
      <c r="AJ1638" s="22"/>
      <c r="AK1638" s="22"/>
      <c r="AL1638" s="22"/>
      <c r="AM1638" s="22"/>
      <c r="AN1638" s="22"/>
      <c r="AO1638" s="22"/>
      <c r="AP1638" s="22"/>
    </row>
    <row r="1639" ht="25.5" customHeight="1">
      <c r="H1639" s="384"/>
      <c r="I1639" s="384"/>
      <c r="J1639" s="378"/>
      <c r="AG1639" s="22"/>
      <c r="AH1639" s="22"/>
      <c r="AI1639" s="22"/>
      <c r="AJ1639" s="22"/>
      <c r="AK1639" s="22"/>
      <c r="AL1639" s="22"/>
      <c r="AM1639" s="22"/>
      <c r="AN1639" s="22"/>
      <c r="AO1639" s="22"/>
      <c r="AP1639" s="22"/>
    </row>
    <row r="1640" ht="25.5" customHeight="1">
      <c r="H1640" s="384"/>
      <c r="I1640" s="384"/>
      <c r="J1640" s="378"/>
      <c r="AG1640" s="22"/>
      <c r="AH1640" s="22"/>
      <c r="AI1640" s="22"/>
      <c r="AJ1640" s="22"/>
      <c r="AK1640" s="22"/>
      <c r="AL1640" s="22"/>
      <c r="AM1640" s="22"/>
      <c r="AN1640" s="22"/>
      <c r="AO1640" s="22"/>
      <c r="AP1640" s="22"/>
    </row>
    <row r="1641" ht="25.5" customHeight="1">
      <c r="H1641" s="384"/>
      <c r="I1641" s="384"/>
      <c r="J1641" s="378"/>
      <c r="AG1641" s="22"/>
      <c r="AH1641" s="22"/>
      <c r="AI1641" s="22"/>
      <c r="AJ1641" s="22"/>
      <c r="AK1641" s="22"/>
      <c r="AL1641" s="22"/>
      <c r="AM1641" s="22"/>
      <c r="AN1641" s="22"/>
      <c r="AO1641" s="22"/>
      <c r="AP1641" s="22"/>
    </row>
    <row r="1642" ht="25.5" customHeight="1">
      <c r="H1642" s="384"/>
      <c r="I1642" s="384"/>
      <c r="J1642" s="378"/>
      <c r="AG1642" s="22"/>
      <c r="AH1642" s="22"/>
      <c r="AI1642" s="22"/>
      <c r="AJ1642" s="22"/>
      <c r="AK1642" s="22"/>
      <c r="AL1642" s="22"/>
      <c r="AM1642" s="22"/>
      <c r="AN1642" s="22"/>
      <c r="AO1642" s="22"/>
      <c r="AP1642" s="22"/>
    </row>
    <row r="1643" ht="25.5" customHeight="1">
      <c r="H1643" s="384"/>
      <c r="I1643" s="384"/>
      <c r="J1643" s="378"/>
      <c r="AG1643" s="22"/>
      <c r="AH1643" s="22"/>
      <c r="AI1643" s="22"/>
      <c r="AJ1643" s="22"/>
      <c r="AK1643" s="22"/>
      <c r="AL1643" s="22"/>
      <c r="AM1643" s="22"/>
      <c r="AN1643" s="22"/>
      <c r="AO1643" s="22"/>
      <c r="AP1643" s="22"/>
    </row>
    <row r="1644" ht="25.5" customHeight="1">
      <c r="H1644" s="384"/>
      <c r="I1644" s="384"/>
      <c r="J1644" s="378"/>
      <c r="AG1644" s="22"/>
      <c r="AH1644" s="22"/>
      <c r="AI1644" s="22"/>
      <c r="AJ1644" s="22"/>
      <c r="AK1644" s="22"/>
      <c r="AL1644" s="22"/>
      <c r="AM1644" s="22"/>
      <c r="AN1644" s="22"/>
      <c r="AO1644" s="22"/>
      <c r="AP1644" s="22"/>
    </row>
    <row r="1645" ht="25.5" customHeight="1">
      <c r="H1645" s="384"/>
      <c r="I1645" s="384"/>
      <c r="J1645" s="378"/>
      <c r="AG1645" s="22"/>
      <c r="AH1645" s="22"/>
      <c r="AI1645" s="22"/>
      <c r="AJ1645" s="22"/>
      <c r="AK1645" s="22"/>
      <c r="AL1645" s="22"/>
      <c r="AM1645" s="22"/>
      <c r="AN1645" s="22"/>
      <c r="AO1645" s="22"/>
      <c r="AP1645" s="22"/>
    </row>
    <row r="1646" ht="25.5" customHeight="1">
      <c r="H1646" s="384"/>
      <c r="I1646" s="384"/>
      <c r="J1646" s="378"/>
      <c r="AG1646" s="22"/>
      <c r="AH1646" s="22"/>
      <c r="AI1646" s="22"/>
      <c r="AJ1646" s="22"/>
      <c r="AK1646" s="22"/>
      <c r="AL1646" s="22"/>
      <c r="AM1646" s="22"/>
      <c r="AN1646" s="22"/>
      <c r="AO1646" s="22"/>
      <c r="AP1646" s="22"/>
    </row>
    <row r="1647" ht="25.5" customHeight="1">
      <c r="H1647" s="384"/>
      <c r="I1647" s="384"/>
      <c r="J1647" s="378"/>
      <c r="AG1647" s="22"/>
      <c r="AH1647" s="22"/>
      <c r="AI1647" s="22"/>
      <c r="AJ1647" s="22"/>
      <c r="AK1647" s="22"/>
      <c r="AL1647" s="22"/>
      <c r="AM1647" s="22"/>
      <c r="AN1647" s="22"/>
      <c r="AO1647" s="22"/>
      <c r="AP1647" s="22"/>
    </row>
    <row r="1648" ht="25.5" customHeight="1">
      <c r="H1648" s="384"/>
      <c r="I1648" s="384"/>
      <c r="J1648" s="378"/>
      <c r="AG1648" s="22"/>
      <c r="AH1648" s="22"/>
      <c r="AI1648" s="22"/>
      <c r="AJ1648" s="22"/>
      <c r="AK1648" s="22"/>
      <c r="AL1648" s="22"/>
      <c r="AM1648" s="22"/>
      <c r="AN1648" s="22"/>
      <c r="AO1648" s="22"/>
      <c r="AP1648" s="22"/>
    </row>
    <row r="1649" ht="25.5" customHeight="1">
      <c r="H1649" s="384"/>
      <c r="I1649" s="384"/>
      <c r="J1649" s="378"/>
      <c r="AG1649" s="22"/>
      <c r="AH1649" s="22"/>
      <c r="AI1649" s="22"/>
      <c r="AJ1649" s="22"/>
      <c r="AK1649" s="22"/>
      <c r="AL1649" s="22"/>
      <c r="AM1649" s="22"/>
      <c r="AN1649" s="22"/>
      <c r="AO1649" s="22"/>
      <c r="AP1649" s="22"/>
    </row>
    <row r="1650" ht="25.5" customHeight="1">
      <c r="H1650" s="384"/>
      <c r="I1650" s="384"/>
      <c r="J1650" s="378"/>
      <c r="AG1650" s="22"/>
      <c r="AH1650" s="22"/>
      <c r="AI1650" s="22"/>
      <c r="AJ1650" s="22"/>
      <c r="AK1650" s="22"/>
      <c r="AL1650" s="22"/>
      <c r="AM1650" s="22"/>
      <c r="AN1650" s="22"/>
      <c r="AO1650" s="22"/>
      <c r="AP1650" s="22"/>
    </row>
    <row r="1651" ht="25.5" customHeight="1">
      <c r="H1651" s="384"/>
      <c r="I1651" s="384"/>
      <c r="J1651" s="378"/>
      <c r="AG1651" s="22"/>
      <c r="AH1651" s="22"/>
      <c r="AI1651" s="22"/>
      <c r="AJ1651" s="22"/>
      <c r="AK1651" s="22"/>
      <c r="AL1651" s="22"/>
      <c r="AM1651" s="22"/>
      <c r="AN1651" s="22"/>
      <c r="AO1651" s="22"/>
      <c r="AP1651" s="22"/>
    </row>
    <row r="1652" ht="25.5" customHeight="1">
      <c r="H1652" s="384"/>
      <c r="I1652" s="384"/>
      <c r="J1652" s="378"/>
      <c r="AG1652" s="22"/>
      <c r="AH1652" s="22"/>
      <c r="AI1652" s="22"/>
      <c r="AJ1652" s="22"/>
      <c r="AK1652" s="22"/>
      <c r="AL1652" s="22"/>
      <c r="AM1652" s="22"/>
      <c r="AN1652" s="22"/>
      <c r="AO1652" s="22"/>
      <c r="AP1652" s="22"/>
    </row>
    <row r="1653" ht="25.5" customHeight="1">
      <c r="H1653" s="384"/>
      <c r="I1653" s="384"/>
      <c r="J1653" s="378"/>
      <c r="AG1653" s="22"/>
      <c r="AH1653" s="22"/>
      <c r="AI1653" s="22"/>
      <c r="AJ1653" s="22"/>
      <c r="AK1653" s="22"/>
      <c r="AL1653" s="22"/>
      <c r="AM1653" s="22"/>
      <c r="AN1653" s="22"/>
      <c r="AO1653" s="22"/>
      <c r="AP1653" s="22"/>
    </row>
    <row r="1654" ht="25.5" customHeight="1">
      <c r="H1654" s="384"/>
      <c r="I1654" s="384"/>
      <c r="J1654" s="378"/>
      <c r="AG1654" s="22"/>
      <c r="AH1654" s="22"/>
      <c r="AI1654" s="22"/>
      <c r="AJ1654" s="22"/>
      <c r="AK1654" s="22"/>
      <c r="AL1654" s="22"/>
      <c r="AM1654" s="22"/>
      <c r="AN1654" s="22"/>
      <c r="AO1654" s="22"/>
      <c r="AP1654" s="22"/>
    </row>
    <row r="1655" ht="25.5" customHeight="1">
      <c r="H1655" s="384"/>
      <c r="I1655" s="384"/>
      <c r="J1655" s="378"/>
      <c r="AG1655" s="22"/>
      <c r="AH1655" s="22"/>
      <c r="AI1655" s="22"/>
      <c r="AJ1655" s="22"/>
      <c r="AK1655" s="22"/>
      <c r="AL1655" s="22"/>
      <c r="AM1655" s="22"/>
      <c r="AN1655" s="22"/>
      <c r="AO1655" s="22"/>
      <c r="AP1655" s="22"/>
    </row>
    <row r="1656" ht="25.5" customHeight="1">
      <c r="H1656" s="384"/>
      <c r="I1656" s="384"/>
      <c r="J1656" s="378"/>
      <c r="AG1656" s="22"/>
      <c r="AH1656" s="22"/>
      <c r="AI1656" s="22"/>
      <c r="AJ1656" s="22"/>
      <c r="AK1656" s="22"/>
      <c r="AL1656" s="22"/>
      <c r="AM1656" s="22"/>
      <c r="AN1656" s="22"/>
      <c r="AO1656" s="22"/>
      <c r="AP1656" s="22"/>
    </row>
    <row r="1657" ht="25.5" customHeight="1">
      <c r="H1657" s="384"/>
      <c r="I1657" s="384"/>
      <c r="J1657" s="378"/>
      <c r="AG1657" s="22"/>
      <c r="AH1657" s="22"/>
      <c r="AI1657" s="22"/>
      <c r="AJ1657" s="22"/>
      <c r="AK1657" s="22"/>
      <c r="AL1657" s="22"/>
      <c r="AM1657" s="22"/>
      <c r="AN1657" s="22"/>
      <c r="AO1657" s="22"/>
      <c r="AP1657" s="22"/>
    </row>
    <row r="1658" ht="25.5" customHeight="1">
      <c r="H1658" s="384"/>
      <c r="I1658" s="384"/>
      <c r="J1658" s="378"/>
      <c r="AG1658" s="22"/>
      <c r="AH1658" s="22"/>
      <c r="AI1658" s="22"/>
      <c r="AJ1658" s="22"/>
      <c r="AK1658" s="22"/>
      <c r="AL1658" s="22"/>
      <c r="AM1658" s="22"/>
      <c r="AN1658" s="22"/>
      <c r="AO1658" s="22"/>
      <c r="AP1658" s="22"/>
    </row>
    <row r="1659" ht="25.5" customHeight="1">
      <c r="H1659" s="384"/>
      <c r="I1659" s="384"/>
      <c r="J1659" s="378"/>
      <c r="AG1659" s="22"/>
      <c r="AH1659" s="22"/>
      <c r="AI1659" s="22"/>
      <c r="AJ1659" s="22"/>
      <c r="AK1659" s="22"/>
      <c r="AL1659" s="22"/>
      <c r="AM1659" s="22"/>
      <c r="AN1659" s="22"/>
      <c r="AO1659" s="22"/>
      <c r="AP1659" s="22"/>
    </row>
    <row r="1660" ht="25.5" customHeight="1">
      <c r="H1660" s="384"/>
      <c r="I1660" s="384"/>
      <c r="J1660" s="378"/>
      <c r="AG1660" s="22"/>
      <c r="AH1660" s="22"/>
      <c r="AI1660" s="22"/>
      <c r="AJ1660" s="22"/>
      <c r="AK1660" s="22"/>
      <c r="AL1660" s="22"/>
      <c r="AM1660" s="22"/>
      <c r="AN1660" s="22"/>
      <c r="AO1660" s="22"/>
      <c r="AP1660" s="22"/>
    </row>
    <row r="1661" ht="25.5" customHeight="1">
      <c r="H1661" s="384"/>
      <c r="I1661" s="384"/>
      <c r="J1661" s="378"/>
      <c r="AG1661" s="22"/>
      <c r="AH1661" s="22"/>
      <c r="AI1661" s="22"/>
      <c r="AJ1661" s="22"/>
      <c r="AK1661" s="22"/>
      <c r="AL1661" s="22"/>
      <c r="AM1661" s="22"/>
      <c r="AN1661" s="22"/>
      <c r="AO1661" s="22"/>
      <c r="AP1661" s="22"/>
    </row>
    <row r="1662" ht="25.5" customHeight="1">
      <c r="H1662" s="384"/>
      <c r="I1662" s="384"/>
      <c r="J1662" s="378"/>
      <c r="AG1662" s="22"/>
      <c r="AH1662" s="22"/>
      <c r="AI1662" s="22"/>
      <c r="AJ1662" s="22"/>
      <c r="AK1662" s="22"/>
      <c r="AL1662" s="22"/>
      <c r="AM1662" s="22"/>
      <c r="AN1662" s="22"/>
      <c r="AO1662" s="22"/>
      <c r="AP1662" s="22"/>
    </row>
    <row r="1663" ht="25.5" customHeight="1">
      <c r="H1663" s="384"/>
      <c r="I1663" s="384"/>
      <c r="J1663" s="378"/>
      <c r="AG1663" s="22"/>
      <c r="AH1663" s="22"/>
      <c r="AI1663" s="22"/>
      <c r="AJ1663" s="22"/>
      <c r="AK1663" s="22"/>
      <c r="AL1663" s="22"/>
      <c r="AM1663" s="22"/>
      <c r="AN1663" s="22"/>
      <c r="AO1663" s="22"/>
      <c r="AP1663" s="22"/>
    </row>
    <row r="1664" ht="25.5" customHeight="1">
      <c r="H1664" s="384"/>
      <c r="I1664" s="384"/>
      <c r="J1664" s="378"/>
      <c r="AG1664" s="22"/>
      <c r="AH1664" s="22"/>
      <c r="AI1664" s="22"/>
      <c r="AJ1664" s="22"/>
      <c r="AK1664" s="22"/>
      <c r="AL1664" s="22"/>
      <c r="AM1664" s="22"/>
      <c r="AN1664" s="22"/>
      <c r="AO1664" s="22"/>
      <c r="AP1664" s="22"/>
    </row>
    <row r="1665" ht="25.5" customHeight="1">
      <c r="H1665" s="384"/>
      <c r="I1665" s="384"/>
      <c r="J1665" s="378"/>
      <c r="AG1665" s="22"/>
      <c r="AH1665" s="22"/>
      <c r="AI1665" s="22"/>
      <c r="AJ1665" s="22"/>
      <c r="AK1665" s="22"/>
      <c r="AL1665" s="22"/>
      <c r="AM1665" s="22"/>
      <c r="AN1665" s="22"/>
      <c r="AO1665" s="22"/>
      <c r="AP1665" s="22"/>
    </row>
    <row r="1666" ht="25.5" customHeight="1">
      <c r="H1666" s="384"/>
      <c r="I1666" s="384"/>
      <c r="J1666" s="378"/>
      <c r="AG1666" s="22"/>
      <c r="AH1666" s="22"/>
      <c r="AI1666" s="22"/>
      <c r="AJ1666" s="22"/>
      <c r="AK1666" s="22"/>
      <c r="AL1666" s="22"/>
      <c r="AM1666" s="22"/>
      <c r="AN1666" s="22"/>
      <c r="AO1666" s="22"/>
      <c r="AP1666" s="22"/>
    </row>
    <row r="1667" ht="25.5" customHeight="1">
      <c r="H1667" s="384"/>
      <c r="I1667" s="384"/>
      <c r="J1667" s="378"/>
      <c r="AG1667" s="22"/>
      <c r="AH1667" s="22"/>
      <c r="AI1667" s="22"/>
      <c r="AJ1667" s="22"/>
      <c r="AK1667" s="22"/>
      <c r="AL1667" s="22"/>
      <c r="AM1667" s="22"/>
      <c r="AN1667" s="22"/>
      <c r="AO1667" s="22"/>
      <c r="AP1667" s="22"/>
    </row>
    <row r="1668" ht="25.5" customHeight="1">
      <c r="H1668" s="384"/>
      <c r="I1668" s="384"/>
      <c r="J1668" s="378"/>
      <c r="AG1668" s="22"/>
      <c r="AH1668" s="22"/>
      <c r="AI1668" s="22"/>
      <c r="AJ1668" s="22"/>
      <c r="AK1668" s="22"/>
      <c r="AL1668" s="22"/>
      <c r="AM1668" s="22"/>
      <c r="AN1668" s="22"/>
      <c r="AO1668" s="22"/>
      <c r="AP1668" s="22"/>
    </row>
    <row r="1669" ht="25.5" customHeight="1">
      <c r="H1669" s="384"/>
      <c r="I1669" s="384"/>
      <c r="J1669" s="378"/>
      <c r="AG1669" s="22"/>
      <c r="AH1669" s="22"/>
      <c r="AI1669" s="22"/>
      <c r="AJ1669" s="22"/>
      <c r="AK1669" s="22"/>
      <c r="AL1669" s="22"/>
      <c r="AM1669" s="22"/>
      <c r="AN1669" s="22"/>
      <c r="AO1669" s="22"/>
      <c r="AP1669" s="22"/>
    </row>
    <row r="1670" ht="25.5" customHeight="1">
      <c r="H1670" s="384"/>
      <c r="I1670" s="384"/>
      <c r="J1670" s="378"/>
      <c r="AG1670" s="22"/>
      <c r="AH1670" s="22"/>
      <c r="AI1670" s="22"/>
      <c r="AJ1670" s="22"/>
      <c r="AK1670" s="22"/>
      <c r="AL1670" s="22"/>
      <c r="AM1670" s="22"/>
      <c r="AN1670" s="22"/>
      <c r="AO1670" s="22"/>
      <c r="AP1670" s="22"/>
    </row>
    <row r="1671" ht="25.5" customHeight="1">
      <c r="H1671" s="384"/>
      <c r="I1671" s="384"/>
      <c r="J1671" s="378"/>
      <c r="AG1671" s="22"/>
      <c r="AH1671" s="22"/>
      <c r="AI1671" s="22"/>
      <c r="AJ1671" s="22"/>
      <c r="AK1671" s="22"/>
      <c r="AL1671" s="22"/>
      <c r="AM1671" s="22"/>
      <c r="AN1671" s="22"/>
      <c r="AO1671" s="22"/>
      <c r="AP1671" s="22"/>
    </row>
    <row r="1672" ht="25.5" customHeight="1">
      <c r="H1672" s="384"/>
      <c r="I1672" s="384"/>
      <c r="J1672" s="378"/>
      <c r="AG1672" s="22"/>
      <c r="AH1672" s="22"/>
      <c r="AI1672" s="22"/>
      <c r="AJ1672" s="22"/>
      <c r="AK1672" s="22"/>
      <c r="AL1672" s="22"/>
      <c r="AM1672" s="22"/>
      <c r="AN1672" s="22"/>
      <c r="AO1672" s="22"/>
      <c r="AP1672" s="22"/>
    </row>
    <row r="1673" ht="25.5" customHeight="1">
      <c r="H1673" s="384"/>
      <c r="I1673" s="384"/>
      <c r="J1673" s="378"/>
      <c r="AG1673" s="22"/>
      <c r="AH1673" s="22"/>
      <c r="AI1673" s="22"/>
      <c r="AJ1673" s="22"/>
      <c r="AK1673" s="22"/>
      <c r="AL1673" s="22"/>
      <c r="AM1673" s="22"/>
      <c r="AN1673" s="22"/>
      <c r="AO1673" s="22"/>
      <c r="AP1673" s="22"/>
    </row>
    <row r="1674" ht="25.5" customHeight="1">
      <c r="H1674" s="384"/>
      <c r="I1674" s="384"/>
      <c r="J1674" s="378"/>
      <c r="AG1674" s="22"/>
      <c r="AH1674" s="22"/>
      <c r="AI1674" s="22"/>
      <c r="AJ1674" s="22"/>
      <c r="AK1674" s="22"/>
      <c r="AL1674" s="22"/>
      <c r="AM1674" s="22"/>
      <c r="AN1674" s="22"/>
      <c r="AO1674" s="22"/>
      <c r="AP1674" s="22"/>
    </row>
    <row r="1675" ht="25.5" customHeight="1">
      <c r="H1675" s="384"/>
      <c r="I1675" s="384"/>
      <c r="J1675" s="378"/>
      <c r="AG1675" s="22"/>
      <c r="AH1675" s="22"/>
      <c r="AI1675" s="22"/>
      <c r="AJ1675" s="22"/>
      <c r="AK1675" s="22"/>
      <c r="AL1675" s="22"/>
      <c r="AM1675" s="22"/>
      <c r="AN1675" s="22"/>
      <c r="AO1675" s="22"/>
      <c r="AP1675" s="22"/>
    </row>
    <row r="1676" ht="25.5" customHeight="1">
      <c r="H1676" s="384"/>
      <c r="I1676" s="384"/>
      <c r="J1676" s="378"/>
      <c r="AG1676" s="22"/>
      <c r="AH1676" s="22"/>
      <c r="AI1676" s="22"/>
      <c r="AJ1676" s="22"/>
      <c r="AK1676" s="22"/>
      <c r="AL1676" s="22"/>
      <c r="AM1676" s="22"/>
      <c r="AN1676" s="22"/>
      <c r="AO1676" s="22"/>
      <c r="AP1676" s="22"/>
    </row>
    <row r="1677" ht="25.5" customHeight="1">
      <c r="H1677" s="384"/>
      <c r="I1677" s="384"/>
      <c r="J1677" s="378"/>
      <c r="AG1677" s="22"/>
      <c r="AH1677" s="22"/>
      <c r="AI1677" s="22"/>
      <c r="AJ1677" s="22"/>
      <c r="AK1677" s="22"/>
      <c r="AL1677" s="22"/>
      <c r="AM1677" s="22"/>
      <c r="AN1677" s="22"/>
      <c r="AO1677" s="22"/>
      <c r="AP1677" s="22"/>
    </row>
    <row r="1678" ht="25.5" customHeight="1">
      <c r="H1678" s="384"/>
      <c r="I1678" s="384"/>
      <c r="J1678" s="378"/>
      <c r="AG1678" s="22"/>
      <c r="AH1678" s="22"/>
      <c r="AI1678" s="22"/>
      <c r="AJ1678" s="22"/>
      <c r="AK1678" s="22"/>
      <c r="AL1678" s="22"/>
      <c r="AM1678" s="22"/>
      <c r="AN1678" s="22"/>
      <c r="AO1678" s="22"/>
      <c r="AP1678" s="22"/>
    </row>
    <row r="1679" ht="25.5" customHeight="1">
      <c r="H1679" s="384"/>
      <c r="I1679" s="384"/>
      <c r="J1679" s="378"/>
      <c r="AG1679" s="22"/>
      <c r="AH1679" s="22"/>
      <c r="AI1679" s="22"/>
      <c r="AJ1679" s="22"/>
      <c r="AK1679" s="22"/>
      <c r="AL1679" s="22"/>
      <c r="AM1679" s="22"/>
      <c r="AN1679" s="22"/>
      <c r="AO1679" s="22"/>
      <c r="AP1679" s="22"/>
    </row>
    <row r="1680" ht="25.5" customHeight="1">
      <c r="H1680" s="384"/>
      <c r="I1680" s="384"/>
      <c r="J1680" s="378"/>
      <c r="AG1680" s="22"/>
      <c r="AH1680" s="22"/>
      <c r="AI1680" s="22"/>
      <c r="AJ1680" s="22"/>
      <c r="AK1680" s="22"/>
      <c r="AL1680" s="22"/>
      <c r="AM1680" s="22"/>
      <c r="AN1680" s="22"/>
      <c r="AO1680" s="22"/>
      <c r="AP1680" s="22"/>
    </row>
    <row r="1681" ht="25.5" customHeight="1">
      <c r="H1681" s="384"/>
      <c r="I1681" s="384"/>
      <c r="J1681" s="378"/>
      <c r="AG1681" s="22"/>
      <c r="AH1681" s="22"/>
      <c r="AI1681" s="22"/>
      <c r="AJ1681" s="22"/>
      <c r="AK1681" s="22"/>
      <c r="AL1681" s="22"/>
      <c r="AM1681" s="22"/>
      <c r="AN1681" s="22"/>
      <c r="AO1681" s="22"/>
      <c r="AP1681" s="22"/>
    </row>
    <row r="1682" ht="25.5" customHeight="1">
      <c r="H1682" s="384"/>
      <c r="I1682" s="384"/>
      <c r="J1682" s="378"/>
      <c r="AG1682" s="22"/>
      <c r="AH1682" s="22"/>
      <c r="AI1682" s="22"/>
      <c r="AJ1682" s="22"/>
      <c r="AK1682" s="22"/>
      <c r="AL1682" s="22"/>
      <c r="AM1682" s="22"/>
      <c r="AN1682" s="22"/>
      <c r="AO1682" s="22"/>
      <c r="AP1682" s="22"/>
    </row>
    <row r="1683" ht="25.5" customHeight="1">
      <c r="H1683" s="384"/>
      <c r="I1683" s="384"/>
      <c r="J1683" s="378"/>
      <c r="AG1683" s="22"/>
      <c r="AH1683" s="22"/>
      <c r="AI1683" s="22"/>
      <c r="AJ1683" s="22"/>
      <c r="AK1683" s="22"/>
      <c r="AL1683" s="22"/>
      <c r="AM1683" s="22"/>
      <c r="AN1683" s="22"/>
      <c r="AO1683" s="22"/>
      <c r="AP1683" s="22"/>
    </row>
    <row r="1684" ht="25.5" customHeight="1">
      <c r="H1684" s="384"/>
      <c r="I1684" s="384"/>
      <c r="J1684" s="378"/>
      <c r="AG1684" s="22"/>
      <c r="AH1684" s="22"/>
      <c r="AI1684" s="22"/>
      <c r="AJ1684" s="22"/>
      <c r="AK1684" s="22"/>
      <c r="AL1684" s="22"/>
      <c r="AM1684" s="22"/>
      <c r="AN1684" s="22"/>
      <c r="AO1684" s="22"/>
      <c r="AP1684" s="22"/>
    </row>
    <row r="1685" ht="25.5" customHeight="1">
      <c r="H1685" s="384"/>
      <c r="I1685" s="384"/>
      <c r="J1685" s="378"/>
      <c r="AG1685" s="22"/>
      <c r="AH1685" s="22"/>
      <c r="AI1685" s="22"/>
      <c r="AJ1685" s="22"/>
      <c r="AK1685" s="22"/>
      <c r="AL1685" s="22"/>
      <c r="AM1685" s="22"/>
      <c r="AN1685" s="22"/>
      <c r="AO1685" s="22"/>
      <c r="AP1685" s="22"/>
    </row>
    <row r="1686" ht="25.5" customHeight="1">
      <c r="H1686" s="384"/>
      <c r="I1686" s="384"/>
      <c r="J1686" s="378"/>
      <c r="AG1686" s="22"/>
      <c r="AH1686" s="22"/>
      <c r="AI1686" s="22"/>
      <c r="AJ1686" s="22"/>
      <c r="AK1686" s="22"/>
      <c r="AL1686" s="22"/>
      <c r="AM1686" s="22"/>
      <c r="AN1686" s="22"/>
      <c r="AO1686" s="22"/>
      <c r="AP1686" s="22"/>
    </row>
    <row r="1687" ht="25.5" customHeight="1">
      <c r="H1687" s="384"/>
      <c r="I1687" s="384"/>
      <c r="J1687" s="378"/>
      <c r="AG1687" s="22"/>
      <c r="AH1687" s="22"/>
      <c r="AI1687" s="22"/>
      <c r="AJ1687" s="22"/>
      <c r="AK1687" s="22"/>
      <c r="AL1687" s="22"/>
      <c r="AM1687" s="22"/>
      <c r="AN1687" s="22"/>
      <c r="AO1687" s="22"/>
      <c r="AP1687" s="22"/>
    </row>
    <row r="1688" ht="25.5" customHeight="1">
      <c r="H1688" s="384"/>
      <c r="I1688" s="384"/>
      <c r="J1688" s="378"/>
      <c r="AG1688" s="22"/>
      <c r="AH1688" s="22"/>
      <c r="AI1688" s="22"/>
      <c r="AJ1688" s="22"/>
      <c r="AK1688" s="22"/>
      <c r="AL1688" s="22"/>
      <c r="AM1688" s="22"/>
      <c r="AN1688" s="22"/>
      <c r="AO1688" s="22"/>
      <c r="AP1688" s="22"/>
    </row>
    <row r="1689" ht="25.5" customHeight="1">
      <c r="H1689" s="384"/>
      <c r="I1689" s="384"/>
      <c r="J1689" s="378"/>
      <c r="AG1689" s="22"/>
      <c r="AH1689" s="22"/>
      <c r="AI1689" s="22"/>
      <c r="AJ1689" s="22"/>
      <c r="AK1689" s="22"/>
      <c r="AL1689" s="22"/>
      <c r="AM1689" s="22"/>
      <c r="AN1689" s="22"/>
      <c r="AO1689" s="22"/>
      <c r="AP1689" s="22"/>
    </row>
    <row r="1690" ht="25.5" customHeight="1">
      <c r="H1690" s="384"/>
      <c r="I1690" s="384"/>
      <c r="J1690" s="378"/>
      <c r="AG1690" s="22"/>
      <c r="AH1690" s="22"/>
      <c r="AI1690" s="22"/>
      <c r="AJ1690" s="22"/>
      <c r="AK1690" s="22"/>
      <c r="AL1690" s="22"/>
      <c r="AM1690" s="22"/>
      <c r="AN1690" s="22"/>
      <c r="AO1690" s="22"/>
      <c r="AP1690" s="22"/>
    </row>
    <row r="1691" ht="25.5" customHeight="1">
      <c r="H1691" s="384"/>
      <c r="I1691" s="384"/>
      <c r="J1691" s="378"/>
      <c r="AG1691" s="22"/>
      <c r="AH1691" s="22"/>
      <c r="AI1691" s="22"/>
      <c r="AJ1691" s="22"/>
      <c r="AK1691" s="22"/>
      <c r="AL1691" s="22"/>
      <c r="AM1691" s="22"/>
      <c r="AN1691" s="22"/>
      <c r="AO1691" s="22"/>
      <c r="AP1691" s="22"/>
    </row>
    <row r="1692" ht="25.5" customHeight="1">
      <c r="H1692" s="384"/>
      <c r="I1692" s="384"/>
      <c r="J1692" s="378"/>
      <c r="AG1692" s="22"/>
      <c r="AH1692" s="22"/>
      <c r="AI1692" s="22"/>
      <c r="AJ1692" s="22"/>
      <c r="AK1692" s="22"/>
      <c r="AL1692" s="22"/>
      <c r="AM1692" s="22"/>
      <c r="AN1692" s="22"/>
      <c r="AO1692" s="22"/>
      <c r="AP1692" s="22"/>
    </row>
    <row r="1693" ht="25.5" customHeight="1">
      <c r="H1693" s="384"/>
      <c r="I1693" s="384"/>
      <c r="J1693" s="378"/>
      <c r="AG1693" s="22"/>
      <c r="AH1693" s="22"/>
      <c r="AI1693" s="22"/>
      <c r="AJ1693" s="22"/>
      <c r="AK1693" s="22"/>
      <c r="AL1693" s="22"/>
      <c r="AM1693" s="22"/>
      <c r="AN1693" s="22"/>
      <c r="AO1693" s="22"/>
      <c r="AP1693" s="22"/>
    </row>
    <row r="1694" ht="25.5" customHeight="1">
      <c r="H1694" s="384"/>
      <c r="I1694" s="384"/>
      <c r="J1694" s="378"/>
      <c r="AG1694" s="22"/>
      <c r="AH1694" s="22"/>
      <c r="AI1694" s="22"/>
      <c r="AJ1694" s="22"/>
      <c r="AK1694" s="22"/>
      <c r="AL1694" s="22"/>
      <c r="AM1694" s="22"/>
      <c r="AN1694" s="22"/>
      <c r="AO1694" s="22"/>
      <c r="AP1694" s="22"/>
    </row>
    <row r="1695" ht="25.5" customHeight="1">
      <c r="H1695" s="384"/>
      <c r="I1695" s="384"/>
      <c r="J1695" s="378"/>
      <c r="AG1695" s="22"/>
      <c r="AH1695" s="22"/>
      <c r="AI1695" s="22"/>
      <c r="AJ1695" s="22"/>
      <c r="AK1695" s="22"/>
      <c r="AL1695" s="22"/>
      <c r="AM1695" s="22"/>
      <c r="AN1695" s="22"/>
      <c r="AO1695" s="22"/>
      <c r="AP1695" s="22"/>
    </row>
    <row r="1696" ht="25.5" customHeight="1">
      <c r="H1696" s="384"/>
      <c r="I1696" s="384"/>
      <c r="J1696" s="378"/>
      <c r="AG1696" s="22"/>
      <c r="AH1696" s="22"/>
      <c r="AI1696" s="22"/>
      <c r="AJ1696" s="22"/>
      <c r="AK1696" s="22"/>
      <c r="AL1696" s="22"/>
      <c r="AM1696" s="22"/>
      <c r="AN1696" s="22"/>
      <c r="AO1696" s="22"/>
      <c r="AP1696" s="22"/>
    </row>
    <row r="1697" ht="25.5" customHeight="1">
      <c r="H1697" s="384"/>
      <c r="I1697" s="384"/>
      <c r="J1697" s="378"/>
      <c r="AG1697" s="22"/>
      <c r="AH1697" s="22"/>
      <c r="AI1697" s="22"/>
      <c r="AJ1697" s="22"/>
      <c r="AK1697" s="22"/>
      <c r="AL1697" s="22"/>
      <c r="AM1697" s="22"/>
      <c r="AN1697" s="22"/>
      <c r="AO1697" s="22"/>
      <c r="AP1697" s="22"/>
    </row>
    <row r="1698" ht="25.5" customHeight="1">
      <c r="H1698" s="384"/>
      <c r="I1698" s="384"/>
      <c r="J1698" s="378"/>
      <c r="AG1698" s="22"/>
      <c r="AH1698" s="22"/>
      <c r="AI1698" s="22"/>
      <c r="AJ1698" s="22"/>
      <c r="AK1698" s="22"/>
      <c r="AL1698" s="22"/>
      <c r="AM1698" s="22"/>
      <c r="AN1698" s="22"/>
      <c r="AO1698" s="22"/>
      <c r="AP1698" s="22"/>
    </row>
    <row r="1699" ht="25.5" customHeight="1">
      <c r="H1699" s="384"/>
      <c r="I1699" s="384"/>
      <c r="J1699" s="378"/>
      <c r="AG1699" s="22"/>
      <c r="AH1699" s="22"/>
      <c r="AI1699" s="22"/>
      <c r="AJ1699" s="22"/>
      <c r="AK1699" s="22"/>
      <c r="AL1699" s="22"/>
      <c r="AM1699" s="22"/>
      <c r="AN1699" s="22"/>
      <c r="AO1699" s="22"/>
      <c r="AP1699" s="22"/>
    </row>
    <row r="1700" ht="25.5" customHeight="1">
      <c r="H1700" s="384"/>
      <c r="I1700" s="384"/>
      <c r="J1700" s="378"/>
      <c r="AG1700" s="22"/>
      <c r="AH1700" s="22"/>
      <c r="AI1700" s="22"/>
      <c r="AJ1700" s="22"/>
      <c r="AK1700" s="22"/>
      <c r="AL1700" s="22"/>
      <c r="AM1700" s="22"/>
      <c r="AN1700" s="22"/>
      <c r="AO1700" s="22"/>
      <c r="AP1700" s="22"/>
    </row>
    <row r="1701" ht="25.5" customHeight="1">
      <c r="H1701" s="384"/>
      <c r="I1701" s="384"/>
      <c r="J1701" s="378"/>
      <c r="AG1701" s="22"/>
      <c r="AH1701" s="22"/>
      <c r="AI1701" s="22"/>
      <c r="AJ1701" s="22"/>
      <c r="AK1701" s="22"/>
      <c r="AL1701" s="22"/>
      <c r="AM1701" s="22"/>
      <c r="AN1701" s="22"/>
      <c r="AO1701" s="22"/>
      <c r="AP1701" s="22"/>
    </row>
    <row r="1702" ht="25.5" customHeight="1">
      <c r="H1702" s="384"/>
      <c r="I1702" s="384"/>
      <c r="J1702" s="378"/>
      <c r="AG1702" s="22"/>
      <c r="AH1702" s="22"/>
      <c r="AI1702" s="22"/>
      <c r="AJ1702" s="22"/>
      <c r="AK1702" s="22"/>
      <c r="AL1702" s="22"/>
      <c r="AM1702" s="22"/>
      <c r="AN1702" s="22"/>
      <c r="AO1702" s="22"/>
      <c r="AP1702" s="22"/>
    </row>
    <row r="1703" ht="25.5" customHeight="1">
      <c r="H1703" s="384"/>
      <c r="I1703" s="384"/>
      <c r="J1703" s="378"/>
      <c r="AG1703" s="22"/>
      <c r="AH1703" s="22"/>
      <c r="AI1703" s="22"/>
      <c r="AJ1703" s="22"/>
      <c r="AK1703" s="22"/>
      <c r="AL1703" s="22"/>
      <c r="AM1703" s="22"/>
      <c r="AN1703" s="22"/>
      <c r="AO1703" s="22"/>
      <c r="AP1703" s="22"/>
    </row>
    <row r="1704" ht="25.5" customHeight="1">
      <c r="H1704" s="384"/>
      <c r="I1704" s="384"/>
      <c r="J1704" s="378"/>
      <c r="AG1704" s="22"/>
      <c r="AH1704" s="22"/>
      <c r="AI1704" s="22"/>
      <c r="AJ1704" s="22"/>
      <c r="AK1704" s="22"/>
      <c r="AL1704" s="22"/>
      <c r="AM1704" s="22"/>
      <c r="AN1704" s="22"/>
      <c r="AO1704" s="22"/>
      <c r="AP1704" s="22"/>
    </row>
    <row r="1705" ht="25.5" customHeight="1">
      <c r="H1705" s="384"/>
      <c r="I1705" s="384"/>
      <c r="J1705" s="378"/>
      <c r="AG1705" s="22"/>
      <c r="AH1705" s="22"/>
      <c r="AI1705" s="22"/>
      <c r="AJ1705" s="22"/>
      <c r="AK1705" s="22"/>
      <c r="AL1705" s="22"/>
      <c r="AM1705" s="22"/>
      <c r="AN1705" s="22"/>
      <c r="AO1705" s="22"/>
      <c r="AP1705" s="22"/>
    </row>
    <row r="1706" ht="25.5" customHeight="1">
      <c r="H1706" s="384"/>
      <c r="I1706" s="384"/>
      <c r="J1706" s="378"/>
      <c r="AG1706" s="22"/>
      <c r="AH1706" s="22"/>
      <c r="AI1706" s="22"/>
      <c r="AJ1706" s="22"/>
      <c r="AK1706" s="22"/>
      <c r="AL1706" s="22"/>
      <c r="AM1706" s="22"/>
      <c r="AN1706" s="22"/>
      <c r="AO1706" s="22"/>
      <c r="AP1706" s="22"/>
    </row>
    <row r="1707" ht="25.5" customHeight="1">
      <c r="H1707" s="384"/>
      <c r="I1707" s="384"/>
      <c r="J1707" s="378"/>
      <c r="AG1707" s="22"/>
      <c r="AH1707" s="22"/>
      <c r="AI1707" s="22"/>
      <c r="AJ1707" s="22"/>
      <c r="AK1707" s="22"/>
      <c r="AL1707" s="22"/>
      <c r="AM1707" s="22"/>
      <c r="AN1707" s="22"/>
      <c r="AO1707" s="22"/>
      <c r="AP1707" s="22"/>
    </row>
    <row r="1708" ht="25.5" customHeight="1">
      <c r="H1708" s="384"/>
      <c r="I1708" s="384"/>
      <c r="J1708" s="378"/>
      <c r="AG1708" s="22"/>
      <c r="AH1708" s="22"/>
      <c r="AI1708" s="22"/>
      <c r="AJ1708" s="22"/>
      <c r="AK1708" s="22"/>
      <c r="AL1708" s="22"/>
      <c r="AM1708" s="22"/>
      <c r="AN1708" s="22"/>
      <c r="AO1708" s="22"/>
      <c r="AP1708" s="22"/>
    </row>
    <row r="1709" ht="25.5" customHeight="1">
      <c r="H1709" s="384"/>
      <c r="I1709" s="384"/>
      <c r="J1709" s="378"/>
      <c r="AG1709" s="22"/>
      <c r="AH1709" s="22"/>
      <c r="AI1709" s="22"/>
      <c r="AJ1709" s="22"/>
      <c r="AK1709" s="22"/>
      <c r="AL1709" s="22"/>
      <c r="AM1709" s="22"/>
      <c r="AN1709" s="22"/>
      <c r="AO1709" s="22"/>
      <c r="AP1709" s="22"/>
    </row>
    <row r="1710" ht="25.5" customHeight="1">
      <c r="H1710" s="384"/>
      <c r="I1710" s="384"/>
      <c r="J1710" s="378"/>
      <c r="AG1710" s="22"/>
      <c r="AH1710" s="22"/>
      <c r="AI1710" s="22"/>
      <c r="AJ1710" s="22"/>
      <c r="AK1710" s="22"/>
      <c r="AL1710" s="22"/>
      <c r="AM1710" s="22"/>
      <c r="AN1710" s="22"/>
      <c r="AO1710" s="22"/>
      <c r="AP1710" s="22"/>
    </row>
    <row r="1711" ht="25.5" customHeight="1">
      <c r="H1711" s="384"/>
      <c r="I1711" s="384"/>
      <c r="J1711" s="378"/>
      <c r="AG1711" s="22"/>
      <c r="AH1711" s="22"/>
      <c r="AI1711" s="22"/>
      <c r="AJ1711" s="22"/>
      <c r="AK1711" s="22"/>
      <c r="AL1711" s="22"/>
      <c r="AM1711" s="22"/>
      <c r="AN1711" s="22"/>
      <c r="AO1711" s="22"/>
      <c r="AP1711" s="22"/>
    </row>
    <row r="1712" ht="25.5" customHeight="1">
      <c r="H1712" s="384"/>
      <c r="I1712" s="384"/>
      <c r="J1712" s="378"/>
      <c r="AG1712" s="22"/>
      <c r="AH1712" s="22"/>
      <c r="AI1712" s="22"/>
      <c r="AJ1712" s="22"/>
      <c r="AK1712" s="22"/>
      <c r="AL1712" s="22"/>
      <c r="AM1712" s="22"/>
      <c r="AN1712" s="22"/>
      <c r="AO1712" s="22"/>
      <c r="AP1712" s="22"/>
    </row>
    <row r="1713" ht="25.5" customHeight="1">
      <c r="H1713" s="384"/>
      <c r="I1713" s="384"/>
      <c r="J1713" s="378"/>
      <c r="AG1713" s="22"/>
      <c r="AH1713" s="22"/>
      <c r="AI1713" s="22"/>
      <c r="AJ1713" s="22"/>
      <c r="AK1713" s="22"/>
      <c r="AL1713" s="22"/>
      <c r="AM1713" s="22"/>
      <c r="AN1713" s="22"/>
      <c r="AO1713" s="22"/>
      <c r="AP1713" s="22"/>
    </row>
    <row r="1714" ht="25.5" customHeight="1">
      <c r="H1714" s="384"/>
      <c r="I1714" s="384"/>
      <c r="J1714" s="378"/>
      <c r="AG1714" s="22"/>
      <c r="AH1714" s="22"/>
      <c r="AI1714" s="22"/>
      <c r="AJ1714" s="22"/>
      <c r="AK1714" s="22"/>
      <c r="AL1714" s="22"/>
      <c r="AM1714" s="22"/>
      <c r="AN1714" s="22"/>
      <c r="AO1714" s="22"/>
      <c r="AP1714" s="22"/>
    </row>
    <row r="1715" ht="25.5" customHeight="1">
      <c r="H1715" s="384"/>
      <c r="I1715" s="384"/>
      <c r="J1715" s="378"/>
      <c r="AG1715" s="22"/>
      <c r="AH1715" s="22"/>
      <c r="AI1715" s="22"/>
      <c r="AJ1715" s="22"/>
      <c r="AK1715" s="22"/>
      <c r="AL1715" s="22"/>
      <c r="AM1715" s="22"/>
      <c r="AN1715" s="22"/>
      <c r="AO1715" s="22"/>
      <c r="AP1715" s="22"/>
    </row>
    <row r="1716" ht="25.5" customHeight="1">
      <c r="H1716" s="384"/>
      <c r="I1716" s="384"/>
      <c r="J1716" s="378"/>
      <c r="AG1716" s="22"/>
      <c r="AH1716" s="22"/>
      <c r="AI1716" s="22"/>
      <c r="AJ1716" s="22"/>
      <c r="AK1716" s="22"/>
      <c r="AL1716" s="22"/>
      <c r="AM1716" s="22"/>
      <c r="AN1716" s="22"/>
      <c r="AO1716" s="22"/>
      <c r="AP1716" s="22"/>
    </row>
    <row r="1717" ht="25.5" customHeight="1">
      <c r="H1717" s="384"/>
      <c r="I1717" s="384"/>
      <c r="J1717" s="378"/>
      <c r="AG1717" s="22"/>
      <c r="AH1717" s="22"/>
      <c r="AI1717" s="22"/>
      <c r="AJ1717" s="22"/>
      <c r="AK1717" s="22"/>
      <c r="AL1717" s="22"/>
      <c r="AM1717" s="22"/>
      <c r="AN1717" s="22"/>
      <c r="AO1717" s="22"/>
      <c r="AP1717" s="22"/>
    </row>
    <row r="1718" ht="25.5" customHeight="1">
      <c r="H1718" s="384"/>
      <c r="I1718" s="384"/>
      <c r="J1718" s="378"/>
      <c r="AG1718" s="22"/>
      <c r="AH1718" s="22"/>
      <c r="AI1718" s="22"/>
      <c r="AJ1718" s="22"/>
      <c r="AK1718" s="22"/>
      <c r="AL1718" s="22"/>
      <c r="AM1718" s="22"/>
      <c r="AN1718" s="22"/>
      <c r="AO1718" s="22"/>
      <c r="AP1718" s="22"/>
    </row>
    <row r="1719" ht="25.5" customHeight="1">
      <c r="H1719" s="384"/>
      <c r="I1719" s="384"/>
      <c r="J1719" s="378"/>
      <c r="AG1719" s="22"/>
      <c r="AH1719" s="22"/>
      <c r="AI1719" s="22"/>
      <c r="AJ1719" s="22"/>
      <c r="AK1719" s="22"/>
      <c r="AL1719" s="22"/>
      <c r="AM1719" s="22"/>
      <c r="AN1719" s="22"/>
      <c r="AO1719" s="22"/>
      <c r="AP1719" s="22"/>
    </row>
    <row r="1720" ht="25.5" customHeight="1">
      <c r="H1720" s="384"/>
      <c r="I1720" s="384"/>
      <c r="J1720" s="378"/>
      <c r="AG1720" s="22"/>
      <c r="AH1720" s="22"/>
      <c r="AI1720" s="22"/>
      <c r="AJ1720" s="22"/>
      <c r="AK1720" s="22"/>
      <c r="AL1720" s="22"/>
      <c r="AM1720" s="22"/>
      <c r="AN1720" s="22"/>
      <c r="AO1720" s="22"/>
      <c r="AP1720" s="22"/>
    </row>
    <row r="1721" ht="25.5" customHeight="1">
      <c r="H1721" s="384"/>
      <c r="I1721" s="384"/>
      <c r="J1721" s="378"/>
      <c r="AG1721" s="22"/>
      <c r="AH1721" s="22"/>
      <c r="AI1721" s="22"/>
      <c r="AJ1721" s="22"/>
      <c r="AK1721" s="22"/>
      <c r="AL1721" s="22"/>
      <c r="AM1721" s="22"/>
      <c r="AN1721" s="22"/>
      <c r="AO1721" s="22"/>
      <c r="AP1721" s="22"/>
    </row>
    <row r="1722" ht="25.5" customHeight="1">
      <c r="H1722" s="384"/>
      <c r="I1722" s="384"/>
      <c r="J1722" s="378"/>
      <c r="AG1722" s="22"/>
      <c r="AH1722" s="22"/>
      <c r="AI1722" s="22"/>
      <c r="AJ1722" s="22"/>
      <c r="AK1722" s="22"/>
      <c r="AL1722" s="22"/>
      <c r="AM1722" s="22"/>
      <c r="AN1722" s="22"/>
      <c r="AO1722" s="22"/>
      <c r="AP1722" s="22"/>
    </row>
    <row r="1723" ht="25.5" customHeight="1">
      <c r="H1723" s="384"/>
      <c r="I1723" s="384"/>
      <c r="J1723" s="378"/>
      <c r="AG1723" s="22"/>
      <c r="AH1723" s="22"/>
      <c r="AI1723" s="22"/>
      <c r="AJ1723" s="22"/>
      <c r="AK1723" s="22"/>
      <c r="AL1723" s="22"/>
      <c r="AM1723" s="22"/>
      <c r="AN1723" s="22"/>
      <c r="AO1723" s="22"/>
      <c r="AP1723" s="22"/>
    </row>
    <row r="1724" ht="25.5" customHeight="1">
      <c r="H1724" s="384"/>
      <c r="I1724" s="384"/>
      <c r="J1724" s="378"/>
      <c r="AG1724" s="22"/>
      <c r="AH1724" s="22"/>
      <c r="AI1724" s="22"/>
      <c r="AJ1724" s="22"/>
      <c r="AK1724" s="22"/>
      <c r="AL1724" s="22"/>
      <c r="AM1724" s="22"/>
      <c r="AN1724" s="22"/>
      <c r="AO1724" s="22"/>
      <c r="AP1724" s="22"/>
    </row>
    <row r="1725" ht="25.5" customHeight="1">
      <c r="H1725" s="384"/>
      <c r="I1725" s="384"/>
      <c r="J1725" s="378"/>
      <c r="AG1725" s="22"/>
      <c r="AH1725" s="22"/>
      <c r="AI1725" s="22"/>
      <c r="AJ1725" s="22"/>
      <c r="AK1725" s="22"/>
      <c r="AL1725" s="22"/>
      <c r="AM1725" s="22"/>
      <c r="AN1725" s="22"/>
      <c r="AO1725" s="22"/>
      <c r="AP1725" s="22"/>
    </row>
    <row r="1726" ht="25.5" customHeight="1">
      <c r="H1726" s="384"/>
      <c r="I1726" s="384"/>
      <c r="J1726" s="378"/>
      <c r="AG1726" s="22"/>
      <c r="AH1726" s="22"/>
      <c r="AI1726" s="22"/>
      <c r="AJ1726" s="22"/>
      <c r="AK1726" s="22"/>
      <c r="AL1726" s="22"/>
      <c r="AM1726" s="22"/>
      <c r="AN1726" s="22"/>
      <c r="AO1726" s="22"/>
      <c r="AP1726" s="22"/>
    </row>
    <row r="1727" ht="25.5" customHeight="1">
      <c r="H1727" s="384"/>
      <c r="I1727" s="384"/>
      <c r="J1727" s="378"/>
      <c r="AG1727" s="22"/>
      <c r="AH1727" s="22"/>
      <c r="AI1727" s="22"/>
      <c r="AJ1727" s="22"/>
      <c r="AK1727" s="22"/>
      <c r="AL1727" s="22"/>
      <c r="AM1727" s="22"/>
      <c r="AN1727" s="22"/>
      <c r="AO1727" s="22"/>
      <c r="AP1727" s="22"/>
    </row>
    <row r="1728" ht="25.5" customHeight="1">
      <c r="H1728" s="384"/>
      <c r="I1728" s="384"/>
      <c r="J1728" s="378"/>
      <c r="AG1728" s="22"/>
      <c r="AH1728" s="22"/>
      <c r="AI1728" s="22"/>
      <c r="AJ1728" s="22"/>
      <c r="AK1728" s="22"/>
      <c r="AL1728" s="22"/>
      <c r="AM1728" s="22"/>
      <c r="AN1728" s="22"/>
      <c r="AO1728" s="22"/>
      <c r="AP1728" s="22"/>
    </row>
    <row r="1729" ht="25.5" customHeight="1">
      <c r="H1729" s="384"/>
      <c r="I1729" s="384"/>
      <c r="J1729" s="378"/>
      <c r="AG1729" s="22"/>
      <c r="AH1729" s="22"/>
      <c r="AI1729" s="22"/>
      <c r="AJ1729" s="22"/>
      <c r="AK1729" s="22"/>
      <c r="AL1729" s="22"/>
      <c r="AM1729" s="22"/>
      <c r="AN1729" s="22"/>
      <c r="AO1729" s="22"/>
      <c r="AP1729" s="22"/>
    </row>
    <row r="1730" ht="25.5" customHeight="1">
      <c r="H1730" s="384"/>
      <c r="I1730" s="384"/>
      <c r="J1730" s="378"/>
      <c r="AG1730" s="22"/>
      <c r="AH1730" s="22"/>
      <c r="AI1730" s="22"/>
      <c r="AJ1730" s="22"/>
      <c r="AK1730" s="22"/>
      <c r="AL1730" s="22"/>
      <c r="AM1730" s="22"/>
      <c r="AN1730" s="22"/>
      <c r="AO1730" s="22"/>
      <c r="AP1730" s="22"/>
    </row>
    <row r="1731" ht="25.5" customHeight="1">
      <c r="H1731" s="384"/>
      <c r="I1731" s="384"/>
      <c r="J1731" s="378"/>
      <c r="AG1731" s="22"/>
      <c r="AH1731" s="22"/>
      <c r="AI1731" s="22"/>
      <c r="AJ1731" s="22"/>
      <c r="AK1731" s="22"/>
      <c r="AL1731" s="22"/>
      <c r="AM1731" s="22"/>
      <c r="AN1731" s="22"/>
      <c r="AO1731" s="22"/>
      <c r="AP1731" s="22"/>
    </row>
    <row r="1732" ht="25.5" customHeight="1">
      <c r="H1732" s="384"/>
      <c r="I1732" s="384"/>
      <c r="J1732" s="378"/>
      <c r="AG1732" s="22"/>
      <c r="AH1732" s="22"/>
      <c r="AI1732" s="22"/>
      <c r="AJ1732" s="22"/>
      <c r="AK1732" s="22"/>
      <c r="AL1732" s="22"/>
      <c r="AM1732" s="22"/>
      <c r="AN1732" s="22"/>
      <c r="AO1732" s="22"/>
      <c r="AP1732" s="22"/>
    </row>
    <row r="1733" ht="25.5" customHeight="1">
      <c r="H1733" s="384"/>
      <c r="I1733" s="384"/>
      <c r="J1733" s="378"/>
      <c r="AG1733" s="22"/>
      <c r="AH1733" s="22"/>
      <c r="AI1733" s="22"/>
      <c r="AJ1733" s="22"/>
      <c r="AK1733" s="22"/>
      <c r="AL1733" s="22"/>
      <c r="AM1733" s="22"/>
      <c r="AN1733" s="22"/>
      <c r="AO1733" s="22"/>
      <c r="AP1733" s="22"/>
    </row>
    <row r="1734" ht="25.5" customHeight="1">
      <c r="H1734" s="384"/>
      <c r="I1734" s="384"/>
      <c r="J1734" s="378"/>
      <c r="AG1734" s="22"/>
      <c r="AH1734" s="22"/>
      <c r="AI1734" s="22"/>
      <c r="AJ1734" s="22"/>
      <c r="AK1734" s="22"/>
      <c r="AL1734" s="22"/>
      <c r="AM1734" s="22"/>
      <c r="AN1734" s="22"/>
      <c r="AO1734" s="22"/>
      <c r="AP1734" s="22"/>
    </row>
    <row r="1735" ht="25.5" customHeight="1">
      <c r="H1735" s="384"/>
      <c r="I1735" s="384"/>
      <c r="J1735" s="378"/>
      <c r="AG1735" s="22"/>
      <c r="AH1735" s="22"/>
      <c r="AI1735" s="22"/>
      <c r="AJ1735" s="22"/>
      <c r="AK1735" s="22"/>
      <c r="AL1735" s="22"/>
      <c r="AM1735" s="22"/>
      <c r="AN1735" s="22"/>
      <c r="AO1735" s="22"/>
      <c r="AP1735" s="22"/>
    </row>
    <row r="1736" ht="25.5" customHeight="1">
      <c r="H1736" s="384"/>
      <c r="I1736" s="384"/>
      <c r="J1736" s="378"/>
      <c r="AG1736" s="22"/>
      <c r="AH1736" s="22"/>
      <c r="AI1736" s="22"/>
      <c r="AJ1736" s="22"/>
      <c r="AK1736" s="22"/>
      <c r="AL1736" s="22"/>
      <c r="AM1736" s="22"/>
      <c r="AN1736" s="22"/>
      <c r="AO1736" s="22"/>
      <c r="AP1736" s="22"/>
    </row>
    <row r="1737" ht="25.5" customHeight="1">
      <c r="H1737" s="384"/>
      <c r="I1737" s="384"/>
      <c r="J1737" s="378"/>
      <c r="AG1737" s="22"/>
      <c r="AH1737" s="22"/>
      <c r="AI1737" s="22"/>
      <c r="AJ1737" s="22"/>
      <c r="AK1737" s="22"/>
      <c r="AL1737" s="22"/>
      <c r="AM1737" s="22"/>
      <c r="AN1737" s="22"/>
      <c r="AO1737" s="22"/>
      <c r="AP1737" s="22"/>
    </row>
    <row r="1738" ht="25.5" customHeight="1">
      <c r="H1738" s="384"/>
      <c r="I1738" s="384"/>
      <c r="J1738" s="378"/>
      <c r="AG1738" s="22"/>
      <c r="AH1738" s="22"/>
      <c r="AI1738" s="22"/>
      <c r="AJ1738" s="22"/>
      <c r="AK1738" s="22"/>
      <c r="AL1738" s="22"/>
      <c r="AM1738" s="22"/>
      <c r="AN1738" s="22"/>
      <c r="AO1738" s="22"/>
      <c r="AP1738" s="22"/>
    </row>
    <row r="1739" ht="25.5" customHeight="1">
      <c r="H1739" s="384"/>
      <c r="I1739" s="384"/>
      <c r="J1739" s="378"/>
      <c r="AG1739" s="22"/>
      <c r="AH1739" s="22"/>
      <c r="AI1739" s="22"/>
      <c r="AJ1739" s="22"/>
      <c r="AK1739" s="22"/>
      <c r="AL1739" s="22"/>
      <c r="AM1739" s="22"/>
      <c r="AN1739" s="22"/>
      <c r="AO1739" s="22"/>
      <c r="AP1739" s="22"/>
    </row>
    <row r="1740" ht="25.5" customHeight="1">
      <c r="H1740" s="384"/>
      <c r="I1740" s="384"/>
      <c r="J1740" s="378"/>
      <c r="AG1740" s="22"/>
      <c r="AH1740" s="22"/>
      <c r="AI1740" s="22"/>
      <c r="AJ1740" s="22"/>
      <c r="AK1740" s="22"/>
      <c r="AL1740" s="22"/>
      <c r="AM1740" s="22"/>
      <c r="AN1740" s="22"/>
      <c r="AO1740" s="22"/>
      <c r="AP1740" s="22"/>
    </row>
    <row r="1741" ht="25.5" customHeight="1">
      <c r="H1741" s="384"/>
      <c r="I1741" s="384"/>
      <c r="J1741" s="378"/>
      <c r="AG1741" s="22"/>
      <c r="AH1741" s="22"/>
      <c r="AI1741" s="22"/>
      <c r="AJ1741" s="22"/>
      <c r="AK1741" s="22"/>
      <c r="AL1741" s="22"/>
      <c r="AM1741" s="22"/>
      <c r="AN1741" s="22"/>
      <c r="AO1741" s="22"/>
      <c r="AP1741" s="22"/>
    </row>
    <row r="1742" ht="25.5" customHeight="1">
      <c r="H1742" s="384"/>
      <c r="I1742" s="384"/>
      <c r="J1742" s="378"/>
      <c r="AG1742" s="22"/>
      <c r="AH1742" s="22"/>
      <c r="AI1742" s="22"/>
      <c r="AJ1742" s="22"/>
      <c r="AK1742" s="22"/>
      <c r="AL1742" s="22"/>
      <c r="AM1742" s="22"/>
      <c r="AN1742" s="22"/>
      <c r="AO1742" s="22"/>
      <c r="AP1742" s="22"/>
    </row>
    <row r="1743" ht="25.5" customHeight="1">
      <c r="H1743" s="384"/>
      <c r="I1743" s="384"/>
      <c r="J1743" s="378"/>
      <c r="AG1743" s="22"/>
      <c r="AH1743" s="22"/>
      <c r="AI1743" s="22"/>
      <c r="AJ1743" s="22"/>
      <c r="AK1743" s="22"/>
      <c r="AL1743" s="22"/>
      <c r="AM1743" s="22"/>
      <c r="AN1743" s="22"/>
      <c r="AO1743" s="22"/>
      <c r="AP1743" s="22"/>
    </row>
    <row r="1744" ht="25.5" customHeight="1">
      <c r="H1744" s="384"/>
      <c r="I1744" s="384"/>
      <c r="J1744" s="378"/>
      <c r="AG1744" s="22"/>
      <c r="AH1744" s="22"/>
      <c r="AI1744" s="22"/>
      <c r="AJ1744" s="22"/>
      <c r="AK1744" s="22"/>
      <c r="AL1744" s="22"/>
      <c r="AM1744" s="22"/>
      <c r="AN1744" s="22"/>
      <c r="AO1744" s="22"/>
      <c r="AP1744" s="22"/>
    </row>
    <row r="1745" ht="25.5" customHeight="1">
      <c r="H1745" s="384"/>
      <c r="I1745" s="384"/>
      <c r="J1745" s="378"/>
      <c r="AG1745" s="22"/>
      <c r="AH1745" s="22"/>
      <c r="AI1745" s="22"/>
      <c r="AJ1745" s="22"/>
      <c r="AK1745" s="22"/>
      <c r="AL1745" s="22"/>
      <c r="AM1745" s="22"/>
      <c r="AN1745" s="22"/>
      <c r="AO1745" s="22"/>
      <c r="AP1745" s="22"/>
    </row>
    <row r="1746" ht="25.5" customHeight="1">
      <c r="H1746" s="384"/>
      <c r="I1746" s="384"/>
      <c r="J1746" s="378"/>
      <c r="AG1746" s="22"/>
      <c r="AH1746" s="22"/>
      <c r="AI1746" s="22"/>
      <c r="AJ1746" s="22"/>
      <c r="AK1746" s="22"/>
      <c r="AL1746" s="22"/>
      <c r="AM1746" s="22"/>
      <c r="AN1746" s="22"/>
      <c r="AO1746" s="22"/>
      <c r="AP1746" s="22"/>
    </row>
    <row r="1747" ht="25.5" customHeight="1">
      <c r="H1747" s="384"/>
      <c r="I1747" s="384"/>
      <c r="J1747" s="378"/>
      <c r="AG1747" s="22"/>
      <c r="AH1747" s="22"/>
      <c r="AI1747" s="22"/>
      <c r="AJ1747" s="22"/>
      <c r="AK1747" s="22"/>
      <c r="AL1747" s="22"/>
      <c r="AM1747" s="22"/>
      <c r="AN1747" s="22"/>
      <c r="AO1747" s="22"/>
      <c r="AP1747" s="22"/>
    </row>
    <row r="1748" ht="25.5" customHeight="1">
      <c r="H1748" s="384"/>
      <c r="I1748" s="384"/>
      <c r="J1748" s="378"/>
      <c r="AG1748" s="22"/>
      <c r="AH1748" s="22"/>
      <c r="AI1748" s="22"/>
      <c r="AJ1748" s="22"/>
      <c r="AK1748" s="22"/>
      <c r="AL1748" s="22"/>
      <c r="AM1748" s="22"/>
      <c r="AN1748" s="22"/>
      <c r="AO1748" s="22"/>
      <c r="AP1748" s="22"/>
    </row>
    <row r="1749" ht="25.5" customHeight="1">
      <c r="H1749" s="384"/>
      <c r="I1749" s="384"/>
      <c r="J1749" s="378"/>
      <c r="AG1749" s="22"/>
      <c r="AH1749" s="22"/>
      <c r="AI1749" s="22"/>
      <c r="AJ1749" s="22"/>
      <c r="AK1749" s="22"/>
      <c r="AL1749" s="22"/>
      <c r="AM1749" s="22"/>
      <c r="AN1749" s="22"/>
      <c r="AO1749" s="22"/>
      <c r="AP1749" s="22"/>
    </row>
    <row r="1750" ht="25.5" customHeight="1">
      <c r="H1750" s="384"/>
      <c r="I1750" s="384"/>
      <c r="J1750" s="378"/>
      <c r="AG1750" s="22"/>
      <c r="AH1750" s="22"/>
      <c r="AI1750" s="22"/>
      <c r="AJ1750" s="22"/>
      <c r="AK1750" s="22"/>
      <c r="AL1750" s="22"/>
      <c r="AM1750" s="22"/>
      <c r="AN1750" s="22"/>
      <c r="AO1750" s="22"/>
      <c r="AP1750" s="22"/>
    </row>
    <row r="1751" ht="25.5" customHeight="1">
      <c r="H1751" s="384"/>
      <c r="I1751" s="384"/>
      <c r="J1751" s="378"/>
      <c r="AG1751" s="22"/>
      <c r="AH1751" s="22"/>
      <c r="AI1751" s="22"/>
      <c r="AJ1751" s="22"/>
      <c r="AK1751" s="22"/>
      <c r="AL1751" s="22"/>
      <c r="AM1751" s="22"/>
      <c r="AN1751" s="22"/>
      <c r="AO1751" s="22"/>
      <c r="AP1751" s="22"/>
    </row>
    <row r="1752" ht="25.5" customHeight="1">
      <c r="H1752" s="384"/>
      <c r="I1752" s="384"/>
      <c r="J1752" s="378"/>
      <c r="AG1752" s="22"/>
      <c r="AH1752" s="22"/>
      <c r="AI1752" s="22"/>
      <c r="AJ1752" s="22"/>
      <c r="AK1752" s="22"/>
      <c r="AL1752" s="22"/>
      <c r="AM1752" s="22"/>
      <c r="AN1752" s="22"/>
      <c r="AO1752" s="22"/>
      <c r="AP1752" s="22"/>
    </row>
    <row r="1753" ht="25.5" customHeight="1">
      <c r="H1753" s="384"/>
      <c r="I1753" s="384"/>
      <c r="J1753" s="378"/>
      <c r="AG1753" s="22"/>
      <c r="AH1753" s="22"/>
      <c r="AI1753" s="22"/>
      <c r="AJ1753" s="22"/>
      <c r="AK1753" s="22"/>
      <c r="AL1753" s="22"/>
      <c r="AM1753" s="22"/>
      <c r="AN1753" s="22"/>
      <c r="AO1753" s="22"/>
      <c r="AP1753" s="22"/>
    </row>
    <row r="1754" ht="25.5" customHeight="1">
      <c r="H1754" s="384"/>
      <c r="I1754" s="384"/>
      <c r="J1754" s="378"/>
      <c r="AG1754" s="22"/>
      <c r="AH1754" s="22"/>
      <c r="AI1754" s="22"/>
      <c r="AJ1754" s="22"/>
      <c r="AK1754" s="22"/>
      <c r="AL1754" s="22"/>
      <c r="AM1754" s="22"/>
      <c r="AN1754" s="22"/>
      <c r="AO1754" s="22"/>
      <c r="AP1754" s="22"/>
    </row>
    <row r="1755" ht="25.5" customHeight="1">
      <c r="H1755" s="384"/>
      <c r="I1755" s="384"/>
      <c r="J1755" s="378"/>
      <c r="AG1755" s="22"/>
      <c r="AH1755" s="22"/>
      <c r="AI1755" s="22"/>
      <c r="AJ1755" s="22"/>
      <c r="AK1755" s="22"/>
      <c r="AL1755" s="22"/>
      <c r="AM1755" s="22"/>
      <c r="AN1755" s="22"/>
      <c r="AO1755" s="22"/>
      <c r="AP1755" s="22"/>
    </row>
    <row r="1756" ht="25.5" customHeight="1">
      <c r="H1756" s="384"/>
      <c r="I1756" s="384"/>
      <c r="J1756" s="378"/>
      <c r="AG1756" s="22"/>
      <c r="AH1756" s="22"/>
      <c r="AI1756" s="22"/>
      <c r="AJ1756" s="22"/>
      <c r="AK1756" s="22"/>
      <c r="AL1756" s="22"/>
      <c r="AM1756" s="22"/>
      <c r="AN1756" s="22"/>
      <c r="AO1756" s="22"/>
      <c r="AP1756" s="22"/>
    </row>
    <row r="1757" ht="25.5" customHeight="1">
      <c r="H1757" s="384"/>
      <c r="I1757" s="384"/>
      <c r="J1757" s="378"/>
      <c r="AG1757" s="22"/>
      <c r="AH1757" s="22"/>
      <c r="AI1757" s="22"/>
      <c r="AJ1757" s="22"/>
      <c r="AK1757" s="22"/>
      <c r="AL1757" s="22"/>
      <c r="AM1757" s="22"/>
      <c r="AN1757" s="22"/>
      <c r="AO1757" s="22"/>
      <c r="AP1757" s="22"/>
    </row>
    <row r="1758" ht="25.5" customHeight="1">
      <c r="H1758" s="384"/>
      <c r="I1758" s="384"/>
      <c r="J1758" s="378"/>
      <c r="AG1758" s="22"/>
      <c r="AH1758" s="22"/>
      <c r="AI1758" s="22"/>
      <c r="AJ1758" s="22"/>
      <c r="AK1758" s="22"/>
      <c r="AL1758" s="22"/>
      <c r="AM1758" s="22"/>
      <c r="AN1758" s="22"/>
      <c r="AO1758" s="22"/>
      <c r="AP1758" s="22"/>
    </row>
    <row r="1759" ht="25.5" customHeight="1">
      <c r="H1759" s="384"/>
      <c r="I1759" s="384"/>
      <c r="J1759" s="378"/>
      <c r="AG1759" s="22"/>
      <c r="AH1759" s="22"/>
      <c r="AI1759" s="22"/>
      <c r="AJ1759" s="22"/>
      <c r="AK1759" s="22"/>
      <c r="AL1759" s="22"/>
      <c r="AM1759" s="22"/>
      <c r="AN1759" s="22"/>
      <c r="AO1759" s="22"/>
      <c r="AP1759" s="22"/>
    </row>
    <row r="1760" ht="25.5" customHeight="1">
      <c r="H1760" s="384"/>
      <c r="I1760" s="384"/>
      <c r="J1760" s="378"/>
      <c r="AG1760" s="22"/>
      <c r="AH1760" s="22"/>
      <c r="AI1760" s="22"/>
      <c r="AJ1760" s="22"/>
      <c r="AK1760" s="22"/>
      <c r="AL1760" s="22"/>
      <c r="AM1760" s="22"/>
      <c r="AN1760" s="22"/>
      <c r="AO1760" s="22"/>
      <c r="AP1760" s="22"/>
    </row>
    <row r="1761" ht="25.5" customHeight="1">
      <c r="H1761" s="384"/>
      <c r="I1761" s="384"/>
      <c r="J1761" s="378"/>
      <c r="AG1761" s="22"/>
      <c r="AH1761" s="22"/>
      <c r="AI1761" s="22"/>
      <c r="AJ1761" s="22"/>
      <c r="AK1761" s="22"/>
      <c r="AL1761" s="22"/>
      <c r="AM1761" s="22"/>
      <c r="AN1761" s="22"/>
      <c r="AO1761" s="22"/>
      <c r="AP1761" s="22"/>
    </row>
    <row r="1762" ht="25.5" customHeight="1">
      <c r="H1762" s="384"/>
      <c r="I1762" s="384"/>
      <c r="J1762" s="378"/>
      <c r="AG1762" s="22"/>
      <c r="AH1762" s="22"/>
      <c r="AI1762" s="22"/>
      <c r="AJ1762" s="22"/>
      <c r="AK1762" s="22"/>
      <c r="AL1762" s="22"/>
      <c r="AM1762" s="22"/>
      <c r="AN1762" s="22"/>
      <c r="AO1762" s="22"/>
      <c r="AP1762" s="22"/>
    </row>
    <row r="1763" ht="25.5" customHeight="1">
      <c r="H1763" s="384"/>
      <c r="I1763" s="384"/>
      <c r="J1763" s="378"/>
      <c r="AG1763" s="22"/>
      <c r="AH1763" s="22"/>
      <c r="AI1763" s="22"/>
      <c r="AJ1763" s="22"/>
      <c r="AK1763" s="22"/>
      <c r="AL1763" s="22"/>
      <c r="AM1763" s="22"/>
      <c r="AN1763" s="22"/>
      <c r="AO1763" s="22"/>
      <c r="AP1763" s="22"/>
    </row>
    <row r="1764" ht="25.5" customHeight="1">
      <c r="H1764" s="384"/>
      <c r="I1764" s="384"/>
      <c r="J1764" s="378"/>
      <c r="AG1764" s="22"/>
      <c r="AH1764" s="22"/>
      <c r="AI1764" s="22"/>
      <c r="AJ1764" s="22"/>
      <c r="AK1764" s="22"/>
      <c r="AL1764" s="22"/>
      <c r="AM1764" s="22"/>
      <c r="AN1764" s="22"/>
      <c r="AO1764" s="22"/>
      <c r="AP1764" s="22"/>
    </row>
    <row r="1765" ht="25.5" customHeight="1">
      <c r="H1765" s="384"/>
      <c r="I1765" s="384"/>
      <c r="J1765" s="378"/>
      <c r="AG1765" s="22"/>
      <c r="AH1765" s="22"/>
      <c r="AI1765" s="22"/>
      <c r="AJ1765" s="22"/>
      <c r="AK1765" s="22"/>
      <c r="AL1765" s="22"/>
      <c r="AM1765" s="22"/>
      <c r="AN1765" s="22"/>
      <c r="AO1765" s="22"/>
      <c r="AP1765" s="22"/>
    </row>
    <row r="1766" ht="25.5" customHeight="1">
      <c r="H1766" s="384"/>
      <c r="I1766" s="384"/>
      <c r="J1766" s="378"/>
      <c r="AG1766" s="22"/>
      <c r="AH1766" s="22"/>
      <c r="AI1766" s="22"/>
      <c r="AJ1766" s="22"/>
      <c r="AK1766" s="22"/>
      <c r="AL1766" s="22"/>
      <c r="AM1766" s="22"/>
      <c r="AN1766" s="22"/>
      <c r="AO1766" s="22"/>
      <c r="AP1766" s="22"/>
    </row>
    <row r="1767" ht="25.5" customHeight="1">
      <c r="H1767" s="384"/>
      <c r="I1767" s="384"/>
      <c r="J1767" s="378"/>
      <c r="AG1767" s="22"/>
      <c r="AH1767" s="22"/>
      <c r="AI1767" s="22"/>
      <c r="AJ1767" s="22"/>
      <c r="AK1767" s="22"/>
      <c r="AL1767" s="22"/>
      <c r="AM1767" s="22"/>
      <c r="AN1767" s="22"/>
      <c r="AO1767" s="22"/>
      <c r="AP1767" s="22"/>
    </row>
    <row r="1768" ht="25.5" customHeight="1">
      <c r="H1768" s="384"/>
      <c r="I1768" s="384"/>
      <c r="J1768" s="378"/>
      <c r="AG1768" s="22"/>
      <c r="AH1768" s="22"/>
      <c r="AI1768" s="22"/>
      <c r="AJ1768" s="22"/>
      <c r="AK1768" s="22"/>
      <c r="AL1768" s="22"/>
      <c r="AM1768" s="22"/>
      <c r="AN1768" s="22"/>
      <c r="AO1768" s="22"/>
      <c r="AP1768" s="22"/>
    </row>
    <row r="1769" ht="25.5" customHeight="1">
      <c r="H1769" s="384"/>
      <c r="I1769" s="384"/>
      <c r="J1769" s="378"/>
      <c r="AG1769" s="22"/>
      <c r="AH1769" s="22"/>
      <c r="AI1769" s="22"/>
      <c r="AJ1769" s="22"/>
      <c r="AK1769" s="22"/>
      <c r="AL1769" s="22"/>
      <c r="AM1769" s="22"/>
      <c r="AN1769" s="22"/>
      <c r="AO1769" s="22"/>
      <c r="AP1769" s="22"/>
    </row>
    <row r="1770" ht="25.5" customHeight="1">
      <c r="H1770" s="384"/>
      <c r="I1770" s="384"/>
      <c r="J1770" s="378"/>
      <c r="AG1770" s="22"/>
      <c r="AH1770" s="22"/>
      <c r="AI1770" s="22"/>
      <c r="AJ1770" s="22"/>
      <c r="AK1770" s="22"/>
      <c r="AL1770" s="22"/>
      <c r="AM1770" s="22"/>
      <c r="AN1770" s="22"/>
      <c r="AO1770" s="22"/>
      <c r="AP1770" s="22"/>
    </row>
    <row r="1771" ht="25.5" customHeight="1">
      <c r="H1771" s="384"/>
      <c r="I1771" s="384"/>
      <c r="J1771" s="378"/>
      <c r="AG1771" s="22"/>
      <c r="AH1771" s="22"/>
      <c r="AI1771" s="22"/>
      <c r="AJ1771" s="22"/>
      <c r="AK1771" s="22"/>
      <c r="AL1771" s="22"/>
      <c r="AM1771" s="22"/>
      <c r="AN1771" s="22"/>
      <c r="AO1771" s="22"/>
      <c r="AP1771" s="22"/>
    </row>
    <row r="1772" ht="25.5" customHeight="1">
      <c r="H1772" s="384"/>
      <c r="I1772" s="384"/>
      <c r="J1772" s="378"/>
      <c r="AG1772" s="22"/>
      <c r="AH1772" s="22"/>
      <c r="AI1772" s="22"/>
      <c r="AJ1772" s="22"/>
      <c r="AK1772" s="22"/>
      <c r="AL1772" s="22"/>
      <c r="AM1772" s="22"/>
      <c r="AN1772" s="22"/>
      <c r="AO1772" s="22"/>
      <c r="AP1772" s="22"/>
    </row>
    <row r="1773" ht="25.5" customHeight="1">
      <c r="H1773" s="384"/>
      <c r="I1773" s="384"/>
      <c r="J1773" s="378"/>
      <c r="AG1773" s="22"/>
      <c r="AH1773" s="22"/>
      <c r="AI1773" s="22"/>
      <c r="AJ1773" s="22"/>
      <c r="AK1773" s="22"/>
      <c r="AL1773" s="22"/>
      <c r="AM1773" s="22"/>
      <c r="AN1773" s="22"/>
      <c r="AO1773" s="22"/>
      <c r="AP1773" s="22"/>
    </row>
    <row r="1774" ht="25.5" customHeight="1">
      <c r="H1774" s="384"/>
      <c r="I1774" s="384"/>
      <c r="J1774" s="378"/>
      <c r="AG1774" s="22"/>
      <c r="AH1774" s="22"/>
      <c r="AI1774" s="22"/>
      <c r="AJ1774" s="22"/>
      <c r="AK1774" s="22"/>
      <c r="AL1774" s="22"/>
      <c r="AM1774" s="22"/>
      <c r="AN1774" s="22"/>
      <c r="AO1774" s="22"/>
      <c r="AP1774" s="22"/>
    </row>
    <row r="1775" ht="25.5" customHeight="1">
      <c r="H1775" s="384"/>
      <c r="I1775" s="384"/>
      <c r="J1775" s="378"/>
      <c r="AG1775" s="22"/>
      <c r="AH1775" s="22"/>
      <c r="AI1775" s="22"/>
      <c r="AJ1775" s="22"/>
      <c r="AK1775" s="22"/>
      <c r="AL1775" s="22"/>
      <c r="AM1775" s="22"/>
      <c r="AN1775" s="22"/>
      <c r="AO1775" s="22"/>
      <c r="AP1775" s="22"/>
    </row>
    <row r="1776" ht="25.5" customHeight="1">
      <c r="H1776" s="384"/>
      <c r="I1776" s="384"/>
      <c r="J1776" s="378"/>
      <c r="AG1776" s="22"/>
      <c r="AH1776" s="22"/>
      <c r="AI1776" s="22"/>
      <c r="AJ1776" s="22"/>
      <c r="AK1776" s="22"/>
      <c r="AL1776" s="22"/>
      <c r="AM1776" s="22"/>
      <c r="AN1776" s="22"/>
      <c r="AO1776" s="22"/>
      <c r="AP1776" s="22"/>
    </row>
    <row r="1777" ht="25.5" customHeight="1">
      <c r="H1777" s="384"/>
      <c r="I1777" s="384"/>
      <c r="J1777" s="378"/>
      <c r="AG1777" s="22"/>
      <c r="AH1777" s="22"/>
      <c r="AI1777" s="22"/>
      <c r="AJ1777" s="22"/>
      <c r="AK1777" s="22"/>
      <c r="AL1777" s="22"/>
      <c r="AM1777" s="22"/>
      <c r="AN1777" s="22"/>
      <c r="AO1777" s="22"/>
      <c r="AP1777" s="22"/>
    </row>
    <row r="1778" ht="25.5" customHeight="1">
      <c r="H1778" s="384"/>
      <c r="I1778" s="384"/>
      <c r="J1778" s="378"/>
      <c r="AG1778" s="22"/>
      <c r="AH1778" s="22"/>
      <c r="AI1778" s="22"/>
      <c r="AJ1778" s="22"/>
      <c r="AK1778" s="22"/>
      <c r="AL1778" s="22"/>
      <c r="AM1778" s="22"/>
      <c r="AN1778" s="22"/>
      <c r="AO1778" s="22"/>
      <c r="AP1778" s="22"/>
    </row>
    <row r="1779" ht="25.5" customHeight="1">
      <c r="H1779" s="384"/>
      <c r="I1779" s="384"/>
      <c r="J1779" s="378"/>
      <c r="AG1779" s="22"/>
      <c r="AH1779" s="22"/>
      <c r="AI1779" s="22"/>
      <c r="AJ1779" s="22"/>
      <c r="AK1779" s="22"/>
      <c r="AL1779" s="22"/>
      <c r="AM1779" s="22"/>
      <c r="AN1779" s="22"/>
      <c r="AO1779" s="22"/>
      <c r="AP1779" s="22"/>
    </row>
    <row r="1780" ht="25.5" customHeight="1">
      <c r="H1780" s="384"/>
      <c r="I1780" s="384"/>
      <c r="J1780" s="378"/>
      <c r="AG1780" s="22"/>
      <c r="AH1780" s="22"/>
      <c r="AI1780" s="22"/>
      <c r="AJ1780" s="22"/>
      <c r="AK1780" s="22"/>
      <c r="AL1780" s="22"/>
      <c r="AM1780" s="22"/>
      <c r="AN1780" s="22"/>
      <c r="AO1780" s="22"/>
      <c r="AP1780" s="22"/>
    </row>
    <row r="1781" ht="25.5" customHeight="1">
      <c r="H1781" s="384"/>
      <c r="I1781" s="384"/>
      <c r="J1781" s="378"/>
      <c r="AG1781" s="22"/>
      <c r="AH1781" s="22"/>
      <c r="AI1781" s="22"/>
      <c r="AJ1781" s="22"/>
      <c r="AK1781" s="22"/>
      <c r="AL1781" s="22"/>
      <c r="AM1781" s="22"/>
      <c r="AN1781" s="22"/>
      <c r="AO1781" s="22"/>
      <c r="AP1781" s="22"/>
    </row>
    <row r="1782" ht="25.5" customHeight="1">
      <c r="H1782" s="384"/>
      <c r="I1782" s="384"/>
      <c r="J1782" s="378"/>
      <c r="AG1782" s="22"/>
      <c r="AH1782" s="22"/>
      <c r="AI1782" s="22"/>
      <c r="AJ1782" s="22"/>
      <c r="AK1782" s="22"/>
      <c r="AL1782" s="22"/>
      <c r="AM1782" s="22"/>
      <c r="AN1782" s="22"/>
      <c r="AO1782" s="22"/>
      <c r="AP1782" s="22"/>
    </row>
    <row r="1783" ht="25.5" customHeight="1">
      <c r="H1783" s="384"/>
      <c r="I1783" s="384"/>
      <c r="J1783" s="378"/>
      <c r="AG1783" s="22"/>
      <c r="AH1783" s="22"/>
      <c r="AI1783" s="22"/>
      <c r="AJ1783" s="22"/>
      <c r="AK1783" s="22"/>
      <c r="AL1783" s="22"/>
      <c r="AM1783" s="22"/>
      <c r="AN1783" s="22"/>
      <c r="AO1783" s="22"/>
      <c r="AP1783" s="22"/>
    </row>
    <row r="1784" ht="25.5" customHeight="1">
      <c r="H1784" s="384"/>
      <c r="I1784" s="384"/>
      <c r="J1784" s="378"/>
      <c r="AG1784" s="22"/>
      <c r="AH1784" s="22"/>
      <c r="AI1784" s="22"/>
      <c r="AJ1784" s="22"/>
      <c r="AK1784" s="22"/>
      <c r="AL1784" s="22"/>
      <c r="AM1784" s="22"/>
      <c r="AN1784" s="22"/>
      <c r="AO1784" s="22"/>
      <c r="AP1784" s="22"/>
    </row>
    <row r="1785" ht="25.5" customHeight="1">
      <c r="H1785" s="384"/>
      <c r="I1785" s="384"/>
      <c r="J1785" s="378"/>
      <c r="AG1785" s="22"/>
      <c r="AH1785" s="22"/>
      <c r="AI1785" s="22"/>
      <c r="AJ1785" s="22"/>
      <c r="AK1785" s="22"/>
      <c r="AL1785" s="22"/>
      <c r="AM1785" s="22"/>
      <c r="AN1785" s="22"/>
      <c r="AO1785" s="22"/>
      <c r="AP1785" s="22"/>
    </row>
    <row r="1786" ht="25.5" customHeight="1">
      <c r="H1786" s="384"/>
      <c r="I1786" s="384"/>
      <c r="J1786" s="378"/>
      <c r="AG1786" s="22"/>
      <c r="AH1786" s="22"/>
      <c r="AI1786" s="22"/>
      <c r="AJ1786" s="22"/>
      <c r="AK1786" s="22"/>
      <c r="AL1786" s="22"/>
      <c r="AM1786" s="22"/>
      <c r="AN1786" s="22"/>
      <c r="AO1786" s="22"/>
      <c r="AP1786" s="22"/>
    </row>
    <row r="1787" ht="25.5" customHeight="1">
      <c r="H1787" s="384"/>
      <c r="I1787" s="384"/>
      <c r="J1787" s="378"/>
      <c r="AG1787" s="22"/>
      <c r="AH1787" s="22"/>
      <c r="AI1787" s="22"/>
      <c r="AJ1787" s="22"/>
      <c r="AK1787" s="22"/>
      <c r="AL1787" s="22"/>
      <c r="AM1787" s="22"/>
      <c r="AN1787" s="22"/>
      <c r="AO1787" s="22"/>
      <c r="AP1787" s="22"/>
    </row>
    <row r="1788" ht="25.5" customHeight="1">
      <c r="H1788" s="384"/>
      <c r="I1788" s="384"/>
      <c r="J1788" s="378"/>
      <c r="AG1788" s="22"/>
      <c r="AH1788" s="22"/>
      <c r="AI1788" s="22"/>
      <c r="AJ1788" s="22"/>
      <c r="AK1788" s="22"/>
      <c r="AL1788" s="22"/>
      <c r="AM1788" s="22"/>
      <c r="AN1788" s="22"/>
      <c r="AO1788" s="22"/>
      <c r="AP1788" s="22"/>
    </row>
    <row r="1789" ht="25.5" customHeight="1">
      <c r="H1789" s="384"/>
      <c r="I1789" s="384"/>
      <c r="J1789" s="378"/>
      <c r="AG1789" s="22"/>
      <c r="AH1789" s="22"/>
      <c r="AI1789" s="22"/>
      <c r="AJ1789" s="22"/>
      <c r="AK1789" s="22"/>
      <c r="AL1789" s="22"/>
      <c r="AM1789" s="22"/>
      <c r="AN1789" s="22"/>
      <c r="AO1789" s="22"/>
      <c r="AP1789" s="22"/>
    </row>
    <row r="1790" ht="25.5" customHeight="1">
      <c r="H1790" s="384"/>
      <c r="I1790" s="384"/>
      <c r="J1790" s="378"/>
      <c r="AG1790" s="22"/>
      <c r="AH1790" s="22"/>
      <c r="AI1790" s="22"/>
      <c r="AJ1790" s="22"/>
      <c r="AK1790" s="22"/>
      <c r="AL1790" s="22"/>
      <c r="AM1790" s="22"/>
      <c r="AN1790" s="22"/>
      <c r="AO1790" s="22"/>
      <c r="AP1790" s="22"/>
    </row>
    <row r="1791" ht="25.5" customHeight="1">
      <c r="H1791" s="384"/>
      <c r="I1791" s="384"/>
      <c r="J1791" s="378"/>
      <c r="AG1791" s="22"/>
      <c r="AH1791" s="22"/>
      <c r="AI1791" s="22"/>
      <c r="AJ1791" s="22"/>
      <c r="AK1791" s="22"/>
      <c r="AL1791" s="22"/>
      <c r="AM1791" s="22"/>
      <c r="AN1791" s="22"/>
      <c r="AO1791" s="22"/>
      <c r="AP1791" s="22"/>
    </row>
    <row r="1792" ht="25.5" customHeight="1">
      <c r="H1792" s="384"/>
      <c r="I1792" s="384"/>
      <c r="J1792" s="378"/>
      <c r="AG1792" s="22"/>
      <c r="AH1792" s="22"/>
      <c r="AI1792" s="22"/>
      <c r="AJ1792" s="22"/>
      <c r="AK1792" s="22"/>
      <c r="AL1792" s="22"/>
      <c r="AM1792" s="22"/>
      <c r="AN1792" s="22"/>
      <c r="AO1792" s="22"/>
      <c r="AP1792" s="22"/>
    </row>
    <row r="1793" ht="25.5" customHeight="1">
      <c r="H1793" s="384"/>
      <c r="I1793" s="384"/>
      <c r="J1793" s="378"/>
      <c r="AG1793" s="22"/>
      <c r="AH1793" s="22"/>
      <c r="AI1793" s="22"/>
      <c r="AJ1793" s="22"/>
      <c r="AK1793" s="22"/>
      <c r="AL1793" s="22"/>
      <c r="AM1793" s="22"/>
      <c r="AN1793" s="22"/>
      <c r="AO1793" s="22"/>
      <c r="AP1793" s="22"/>
    </row>
    <row r="1794" ht="25.5" customHeight="1">
      <c r="H1794" s="384"/>
      <c r="I1794" s="384"/>
      <c r="J1794" s="378"/>
      <c r="AG1794" s="22"/>
      <c r="AH1794" s="22"/>
      <c r="AI1794" s="22"/>
      <c r="AJ1794" s="22"/>
      <c r="AK1794" s="22"/>
      <c r="AL1794" s="22"/>
      <c r="AM1794" s="22"/>
      <c r="AN1794" s="22"/>
      <c r="AO1794" s="22"/>
      <c r="AP1794" s="22"/>
    </row>
    <row r="1795" ht="25.5" customHeight="1">
      <c r="H1795" s="384"/>
      <c r="I1795" s="384"/>
      <c r="J1795" s="378"/>
      <c r="AG1795" s="22"/>
      <c r="AH1795" s="22"/>
      <c r="AI1795" s="22"/>
      <c r="AJ1795" s="22"/>
      <c r="AK1795" s="22"/>
      <c r="AL1795" s="22"/>
      <c r="AM1795" s="22"/>
      <c r="AN1795" s="22"/>
      <c r="AO1795" s="22"/>
      <c r="AP1795" s="22"/>
    </row>
    <row r="1796" ht="25.5" customHeight="1">
      <c r="H1796" s="384"/>
      <c r="I1796" s="384"/>
      <c r="J1796" s="378"/>
      <c r="AG1796" s="22"/>
      <c r="AH1796" s="22"/>
      <c r="AI1796" s="22"/>
      <c r="AJ1796" s="22"/>
      <c r="AK1796" s="22"/>
      <c r="AL1796" s="22"/>
      <c r="AM1796" s="22"/>
      <c r="AN1796" s="22"/>
      <c r="AO1796" s="22"/>
      <c r="AP1796" s="22"/>
    </row>
    <row r="1797" ht="25.5" customHeight="1">
      <c r="H1797" s="384"/>
      <c r="I1797" s="384"/>
      <c r="J1797" s="378"/>
      <c r="AG1797" s="22"/>
      <c r="AH1797" s="22"/>
      <c r="AI1797" s="22"/>
      <c r="AJ1797" s="22"/>
      <c r="AK1797" s="22"/>
      <c r="AL1797" s="22"/>
      <c r="AM1797" s="22"/>
      <c r="AN1797" s="22"/>
      <c r="AO1797" s="22"/>
      <c r="AP1797" s="22"/>
    </row>
    <row r="1798" ht="25.5" customHeight="1">
      <c r="H1798" s="384"/>
      <c r="I1798" s="384"/>
      <c r="J1798" s="378"/>
      <c r="AG1798" s="22"/>
      <c r="AH1798" s="22"/>
      <c r="AI1798" s="22"/>
      <c r="AJ1798" s="22"/>
      <c r="AK1798" s="22"/>
      <c r="AL1798" s="22"/>
      <c r="AM1798" s="22"/>
      <c r="AN1798" s="22"/>
      <c r="AO1798" s="22"/>
      <c r="AP1798" s="22"/>
    </row>
    <row r="1799" ht="25.5" customHeight="1">
      <c r="H1799" s="384"/>
      <c r="I1799" s="384"/>
      <c r="J1799" s="378"/>
      <c r="AG1799" s="22"/>
      <c r="AH1799" s="22"/>
      <c r="AI1799" s="22"/>
      <c r="AJ1799" s="22"/>
      <c r="AK1799" s="22"/>
      <c r="AL1799" s="22"/>
      <c r="AM1799" s="22"/>
      <c r="AN1799" s="22"/>
      <c r="AO1799" s="22"/>
      <c r="AP1799" s="22"/>
    </row>
    <row r="1800" ht="25.5" customHeight="1">
      <c r="H1800" s="384"/>
      <c r="I1800" s="384"/>
      <c r="J1800" s="378"/>
      <c r="AG1800" s="22"/>
      <c r="AH1800" s="22"/>
      <c r="AI1800" s="22"/>
      <c r="AJ1800" s="22"/>
      <c r="AK1800" s="22"/>
      <c r="AL1800" s="22"/>
      <c r="AM1800" s="22"/>
      <c r="AN1800" s="22"/>
      <c r="AO1800" s="22"/>
      <c r="AP1800" s="22"/>
    </row>
    <row r="1801" ht="25.5" customHeight="1">
      <c r="H1801" s="384"/>
      <c r="I1801" s="384"/>
      <c r="J1801" s="378"/>
      <c r="AG1801" s="22"/>
      <c r="AH1801" s="22"/>
      <c r="AI1801" s="22"/>
      <c r="AJ1801" s="22"/>
      <c r="AK1801" s="22"/>
      <c r="AL1801" s="22"/>
      <c r="AM1801" s="22"/>
      <c r="AN1801" s="22"/>
      <c r="AO1801" s="22"/>
      <c r="AP1801" s="22"/>
    </row>
    <row r="1802" ht="25.5" customHeight="1">
      <c r="H1802" s="384"/>
      <c r="I1802" s="384"/>
      <c r="J1802" s="378"/>
      <c r="AG1802" s="22"/>
      <c r="AH1802" s="22"/>
      <c r="AI1802" s="22"/>
      <c r="AJ1802" s="22"/>
      <c r="AK1802" s="22"/>
      <c r="AL1802" s="22"/>
      <c r="AM1802" s="22"/>
      <c r="AN1802" s="22"/>
      <c r="AO1802" s="22"/>
      <c r="AP1802" s="22"/>
    </row>
    <row r="1803" ht="25.5" customHeight="1">
      <c r="H1803" s="384"/>
      <c r="I1803" s="384"/>
      <c r="J1803" s="378"/>
      <c r="AG1803" s="22"/>
      <c r="AH1803" s="22"/>
      <c r="AI1803" s="22"/>
      <c r="AJ1803" s="22"/>
      <c r="AK1803" s="22"/>
      <c r="AL1803" s="22"/>
      <c r="AM1803" s="22"/>
      <c r="AN1803" s="22"/>
      <c r="AO1803" s="22"/>
      <c r="AP1803" s="22"/>
    </row>
    <row r="1804" ht="25.5" customHeight="1">
      <c r="H1804" s="384"/>
      <c r="I1804" s="384"/>
      <c r="J1804" s="378"/>
      <c r="AG1804" s="22"/>
      <c r="AH1804" s="22"/>
      <c r="AI1804" s="22"/>
      <c r="AJ1804" s="22"/>
      <c r="AK1804" s="22"/>
      <c r="AL1804" s="22"/>
      <c r="AM1804" s="22"/>
      <c r="AN1804" s="22"/>
      <c r="AO1804" s="22"/>
      <c r="AP1804" s="22"/>
    </row>
    <row r="1805" ht="25.5" customHeight="1">
      <c r="H1805" s="384"/>
      <c r="I1805" s="384"/>
      <c r="J1805" s="378"/>
      <c r="AG1805" s="22"/>
      <c r="AH1805" s="22"/>
      <c r="AI1805" s="22"/>
      <c r="AJ1805" s="22"/>
      <c r="AK1805" s="22"/>
      <c r="AL1805" s="22"/>
      <c r="AM1805" s="22"/>
      <c r="AN1805" s="22"/>
      <c r="AO1805" s="22"/>
      <c r="AP1805" s="22"/>
    </row>
    <row r="1806" ht="25.5" customHeight="1">
      <c r="H1806" s="384"/>
      <c r="I1806" s="384"/>
      <c r="J1806" s="378"/>
      <c r="AG1806" s="22"/>
      <c r="AH1806" s="22"/>
      <c r="AI1806" s="22"/>
      <c r="AJ1806" s="22"/>
      <c r="AK1806" s="22"/>
      <c r="AL1806" s="22"/>
      <c r="AM1806" s="22"/>
      <c r="AN1806" s="22"/>
      <c r="AO1806" s="22"/>
      <c r="AP1806" s="22"/>
    </row>
    <row r="1807" ht="25.5" customHeight="1">
      <c r="H1807" s="384"/>
      <c r="I1807" s="384"/>
      <c r="J1807" s="378"/>
      <c r="AG1807" s="22"/>
      <c r="AH1807" s="22"/>
      <c r="AI1807" s="22"/>
      <c r="AJ1807" s="22"/>
      <c r="AK1807" s="22"/>
      <c r="AL1807" s="22"/>
      <c r="AM1807" s="22"/>
      <c r="AN1807" s="22"/>
      <c r="AO1807" s="22"/>
      <c r="AP1807" s="22"/>
    </row>
    <row r="1808" ht="25.5" customHeight="1">
      <c r="H1808" s="384"/>
      <c r="I1808" s="384"/>
      <c r="J1808" s="378"/>
      <c r="AG1808" s="22"/>
      <c r="AH1808" s="22"/>
      <c r="AI1808" s="22"/>
      <c r="AJ1808" s="22"/>
      <c r="AK1808" s="22"/>
      <c r="AL1808" s="22"/>
      <c r="AM1808" s="22"/>
      <c r="AN1808" s="22"/>
      <c r="AO1808" s="22"/>
      <c r="AP1808" s="22"/>
    </row>
    <row r="1809" ht="25.5" customHeight="1">
      <c r="H1809" s="384"/>
      <c r="I1809" s="384"/>
      <c r="J1809" s="378"/>
      <c r="AG1809" s="22"/>
      <c r="AH1809" s="22"/>
      <c r="AI1809" s="22"/>
      <c r="AJ1809" s="22"/>
      <c r="AK1809" s="22"/>
      <c r="AL1809" s="22"/>
      <c r="AM1809" s="22"/>
      <c r="AN1809" s="22"/>
      <c r="AO1809" s="22"/>
      <c r="AP1809" s="22"/>
    </row>
    <row r="1810" ht="25.5" customHeight="1">
      <c r="H1810" s="384"/>
      <c r="I1810" s="384"/>
      <c r="J1810" s="378"/>
      <c r="AG1810" s="22"/>
      <c r="AH1810" s="22"/>
      <c r="AI1810" s="22"/>
      <c r="AJ1810" s="22"/>
      <c r="AK1810" s="22"/>
      <c r="AL1810" s="22"/>
      <c r="AM1810" s="22"/>
      <c r="AN1810" s="22"/>
      <c r="AO1810" s="22"/>
      <c r="AP1810" s="22"/>
    </row>
    <row r="1811" ht="25.5" customHeight="1">
      <c r="H1811" s="384"/>
      <c r="I1811" s="384"/>
      <c r="J1811" s="378"/>
      <c r="AG1811" s="22"/>
      <c r="AH1811" s="22"/>
      <c r="AI1811" s="22"/>
      <c r="AJ1811" s="22"/>
      <c r="AK1811" s="22"/>
      <c r="AL1811" s="22"/>
      <c r="AM1811" s="22"/>
      <c r="AN1811" s="22"/>
      <c r="AO1811" s="22"/>
      <c r="AP1811" s="22"/>
    </row>
    <row r="1812" ht="25.5" customHeight="1">
      <c r="H1812" s="384"/>
      <c r="I1812" s="384"/>
      <c r="J1812" s="378"/>
      <c r="AG1812" s="22"/>
      <c r="AH1812" s="22"/>
      <c r="AI1812" s="22"/>
      <c r="AJ1812" s="22"/>
      <c r="AK1812" s="22"/>
      <c r="AL1812" s="22"/>
      <c r="AM1812" s="22"/>
      <c r="AN1812" s="22"/>
      <c r="AO1812" s="22"/>
      <c r="AP1812" s="22"/>
    </row>
    <row r="1813" ht="25.5" customHeight="1">
      <c r="H1813" s="384"/>
      <c r="I1813" s="384"/>
      <c r="J1813" s="378"/>
      <c r="AG1813" s="22"/>
      <c r="AH1813" s="22"/>
      <c r="AI1813" s="22"/>
      <c r="AJ1813" s="22"/>
      <c r="AK1813" s="22"/>
      <c r="AL1813" s="22"/>
      <c r="AM1813" s="22"/>
      <c r="AN1813" s="22"/>
      <c r="AO1813" s="22"/>
      <c r="AP1813" s="22"/>
    </row>
    <row r="1814" ht="25.5" customHeight="1">
      <c r="H1814" s="384"/>
      <c r="I1814" s="384"/>
      <c r="J1814" s="378"/>
      <c r="AG1814" s="22"/>
      <c r="AH1814" s="22"/>
      <c r="AI1814" s="22"/>
      <c r="AJ1814" s="22"/>
      <c r="AK1814" s="22"/>
      <c r="AL1814" s="22"/>
      <c r="AM1814" s="22"/>
      <c r="AN1814" s="22"/>
      <c r="AO1814" s="22"/>
      <c r="AP1814" s="22"/>
    </row>
    <row r="1815" ht="25.5" customHeight="1">
      <c r="H1815" s="384"/>
      <c r="I1815" s="384"/>
      <c r="J1815" s="378"/>
      <c r="AG1815" s="22"/>
      <c r="AH1815" s="22"/>
      <c r="AI1815" s="22"/>
      <c r="AJ1815" s="22"/>
      <c r="AK1815" s="22"/>
      <c r="AL1815" s="22"/>
      <c r="AM1815" s="22"/>
      <c r="AN1815" s="22"/>
      <c r="AO1815" s="22"/>
      <c r="AP1815" s="22"/>
    </row>
    <row r="1816" ht="25.5" customHeight="1">
      <c r="H1816" s="384"/>
      <c r="I1816" s="384"/>
      <c r="J1816" s="378"/>
      <c r="AG1816" s="22"/>
      <c r="AH1816" s="22"/>
      <c r="AI1816" s="22"/>
      <c r="AJ1816" s="22"/>
      <c r="AK1816" s="22"/>
      <c r="AL1816" s="22"/>
      <c r="AM1816" s="22"/>
      <c r="AN1816" s="22"/>
      <c r="AO1816" s="22"/>
      <c r="AP1816" s="22"/>
    </row>
    <row r="1817" ht="25.5" customHeight="1">
      <c r="H1817" s="384"/>
      <c r="I1817" s="384"/>
      <c r="J1817" s="378"/>
      <c r="AG1817" s="22"/>
      <c r="AH1817" s="22"/>
      <c r="AI1817" s="22"/>
      <c r="AJ1817" s="22"/>
      <c r="AK1817" s="22"/>
      <c r="AL1817" s="22"/>
      <c r="AM1817" s="22"/>
      <c r="AN1817" s="22"/>
      <c r="AO1817" s="22"/>
      <c r="AP1817" s="22"/>
    </row>
    <row r="1818" ht="25.5" customHeight="1">
      <c r="H1818" s="384"/>
      <c r="I1818" s="384"/>
      <c r="J1818" s="378"/>
      <c r="AG1818" s="22"/>
      <c r="AH1818" s="22"/>
      <c r="AI1818" s="22"/>
      <c r="AJ1818" s="22"/>
      <c r="AK1818" s="22"/>
      <c r="AL1818" s="22"/>
      <c r="AM1818" s="22"/>
      <c r="AN1818" s="22"/>
      <c r="AO1818" s="22"/>
      <c r="AP1818" s="22"/>
    </row>
    <row r="1819" ht="25.5" customHeight="1">
      <c r="H1819" s="384"/>
      <c r="I1819" s="384"/>
      <c r="J1819" s="378"/>
      <c r="AG1819" s="22"/>
      <c r="AH1819" s="22"/>
      <c r="AI1819" s="22"/>
      <c r="AJ1819" s="22"/>
      <c r="AK1819" s="22"/>
      <c r="AL1819" s="22"/>
      <c r="AM1819" s="22"/>
      <c r="AN1819" s="22"/>
      <c r="AO1819" s="22"/>
      <c r="AP1819" s="22"/>
    </row>
    <row r="1820" ht="25.5" customHeight="1">
      <c r="H1820" s="384"/>
      <c r="I1820" s="384"/>
      <c r="J1820" s="378"/>
      <c r="AG1820" s="22"/>
      <c r="AH1820" s="22"/>
      <c r="AI1820" s="22"/>
      <c r="AJ1820" s="22"/>
      <c r="AK1820" s="22"/>
      <c r="AL1820" s="22"/>
      <c r="AM1820" s="22"/>
      <c r="AN1820" s="22"/>
      <c r="AO1820" s="22"/>
      <c r="AP1820" s="22"/>
    </row>
    <row r="1821" ht="25.5" customHeight="1">
      <c r="H1821" s="384"/>
      <c r="I1821" s="384"/>
      <c r="J1821" s="378"/>
      <c r="AG1821" s="22"/>
      <c r="AH1821" s="22"/>
      <c r="AI1821" s="22"/>
      <c r="AJ1821" s="22"/>
      <c r="AK1821" s="22"/>
      <c r="AL1821" s="22"/>
      <c r="AM1821" s="22"/>
      <c r="AN1821" s="22"/>
      <c r="AO1821" s="22"/>
      <c r="AP1821" s="22"/>
    </row>
    <row r="1822" ht="25.5" customHeight="1">
      <c r="H1822" s="384"/>
      <c r="I1822" s="384"/>
      <c r="J1822" s="378"/>
      <c r="AG1822" s="22"/>
      <c r="AH1822" s="22"/>
      <c r="AI1822" s="22"/>
      <c r="AJ1822" s="22"/>
      <c r="AK1822" s="22"/>
      <c r="AL1822" s="22"/>
      <c r="AM1822" s="22"/>
      <c r="AN1822" s="22"/>
      <c r="AO1822" s="22"/>
      <c r="AP1822" s="22"/>
    </row>
    <row r="1823" ht="25.5" customHeight="1">
      <c r="H1823" s="384"/>
      <c r="I1823" s="384"/>
      <c r="J1823" s="378"/>
      <c r="AG1823" s="22"/>
      <c r="AH1823" s="22"/>
      <c r="AI1823" s="22"/>
      <c r="AJ1823" s="22"/>
      <c r="AK1823" s="22"/>
      <c r="AL1823" s="22"/>
      <c r="AM1823" s="22"/>
      <c r="AN1823" s="22"/>
      <c r="AO1823" s="22"/>
      <c r="AP1823" s="22"/>
    </row>
    <row r="1824" ht="25.5" customHeight="1">
      <c r="H1824" s="384"/>
      <c r="I1824" s="384"/>
      <c r="J1824" s="378"/>
      <c r="AG1824" s="22"/>
      <c r="AH1824" s="22"/>
      <c r="AI1824" s="22"/>
      <c r="AJ1824" s="22"/>
      <c r="AK1824" s="22"/>
      <c r="AL1824" s="22"/>
      <c r="AM1824" s="22"/>
      <c r="AN1824" s="22"/>
      <c r="AO1824" s="22"/>
      <c r="AP1824" s="22"/>
    </row>
    <row r="1825" ht="25.5" customHeight="1">
      <c r="H1825" s="384"/>
      <c r="I1825" s="384"/>
      <c r="J1825" s="378"/>
      <c r="AG1825" s="22"/>
      <c r="AH1825" s="22"/>
      <c r="AI1825" s="22"/>
      <c r="AJ1825" s="22"/>
      <c r="AK1825" s="22"/>
      <c r="AL1825" s="22"/>
      <c r="AM1825" s="22"/>
      <c r="AN1825" s="22"/>
      <c r="AO1825" s="22"/>
      <c r="AP1825" s="22"/>
    </row>
    <row r="1826" ht="25.5" customHeight="1">
      <c r="H1826" s="384"/>
      <c r="I1826" s="384"/>
      <c r="J1826" s="378"/>
      <c r="AG1826" s="22"/>
      <c r="AH1826" s="22"/>
      <c r="AI1826" s="22"/>
      <c r="AJ1826" s="22"/>
      <c r="AK1826" s="22"/>
      <c r="AL1826" s="22"/>
      <c r="AM1826" s="22"/>
      <c r="AN1826" s="22"/>
      <c r="AO1826" s="22"/>
      <c r="AP1826" s="22"/>
    </row>
    <row r="1827" ht="25.5" customHeight="1">
      <c r="H1827" s="384"/>
      <c r="I1827" s="384"/>
      <c r="J1827" s="378"/>
      <c r="AG1827" s="22"/>
      <c r="AH1827" s="22"/>
      <c r="AI1827" s="22"/>
      <c r="AJ1827" s="22"/>
      <c r="AK1827" s="22"/>
      <c r="AL1827" s="22"/>
      <c r="AM1827" s="22"/>
      <c r="AN1827" s="22"/>
      <c r="AO1827" s="22"/>
      <c r="AP1827" s="22"/>
    </row>
    <row r="1828" ht="25.5" customHeight="1">
      <c r="H1828" s="384"/>
      <c r="I1828" s="384"/>
      <c r="J1828" s="378"/>
      <c r="AG1828" s="22"/>
      <c r="AH1828" s="22"/>
      <c r="AI1828" s="22"/>
      <c r="AJ1828" s="22"/>
      <c r="AK1828" s="22"/>
      <c r="AL1828" s="22"/>
      <c r="AM1828" s="22"/>
      <c r="AN1828" s="22"/>
      <c r="AO1828" s="22"/>
      <c r="AP1828" s="22"/>
    </row>
    <row r="1829" ht="25.5" customHeight="1">
      <c r="H1829" s="384"/>
      <c r="I1829" s="384"/>
      <c r="J1829" s="378"/>
      <c r="AG1829" s="22"/>
      <c r="AH1829" s="22"/>
      <c r="AI1829" s="22"/>
      <c r="AJ1829" s="22"/>
      <c r="AK1829" s="22"/>
      <c r="AL1829" s="22"/>
      <c r="AM1829" s="22"/>
      <c r="AN1829" s="22"/>
      <c r="AO1829" s="22"/>
      <c r="AP1829" s="22"/>
    </row>
    <row r="1830" ht="25.5" customHeight="1">
      <c r="H1830" s="384"/>
      <c r="I1830" s="384"/>
      <c r="J1830" s="378"/>
      <c r="AG1830" s="22"/>
      <c r="AH1830" s="22"/>
      <c r="AI1830" s="22"/>
      <c r="AJ1830" s="22"/>
      <c r="AK1830" s="22"/>
      <c r="AL1830" s="22"/>
      <c r="AM1830" s="22"/>
      <c r="AN1830" s="22"/>
      <c r="AO1830" s="22"/>
      <c r="AP1830" s="22"/>
    </row>
    <row r="1831" ht="25.5" customHeight="1">
      <c r="H1831" s="384"/>
      <c r="I1831" s="384"/>
      <c r="J1831" s="378"/>
      <c r="AG1831" s="22"/>
      <c r="AH1831" s="22"/>
      <c r="AI1831" s="22"/>
      <c r="AJ1831" s="22"/>
      <c r="AK1831" s="22"/>
      <c r="AL1831" s="22"/>
      <c r="AM1831" s="22"/>
      <c r="AN1831" s="22"/>
      <c r="AO1831" s="22"/>
      <c r="AP1831" s="22"/>
    </row>
    <row r="1832" ht="25.5" customHeight="1">
      <c r="H1832" s="384"/>
      <c r="I1832" s="384"/>
      <c r="J1832" s="378"/>
      <c r="AG1832" s="22"/>
      <c r="AH1832" s="22"/>
      <c r="AI1832" s="22"/>
      <c r="AJ1832" s="22"/>
      <c r="AK1832" s="22"/>
      <c r="AL1832" s="22"/>
      <c r="AM1832" s="22"/>
      <c r="AN1832" s="22"/>
      <c r="AO1832" s="22"/>
      <c r="AP1832" s="22"/>
    </row>
    <row r="1833" ht="25.5" customHeight="1">
      <c r="H1833" s="384"/>
      <c r="I1833" s="384"/>
      <c r="J1833" s="378"/>
      <c r="AG1833" s="22"/>
      <c r="AH1833" s="22"/>
      <c r="AI1833" s="22"/>
      <c r="AJ1833" s="22"/>
      <c r="AK1833" s="22"/>
      <c r="AL1833" s="22"/>
      <c r="AM1833" s="22"/>
      <c r="AN1833" s="22"/>
      <c r="AO1833" s="22"/>
      <c r="AP1833" s="22"/>
    </row>
    <row r="1834" ht="25.5" customHeight="1">
      <c r="H1834" s="384"/>
      <c r="I1834" s="384"/>
      <c r="J1834" s="378"/>
      <c r="AG1834" s="22"/>
      <c r="AH1834" s="22"/>
      <c r="AI1834" s="22"/>
      <c r="AJ1834" s="22"/>
      <c r="AK1834" s="22"/>
      <c r="AL1834" s="22"/>
      <c r="AM1834" s="22"/>
      <c r="AN1834" s="22"/>
      <c r="AO1834" s="22"/>
      <c r="AP1834" s="22"/>
    </row>
    <row r="1835" ht="25.5" customHeight="1">
      <c r="H1835" s="384"/>
      <c r="I1835" s="384"/>
      <c r="J1835" s="378"/>
      <c r="AG1835" s="22"/>
      <c r="AH1835" s="22"/>
      <c r="AI1835" s="22"/>
      <c r="AJ1835" s="22"/>
      <c r="AK1835" s="22"/>
      <c r="AL1835" s="22"/>
      <c r="AM1835" s="22"/>
      <c r="AN1835" s="22"/>
      <c r="AO1835" s="22"/>
      <c r="AP1835" s="22"/>
    </row>
    <row r="1836" ht="25.5" customHeight="1">
      <c r="H1836" s="384"/>
      <c r="I1836" s="384"/>
      <c r="J1836" s="378"/>
      <c r="AG1836" s="22"/>
      <c r="AH1836" s="22"/>
      <c r="AI1836" s="22"/>
      <c r="AJ1836" s="22"/>
      <c r="AK1836" s="22"/>
      <c r="AL1836" s="22"/>
      <c r="AM1836" s="22"/>
      <c r="AN1836" s="22"/>
      <c r="AO1836" s="22"/>
      <c r="AP1836" s="22"/>
    </row>
    <row r="1837" ht="25.5" customHeight="1">
      <c r="H1837" s="384"/>
      <c r="I1837" s="384"/>
      <c r="J1837" s="378"/>
      <c r="AG1837" s="22"/>
      <c r="AH1837" s="22"/>
      <c r="AI1837" s="22"/>
      <c r="AJ1837" s="22"/>
      <c r="AK1837" s="22"/>
      <c r="AL1837" s="22"/>
      <c r="AM1837" s="22"/>
      <c r="AN1837" s="22"/>
      <c r="AO1837" s="22"/>
      <c r="AP1837" s="22"/>
    </row>
    <row r="1838" ht="25.5" customHeight="1">
      <c r="H1838" s="384"/>
      <c r="I1838" s="384"/>
      <c r="J1838" s="378"/>
      <c r="AG1838" s="22"/>
      <c r="AH1838" s="22"/>
      <c r="AI1838" s="22"/>
      <c r="AJ1838" s="22"/>
      <c r="AK1838" s="22"/>
      <c r="AL1838" s="22"/>
      <c r="AM1838" s="22"/>
      <c r="AN1838" s="22"/>
      <c r="AO1838" s="22"/>
      <c r="AP1838" s="22"/>
    </row>
    <row r="1839" ht="25.5" customHeight="1">
      <c r="H1839" s="384"/>
      <c r="I1839" s="384"/>
      <c r="J1839" s="378"/>
      <c r="AG1839" s="22"/>
      <c r="AH1839" s="22"/>
      <c r="AI1839" s="22"/>
      <c r="AJ1839" s="22"/>
      <c r="AK1839" s="22"/>
      <c r="AL1839" s="22"/>
      <c r="AM1839" s="22"/>
      <c r="AN1839" s="22"/>
      <c r="AO1839" s="22"/>
      <c r="AP1839" s="22"/>
    </row>
    <row r="1840" ht="25.5" customHeight="1">
      <c r="H1840" s="384"/>
      <c r="I1840" s="384"/>
      <c r="J1840" s="378"/>
      <c r="AG1840" s="22"/>
      <c r="AH1840" s="22"/>
      <c r="AI1840" s="22"/>
      <c r="AJ1840" s="22"/>
      <c r="AK1840" s="22"/>
      <c r="AL1840" s="22"/>
      <c r="AM1840" s="22"/>
      <c r="AN1840" s="22"/>
      <c r="AO1840" s="22"/>
      <c r="AP1840" s="22"/>
    </row>
    <row r="1841" ht="25.5" customHeight="1">
      <c r="H1841" s="384"/>
      <c r="I1841" s="384"/>
      <c r="J1841" s="378"/>
      <c r="AG1841" s="22"/>
      <c r="AH1841" s="22"/>
      <c r="AI1841" s="22"/>
      <c r="AJ1841" s="22"/>
      <c r="AK1841" s="22"/>
      <c r="AL1841" s="22"/>
      <c r="AM1841" s="22"/>
      <c r="AN1841" s="22"/>
      <c r="AO1841" s="22"/>
      <c r="AP1841" s="22"/>
    </row>
    <row r="1842" ht="25.5" customHeight="1">
      <c r="H1842" s="384"/>
      <c r="I1842" s="384"/>
      <c r="J1842" s="378"/>
      <c r="AG1842" s="22"/>
      <c r="AH1842" s="22"/>
      <c r="AI1842" s="22"/>
      <c r="AJ1842" s="22"/>
      <c r="AK1842" s="22"/>
      <c r="AL1842" s="22"/>
      <c r="AM1842" s="22"/>
      <c r="AN1842" s="22"/>
      <c r="AO1842" s="22"/>
      <c r="AP1842" s="22"/>
    </row>
    <row r="1843" ht="25.5" customHeight="1">
      <c r="H1843" s="384"/>
      <c r="I1843" s="384"/>
      <c r="J1843" s="378"/>
      <c r="AG1843" s="22"/>
      <c r="AH1843" s="22"/>
      <c r="AI1843" s="22"/>
      <c r="AJ1843" s="22"/>
      <c r="AK1843" s="22"/>
      <c r="AL1843" s="22"/>
      <c r="AM1843" s="22"/>
      <c r="AN1843" s="22"/>
      <c r="AO1843" s="22"/>
      <c r="AP1843" s="22"/>
    </row>
    <row r="1844" ht="25.5" customHeight="1">
      <c r="H1844" s="384"/>
      <c r="I1844" s="384"/>
      <c r="J1844" s="378"/>
      <c r="AG1844" s="22"/>
      <c r="AH1844" s="22"/>
      <c r="AI1844" s="22"/>
      <c r="AJ1844" s="22"/>
      <c r="AK1844" s="22"/>
      <c r="AL1844" s="22"/>
      <c r="AM1844" s="22"/>
      <c r="AN1844" s="22"/>
      <c r="AO1844" s="22"/>
      <c r="AP1844" s="22"/>
    </row>
    <row r="1845" ht="25.5" customHeight="1">
      <c r="H1845" s="384"/>
      <c r="I1845" s="384"/>
      <c r="J1845" s="378"/>
      <c r="AG1845" s="22"/>
      <c r="AH1845" s="22"/>
      <c r="AI1845" s="22"/>
      <c r="AJ1845" s="22"/>
      <c r="AK1845" s="22"/>
      <c r="AL1845" s="22"/>
      <c r="AM1845" s="22"/>
      <c r="AN1845" s="22"/>
      <c r="AO1845" s="22"/>
      <c r="AP1845" s="22"/>
    </row>
    <row r="1846" ht="25.5" customHeight="1">
      <c r="H1846" s="384"/>
      <c r="I1846" s="384"/>
      <c r="J1846" s="378"/>
      <c r="AG1846" s="22"/>
      <c r="AH1846" s="22"/>
      <c r="AI1846" s="22"/>
      <c r="AJ1846" s="22"/>
      <c r="AK1846" s="22"/>
      <c r="AL1846" s="22"/>
      <c r="AM1846" s="22"/>
      <c r="AN1846" s="22"/>
      <c r="AO1846" s="22"/>
      <c r="AP1846" s="22"/>
    </row>
    <row r="1847" ht="25.5" customHeight="1">
      <c r="H1847" s="384"/>
      <c r="I1847" s="384"/>
      <c r="J1847" s="378"/>
      <c r="AG1847" s="22"/>
      <c r="AH1847" s="22"/>
      <c r="AI1847" s="22"/>
      <c r="AJ1847" s="22"/>
      <c r="AK1847" s="22"/>
      <c r="AL1847" s="22"/>
      <c r="AM1847" s="22"/>
      <c r="AN1847" s="22"/>
      <c r="AO1847" s="22"/>
      <c r="AP1847" s="22"/>
    </row>
    <row r="1848" ht="25.5" customHeight="1">
      <c r="H1848" s="384"/>
      <c r="I1848" s="384"/>
      <c r="J1848" s="378"/>
      <c r="AG1848" s="22"/>
      <c r="AH1848" s="22"/>
      <c r="AI1848" s="22"/>
      <c r="AJ1848" s="22"/>
      <c r="AK1848" s="22"/>
      <c r="AL1848" s="22"/>
      <c r="AM1848" s="22"/>
      <c r="AN1848" s="22"/>
      <c r="AO1848" s="22"/>
      <c r="AP1848" s="22"/>
    </row>
    <row r="1849" ht="25.5" customHeight="1">
      <c r="H1849" s="384"/>
      <c r="I1849" s="384"/>
      <c r="J1849" s="378"/>
      <c r="AG1849" s="22"/>
      <c r="AH1849" s="22"/>
      <c r="AI1849" s="22"/>
      <c r="AJ1849" s="22"/>
      <c r="AK1849" s="22"/>
      <c r="AL1849" s="22"/>
      <c r="AM1849" s="22"/>
      <c r="AN1849" s="22"/>
      <c r="AO1849" s="22"/>
      <c r="AP1849" s="22"/>
    </row>
    <row r="1850" ht="25.5" customHeight="1">
      <c r="H1850" s="384"/>
      <c r="I1850" s="384"/>
      <c r="J1850" s="378"/>
      <c r="AG1850" s="22"/>
      <c r="AH1850" s="22"/>
      <c r="AI1850" s="22"/>
      <c r="AJ1850" s="22"/>
      <c r="AK1850" s="22"/>
      <c r="AL1850" s="22"/>
      <c r="AM1850" s="22"/>
      <c r="AN1850" s="22"/>
      <c r="AO1850" s="22"/>
      <c r="AP1850" s="22"/>
    </row>
    <row r="1851" ht="25.5" customHeight="1">
      <c r="H1851" s="384"/>
      <c r="I1851" s="384"/>
      <c r="J1851" s="378"/>
      <c r="AG1851" s="22"/>
      <c r="AH1851" s="22"/>
      <c r="AI1851" s="22"/>
      <c r="AJ1851" s="22"/>
      <c r="AK1851" s="22"/>
      <c r="AL1851" s="22"/>
      <c r="AM1851" s="22"/>
      <c r="AN1851" s="22"/>
      <c r="AO1851" s="22"/>
      <c r="AP1851" s="22"/>
    </row>
    <row r="1852" ht="25.5" customHeight="1">
      <c r="H1852" s="384"/>
      <c r="I1852" s="384"/>
      <c r="J1852" s="378"/>
      <c r="AG1852" s="22"/>
      <c r="AH1852" s="22"/>
      <c r="AI1852" s="22"/>
      <c r="AJ1852" s="22"/>
      <c r="AK1852" s="22"/>
      <c r="AL1852" s="22"/>
      <c r="AM1852" s="22"/>
      <c r="AN1852" s="22"/>
      <c r="AO1852" s="22"/>
      <c r="AP1852" s="22"/>
    </row>
    <row r="1853" ht="25.5" customHeight="1">
      <c r="H1853" s="384"/>
      <c r="I1853" s="384"/>
      <c r="J1853" s="378"/>
      <c r="AG1853" s="22"/>
      <c r="AH1853" s="22"/>
      <c r="AI1853" s="22"/>
      <c r="AJ1853" s="22"/>
      <c r="AK1853" s="22"/>
      <c r="AL1853" s="22"/>
      <c r="AM1853" s="22"/>
      <c r="AN1853" s="22"/>
      <c r="AO1853" s="22"/>
      <c r="AP1853" s="22"/>
    </row>
    <row r="1854" ht="25.5" customHeight="1">
      <c r="H1854" s="384"/>
      <c r="I1854" s="384"/>
      <c r="J1854" s="378"/>
      <c r="AG1854" s="22"/>
      <c r="AH1854" s="22"/>
      <c r="AI1854" s="22"/>
      <c r="AJ1854" s="22"/>
      <c r="AK1854" s="22"/>
      <c r="AL1854" s="22"/>
      <c r="AM1854" s="22"/>
      <c r="AN1854" s="22"/>
      <c r="AO1854" s="22"/>
      <c r="AP1854" s="22"/>
    </row>
    <row r="1855" ht="25.5" customHeight="1">
      <c r="H1855" s="384"/>
      <c r="I1855" s="384"/>
      <c r="J1855" s="378"/>
      <c r="AG1855" s="22"/>
      <c r="AH1855" s="22"/>
      <c r="AI1855" s="22"/>
      <c r="AJ1855" s="22"/>
      <c r="AK1855" s="22"/>
      <c r="AL1855" s="22"/>
      <c r="AM1855" s="22"/>
      <c r="AN1855" s="22"/>
      <c r="AO1855" s="22"/>
      <c r="AP1855" s="22"/>
    </row>
    <row r="1856" ht="25.5" customHeight="1">
      <c r="H1856" s="384"/>
      <c r="I1856" s="384"/>
      <c r="J1856" s="378"/>
      <c r="AG1856" s="22"/>
      <c r="AH1856" s="22"/>
      <c r="AI1856" s="22"/>
      <c r="AJ1856" s="22"/>
      <c r="AK1856" s="22"/>
      <c r="AL1856" s="22"/>
      <c r="AM1856" s="22"/>
      <c r="AN1856" s="22"/>
      <c r="AO1856" s="22"/>
      <c r="AP1856" s="22"/>
    </row>
    <row r="1857" ht="25.5" customHeight="1">
      <c r="H1857" s="384"/>
      <c r="I1857" s="384"/>
      <c r="J1857" s="378"/>
      <c r="AG1857" s="22"/>
      <c r="AH1857" s="22"/>
      <c r="AI1857" s="22"/>
      <c r="AJ1857" s="22"/>
      <c r="AK1857" s="22"/>
      <c r="AL1857" s="22"/>
      <c r="AM1857" s="22"/>
      <c r="AN1857" s="22"/>
      <c r="AO1857" s="22"/>
      <c r="AP1857" s="22"/>
    </row>
    <row r="1858" ht="25.5" customHeight="1">
      <c r="H1858" s="384"/>
      <c r="I1858" s="384"/>
      <c r="J1858" s="378"/>
      <c r="AG1858" s="22"/>
      <c r="AH1858" s="22"/>
      <c r="AI1858" s="22"/>
      <c r="AJ1858" s="22"/>
      <c r="AK1858" s="22"/>
      <c r="AL1858" s="22"/>
      <c r="AM1858" s="22"/>
      <c r="AN1858" s="22"/>
      <c r="AO1858" s="22"/>
      <c r="AP1858" s="22"/>
    </row>
    <row r="1859" ht="25.5" customHeight="1">
      <c r="H1859" s="384"/>
      <c r="I1859" s="384"/>
      <c r="J1859" s="378"/>
      <c r="AG1859" s="22"/>
      <c r="AH1859" s="22"/>
      <c r="AI1859" s="22"/>
      <c r="AJ1859" s="22"/>
      <c r="AK1859" s="22"/>
      <c r="AL1859" s="22"/>
      <c r="AM1859" s="22"/>
      <c r="AN1859" s="22"/>
      <c r="AO1859" s="22"/>
      <c r="AP1859" s="22"/>
    </row>
    <row r="1860" ht="25.5" customHeight="1">
      <c r="H1860" s="384"/>
      <c r="I1860" s="384"/>
      <c r="J1860" s="378"/>
      <c r="AG1860" s="22"/>
      <c r="AH1860" s="22"/>
      <c r="AI1860" s="22"/>
      <c r="AJ1860" s="22"/>
      <c r="AK1860" s="22"/>
      <c r="AL1860" s="22"/>
      <c r="AM1860" s="22"/>
      <c r="AN1860" s="22"/>
      <c r="AO1860" s="22"/>
      <c r="AP1860" s="22"/>
    </row>
    <row r="1861" ht="25.5" customHeight="1">
      <c r="H1861" s="384"/>
      <c r="I1861" s="384"/>
      <c r="J1861" s="378"/>
      <c r="AG1861" s="22"/>
      <c r="AH1861" s="22"/>
      <c r="AI1861" s="22"/>
      <c r="AJ1861" s="22"/>
      <c r="AK1861" s="22"/>
      <c r="AL1861" s="22"/>
      <c r="AM1861" s="22"/>
      <c r="AN1861" s="22"/>
      <c r="AO1861" s="22"/>
      <c r="AP1861" s="22"/>
    </row>
    <row r="1862" ht="25.5" customHeight="1">
      <c r="H1862" s="384"/>
      <c r="I1862" s="384"/>
      <c r="J1862" s="378"/>
      <c r="AG1862" s="22"/>
      <c r="AH1862" s="22"/>
      <c r="AI1862" s="22"/>
      <c r="AJ1862" s="22"/>
      <c r="AK1862" s="22"/>
      <c r="AL1862" s="22"/>
      <c r="AM1862" s="22"/>
      <c r="AN1862" s="22"/>
      <c r="AO1862" s="22"/>
      <c r="AP1862" s="22"/>
    </row>
    <row r="1863" ht="25.5" customHeight="1">
      <c r="H1863" s="384"/>
      <c r="I1863" s="384"/>
      <c r="J1863" s="378"/>
      <c r="AG1863" s="22"/>
      <c r="AH1863" s="22"/>
      <c r="AI1863" s="22"/>
      <c r="AJ1863" s="22"/>
      <c r="AK1863" s="22"/>
      <c r="AL1863" s="22"/>
      <c r="AM1863" s="22"/>
      <c r="AN1863" s="22"/>
      <c r="AO1863" s="22"/>
      <c r="AP1863" s="22"/>
    </row>
    <row r="1864" ht="25.5" customHeight="1">
      <c r="H1864" s="384"/>
      <c r="I1864" s="384"/>
      <c r="J1864" s="378"/>
      <c r="AG1864" s="22"/>
      <c r="AH1864" s="22"/>
      <c r="AI1864" s="22"/>
      <c r="AJ1864" s="22"/>
      <c r="AK1864" s="22"/>
      <c r="AL1864" s="22"/>
      <c r="AM1864" s="22"/>
      <c r="AN1864" s="22"/>
      <c r="AO1864" s="22"/>
      <c r="AP1864" s="22"/>
    </row>
    <row r="1865" ht="25.5" customHeight="1">
      <c r="H1865" s="384"/>
      <c r="I1865" s="384"/>
      <c r="J1865" s="378"/>
      <c r="AG1865" s="22"/>
      <c r="AH1865" s="22"/>
      <c r="AI1865" s="22"/>
      <c r="AJ1865" s="22"/>
      <c r="AK1865" s="22"/>
      <c r="AL1865" s="22"/>
      <c r="AM1865" s="22"/>
      <c r="AN1865" s="22"/>
      <c r="AO1865" s="22"/>
      <c r="AP1865" s="22"/>
    </row>
    <row r="1866" ht="25.5" customHeight="1">
      <c r="H1866" s="384"/>
      <c r="I1866" s="384"/>
      <c r="J1866" s="378"/>
      <c r="AG1866" s="22"/>
      <c r="AH1866" s="22"/>
      <c r="AI1866" s="22"/>
      <c r="AJ1866" s="22"/>
      <c r="AK1866" s="22"/>
      <c r="AL1866" s="22"/>
      <c r="AM1866" s="22"/>
      <c r="AN1866" s="22"/>
      <c r="AO1866" s="22"/>
      <c r="AP1866" s="22"/>
    </row>
    <row r="1867" ht="25.5" customHeight="1">
      <c r="H1867" s="384"/>
      <c r="I1867" s="384"/>
      <c r="J1867" s="378"/>
      <c r="AG1867" s="22"/>
      <c r="AH1867" s="22"/>
      <c r="AI1867" s="22"/>
      <c r="AJ1867" s="22"/>
      <c r="AK1867" s="22"/>
      <c r="AL1867" s="22"/>
      <c r="AM1867" s="22"/>
      <c r="AN1867" s="22"/>
      <c r="AO1867" s="22"/>
      <c r="AP1867" s="22"/>
    </row>
    <row r="1868" ht="25.5" customHeight="1">
      <c r="H1868" s="384"/>
      <c r="I1868" s="384"/>
      <c r="J1868" s="378"/>
      <c r="AG1868" s="22"/>
      <c r="AH1868" s="22"/>
      <c r="AI1868" s="22"/>
      <c r="AJ1868" s="22"/>
      <c r="AK1868" s="22"/>
      <c r="AL1868" s="22"/>
      <c r="AM1868" s="22"/>
      <c r="AN1868" s="22"/>
      <c r="AO1868" s="22"/>
      <c r="AP1868" s="22"/>
    </row>
    <row r="1869" ht="25.5" customHeight="1">
      <c r="H1869" s="384"/>
      <c r="I1869" s="384"/>
      <c r="J1869" s="378"/>
      <c r="AG1869" s="22"/>
      <c r="AH1869" s="22"/>
      <c r="AI1869" s="22"/>
      <c r="AJ1869" s="22"/>
      <c r="AK1869" s="22"/>
      <c r="AL1869" s="22"/>
      <c r="AM1869" s="22"/>
      <c r="AN1869" s="22"/>
      <c r="AO1869" s="22"/>
      <c r="AP1869" s="22"/>
    </row>
    <row r="1870" ht="25.5" customHeight="1">
      <c r="H1870" s="384"/>
      <c r="I1870" s="384"/>
      <c r="J1870" s="378"/>
      <c r="AG1870" s="22"/>
      <c r="AH1870" s="22"/>
      <c r="AI1870" s="22"/>
      <c r="AJ1870" s="22"/>
      <c r="AK1870" s="22"/>
      <c r="AL1870" s="22"/>
      <c r="AM1870" s="22"/>
      <c r="AN1870" s="22"/>
      <c r="AO1870" s="22"/>
      <c r="AP1870" s="22"/>
    </row>
    <row r="1871" ht="25.5" customHeight="1">
      <c r="H1871" s="384"/>
      <c r="I1871" s="384"/>
      <c r="J1871" s="378"/>
      <c r="AG1871" s="22"/>
      <c r="AH1871" s="22"/>
      <c r="AI1871" s="22"/>
      <c r="AJ1871" s="22"/>
      <c r="AK1871" s="22"/>
      <c r="AL1871" s="22"/>
      <c r="AM1871" s="22"/>
      <c r="AN1871" s="22"/>
      <c r="AO1871" s="22"/>
      <c r="AP1871" s="22"/>
    </row>
    <row r="1872" ht="25.5" customHeight="1">
      <c r="H1872" s="384"/>
      <c r="I1872" s="384"/>
      <c r="J1872" s="378"/>
      <c r="AG1872" s="22"/>
      <c r="AH1872" s="22"/>
      <c r="AI1872" s="22"/>
      <c r="AJ1872" s="22"/>
      <c r="AK1872" s="22"/>
      <c r="AL1872" s="22"/>
      <c r="AM1872" s="22"/>
      <c r="AN1872" s="22"/>
      <c r="AO1872" s="22"/>
      <c r="AP1872" s="22"/>
    </row>
    <row r="1873" ht="25.5" customHeight="1">
      <c r="H1873" s="384"/>
      <c r="I1873" s="384"/>
      <c r="J1873" s="378"/>
      <c r="AG1873" s="22"/>
      <c r="AH1873" s="22"/>
      <c r="AI1873" s="22"/>
      <c r="AJ1873" s="22"/>
      <c r="AK1873" s="22"/>
      <c r="AL1873" s="22"/>
      <c r="AM1873" s="22"/>
      <c r="AN1873" s="22"/>
      <c r="AO1873" s="22"/>
      <c r="AP1873" s="22"/>
    </row>
    <row r="1874" ht="25.5" customHeight="1">
      <c r="H1874" s="384"/>
      <c r="I1874" s="384"/>
      <c r="J1874" s="378"/>
      <c r="AG1874" s="22"/>
      <c r="AH1874" s="22"/>
      <c r="AI1874" s="22"/>
      <c r="AJ1874" s="22"/>
      <c r="AK1874" s="22"/>
      <c r="AL1874" s="22"/>
      <c r="AM1874" s="22"/>
      <c r="AN1874" s="22"/>
      <c r="AO1874" s="22"/>
      <c r="AP1874" s="22"/>
    </row>
    <row r="1875" ht="25.5" customHeight="1">
      <c r="H1875" s="384"/>
      <c r="I1875" s="384"/>
      <c r="J1875" s="378"/>
      <c r="AG1875" s="22"/>
      <c r="AH1875" s="22"/>
      <c r="AI1875" s="22"/>
      <c r="AJ1875" s="22"/>
      <c r="AK1875" s="22"/>
      <c r="AL1875" s="22"/>
      <c r="AM1875" s="22"/>
      <c r="AN1875" s="22"/>
      <c r="AO1875" s="22"/>
      <c r="AP1875" s="22"/>
    </row>
    <row r="1876" ht="25.5" customHeight="1">
      <c r="H1876" s="384"/>
      <c r="I1876" s="384"/>
      <c r="J1876" s="378"/>
      <c r="AG1876" s="22"/>
      <c r="AH1876" s="22"/>
      <c r="AI1876" s="22"/>
      <c r="AJ1876" s="22"/>
      <c r="AK1876" s="22"/>
      <c r="AL1876" s="22"/>
      <c r="AM1876" s="22"/>
      <c r="AN1876" s="22"/>
      <c r="AO1876" s="22"/>
      <c r="AP1876" s="22"/>
    </row>
    <row r="1877" ht="25.5" customHeight="1">
      <c r="H1877" s="384"/>
      <c r="I1877" s="384"/>
      <c r="J1877" s="378"/>
      <c r="AG1877" s="22"/>
      <c r="AH1877" s="22"/>
      <c r="AI1877" s="22"/>
      <c r="AJ1877" s="22"/>
      <c r="AK1877" s="22"/>
      <c r="AL1877" s="22"/>
      <c r="AM1877" s="22"/>
      <c r="AN1877" s="22"/>
      <c r="AO1877" s="22"/>
      <c r="AP1877" s="22"/>
    </row>
    <row r="1878" ht="25.5" customHeight="1">
      <c r="H1878" s="384"/>
      <c r="I1878" s="384"/>
      <c r="J1878" s="378"/>
      <c r="AG1878" s="22"/>
      <c r="AH1878" s="22"/>
      <c r="AI1878" s="22"/>
      <c r="AJ1878" s="22"/>
      <c r="AK1878" s="22"/>
      <c r="AL1878" s="22"/>
      <c r="AM1878" s="22"/>
      <c r="AN1878" s="22"/>
      <c r="AO1878" s="22"/>
      <c r="AP1878" s="22"/>
    </row>
    <row r="1879" ht="25.5" customHeight="1">
      <c r="H1879" s="384"/>
      <c r="I1879" s="384"/>
      <c r="J1879" s="378"/>
      <c r="AG1879" s="22"/>
      <c r="AH1879" s="22"/>
      <c r="AI1879" s="22"/>
      <c r="AJ1879" s="22"/>
      <c r="AK1879" s="22"/>
      <c r="AL1879" s="22"/>
      <c r="AM1879" s="22"/>
      <c r="AN1879" s="22"/>
      <c r="AO1879" s="22"/>
      <c r="AP1879" s="22"/>
    </row>
    <row r="1880" ht="25.5" customHeight="1">
      <c r="H1880" s="384"/>
      <c r="I1880" s="384"/>
      <c r="J1880" s="378"/>
      <c r="AG1880" s="22"/>
      <c r="AH1880" s="22"/>
      <c r="AI1880" s="22"/>
      <c r="AJ1880" s="22"/>
      <c r="AK1880" s="22"/>
      <c r="AL1880" s="22"/>
      <c r="AM1880" s="22"/>
      <c r="AN1880" s="22"/>
      <c r="AO1880" s="22"/>
      <c r="AP1880" s="22"/>
    </row>
    <row r="1881" ht="25.5" customHeight="1">
      <c r="H1881" s="384"/>
      <c r="I1881" s="384"/>
      <c r="J1881" s="378"/>
      <c r="AG1881" s="22"/>
      <c r="AH1881" s="22"/>
      <c r="AI1881" s="22"/>
      <c r="AJ1881" s="22"/>
      <c r="AK1881" s="22"/>
      <c r="AL1881" s="22"/>
      <c r="AM1881" s="22"/>
      <c r="AN1881" s="22"/>
      <c r="AO1881" s="22"/>
      <c r="AP1881" s="22"/>
    </row>
    <row r="1882" ht="25.5" customHeight="1">
      <c r="H1882" s="384"/>
      <c r="I1882" s="384"/>
      <c r="J1882" s="378"/>
      <c r="AG1882" s="22"/>
      <c r="AH1882" s="22"/>
      <c r="AI1882" s="22"/>
      <c r="AJ1882" s="22"/>
      <c r="AK1882" s="22"/>
      <c r="AL1882" s="22"/>
      <c r="AM1882" s="22"/>
      <c r="AN1882" s="22"/>
      <c r="AO1882" s="22"/>
      <c r="AP1882" s="22"/>
    </row>
    <row r="1883" ht="25.5" customHeight="1">
      <c r="H1883" s="384"/>
      <c r="I1883" s="384"/>
      <c r="J1883" s="378"/>
      <c r="AG1883" s="22"/>
      <c r="AH1883" s="22"/>
      <c r="AI1883" s="22"/>
      <c r="AJ1883" s="22"/>
      <c r="AK1883" s="22"/>
      <c r="AL1883" s="22"/>
      <c r="AM1883" s="22"/>
      <c r="AN1883" s="22"/>
      <c r="AO1883" s="22"/>
      <c r="AP1883" s="22"/>
    </row>
    <row r="1884" ht="25.5" customHeight="1">
      <c r="H1884" s="384"/>
      <c r="I1884" s="384"/>
      <c r="J1884" s="378"/>
      <c r="AG1884" s="22"/>
      <c r="AH1884" s="22"/>
      <c r="AI1884" s="22"/>
      <c r="AJ1884" s="22"/>
      <c r="AK1884" s="22"/>
      <c r="AL1884" s="22"/>
      <c r="AM1884" s="22"/>
      <c r="AN1884" s="22"/>
      <c r="AO1884" s="22"/>
      <c r="AP1884" s="22"/>
    </row>
    <row r="1885" ht="25.5" customHeight="1">
      <c r="H1885" s="384"/>
      <c r="I1885" s="384"/>
      <c r="J1885" s="378"/>
      <c r="AG1885" s="22"/>
      <c r="AH1885" s="22"/>
      <c r="AI1885" s="22"/>
      <c r="AJ1885" s="22"/>
      <c r="AK1885" s="22"/>
      <c r="AL1885" s="22"/>
      <c r="AM1885" s="22"/>
      <c r="AN1885" s="22"/>
      <c r="AO1885" s="22"/>
      <c r="AP1885" s="22"/>
    </row>
    <row r="1886" ht="25.5" customHeight="1">
      <c r="H1886" s="384"/>
      <c r="I1886" s="384"/>
      <c r="J1886" s="378"/>
      <c r="AG1886" s="22"/>
      <c r="AH1886" s="22"/>
      <c r="AI1886" s="22"/>
      <c r="AJ1886" s="22"/>
      <c r="AK1886" s="22"/>
      <c r="AL1886" s="22"/>
      <c r="AM1886" s="22"/>
      <c r="AN1886" s="22"/>
      <c r="AO1886" s="22"/>
      <c r="AP1886" s="22"/>
    </row>
    <row r="1887" ht="25.5" customHeight="1">
      <c r="H1887" s="384"/>
      <c r="I1887" s="384"/>
      <c r="J1887" s="378"/>
      <c r="AG1887" s="22"/>
      <c r="AH1887" s="22"/>
      <c r="AI1887" s="22"/>
      <c r="AJ1887" s="22"/>
      <c r="AK1887" s="22"/>
      <c r="AL1887" s="22"/>
      <c r="AM1887" s="22"/>
      <c r="AN1887" s="22"/>
      <c r="AO1887" s="22"/>
      <c r="AP1887" s="22"/>
    </row>
    <row r="1888" ht="25.5" customHeight="1">
      <c r="H1888" s="384"/>
      <c r="I1888" s="384"/>
      <c r="J1888" s="378"/>
      <c r="AG1888" s="22"/>
      <c r="AH1888" s="22"/>
      <c r="AI1888" s="22"/>
      <c r="AJ1888" s="22"/>
      <c r="AK1888" s="22"/>
      <c r="AL1888" s="22"/>
      <c r="AM1888" s="22"/>
      <c r="AN1888" s="22"/>
      <c r="AO1888" s="22"/>
      <c r="AP1888" s="22"/>
    </row>
    <row r="1889" ht="25.5" customHeight="1">
      <c r="H1889" s="384"/>
      <c r="I1889" s="384"/>
      <c r="J1889" s="378"/>
      <c r="AG1889" s="22"/>
      <c r="AH1889" s="22"/>
      <c r="AI1889" s="22"/>
      <c r="AJ1889" s="22"/>
      <c r="AK1889" s="22"/>
      <c r="AL1889" s="22"/>
      <c r="AM1889" s="22"/>
      <c r="AN1889" s="22"/>
      <c r="AO1889" s="22"/>
      <c r="AP1889" s="22"/>
    </row>
    <row r="1890" ht="25.5" customHeight="1">
      <c r="H1890" s="384"/>
      <c r="I1890" s="384"/>
      <c r="J1890" s="378"/>
      <c r="AG1890" s="22"/>
      <c r="AH1890" s="22"/>
      <c r="AI1890" s="22"/>
      <c r="AJ1890" s="22"/>
      <c r="AK1890" s="22"/>
      <c r="AL1890" s="22"/>
      <c r="AM1890" s="22"/>
      <c r="AN1890" s="22"/>
      <c r="AO1890" s="22"/>
      <c r="AP1890" s="22"/>
    </row>
    <row r="1891" ht="25.5" customHeight="1">
      <c r="H1891" s="384"/>
      <c r="I1891" s="384"/>
      <c r="J1891" s="378"/>
      <c r="AG1891" s="22"/>
      <c r="AH1891" s="22"/>
      <c r="AI1891" s="22"/>
      <c r="AJ1891" s="22"/>
      <c r="AK1891" s="22"/>
      <c r="AL1891" s="22"/>
      <c r="AM1891" s="22"/>
      <c r="AN1891" s="22"/>
      <c r="AO1891" s="22"/>
      <c r="AP1891" s="22"/>
    </row>
    <row r="1892" ht="25.5" customHeight="1">
      <c r="H1892" s="384"/>
      <c r="I1892" s="384"/>
      <c r="J1892" s="378"/>
      <c r="AG1892" s="22"/>
      <c r="AH1892" s="22"/>
      <c r="AI1892" s="22"/>
      <c r="AJ1892" s="22"/>
      <c r="AK1892" s="22"/>
      <c r="AL1892" s="22"/>
      <c r="AM1892" s="22"/>
      <c r="AN1892" s="22"/>
      <c r="AO1892" s="22"/>
      <c r="AP1892" s="22"/>
    </row>
    <row r="1893" ht="25.5" customHeight="1">
      <c r="H1893" s="384"/>
      <c r="I1893" s="384"/>
      <c r="J1893" s="378"/>
      <c r="AG1893" s="22"/>
      <c r="AH1893" s="22"/>
      <c r="AI1893" s="22"/>
      <c r="AJ1893" s="22"/>
      <c r="AK1893" s="22"/>
      <c r="AL1893" s="22"/>
      <c r="AM1893" s="22"/>
      <c r="AN1893" s="22"/>
      <c r="AO1893" s="22"/>
      <c r="AP1893" s="22"/>
    </row>
    <row r="1894" ht="25.5" customHeight="1">
      <c r="H1894" s="384"/>
      <c r="I1894" s="384"/>
      <c r="J1894" s="378"/>
      <c r="AG1894" s="22"/>
      <c r="AH1894" s="22"/>
      <c r="AI1894" s="22"/>
      <c r="AJ1894" s="22"/>
      <c r="AK1894" s="22"/>
      <c r="AL1894" s="22"/>
      <c r="AM1894" s="22"/>
      <c r="AN1894" s="22"/>
      <c r="AO1894" s="22"/>
      <c r="AP1894" s="22"/>
    </row>
    <row r="1895" ht="25.5" customHeight="1">
      <c r="H1895" s="384"/>
      <c r="I1895" s="384"/>
      <c r="J1895" s="378"/>
      <c r="AG1895" s="22"/>
      <c r="AH1895" s="22"/>
      <c r="AI1895" s="22"/>
      <c r="AJ1895" s="22"/>
      <c r="AK1895" s="22"/>
      <c r="AL1895" s="22"/>
      <c r="AM1895" s="22"/>
      <c r="AN1895" s="22"/>
      <c r="AO1895" s="22"/>
      <c r="AP1895" s="22"/>
    </row>
    <row r="1896" ht="25.5" customHeight="1">
      <c r="H1896" s="384"/>
      <c r="I1896" s="384"/>
      <c r="J1896" s="378"/>
      <c r="AG1896" s="22"/>
      <c r="AH1896" s="22"/>
      <c r="AI1896" s="22"/>
      <c r="AJ1896" s="22"/>
      <c r="AK1896" s="22"/>
      <c r="AL1896" s="22"/>
      <c r="AM1896" s="22"/>
      <c r="AN1896" s="22"/>
      <c r="AO1896" s="22"/>
      <c r="AP1896" s="22"/>
    </row>
    <row r="1897" ht="25.5" customHeight="1">
      <c r="H1897" s="384"/>
      <c r="I1897" s="384"/>
      <c r="J1897" s="378"/>
      <c r="AG1897" s="22"/>
      <c r="AH1897" s="22"/>
      <c r="AI1897" s="22"/>
      <c r="AJ1897" s="22"/>
      <c r="AK1897" s="22"/>
      <c r="AL1897" s="22"/>
      <c r="AM1897" s="22"/>
      <c r="AN1897" s="22"/>
      <c r="AO1897" s="22"/>
      <c r="AP1897" s="22"/>
    </row>
    <row r="1898" ht="25.5" customHeight="1">
      <c r="H1898" s="384"/>
      <c r="I1898" s="384"/>
      <c r="J1898" s="378"/>
      <c r="AG1898" s="22"/>
      <c r="AH1898" s="22"/>
      <c r="AI1898" s="22"/>
      <c r="AJ1898" s="22"/>
      <c r="AK1898" s="22"/>
      <c r="AL1898" s="22"/>
      <c r="AM1898" s="22"/>
      <c r="AN1898" s="22"/>
      <c r="AO1898" s="22"/>
      <c r="AP1898" s="22"/>
    </row>
    <row r="1899" ht="25.5" customHeight="1">
      <c r="H1899" s="384"/>
      <c r="I1899" s="384"/>
      <c r="J1899" s="378"/>
      <c r="AG1899" s="22"/>
      <c r="AH1899" s="22"/>
      <c r="AI1899" s="22"/>
      <c r="AJ1899" s="22"/>
      <c r="AK1899" s="22"/>
      <c r="AL1899" s="22"/>
      <c r="AM1899" s="22"/>
      <c r="AN1899" s="22"/>
      <c r="AO1899" s="22"/>
      <c r="AP1899" s="22"/>
    </row>
    <row r="1900" ht="25.5" customHeight="1">
      <c r="H1900" s="384"/>
      <c r="I1900" s="384"/>
      <c r="J1900" s="378"/>
      <c r="AG1900" s="22"/>
      <c r="AH1900" s="22"/>
      <c r="AI1900" s="22"/>
      <c r="AJ1900" s="22"/>
      <c r="AK1900" s="22"/>
      <c r="AL1900" s="22"/>
      <c r="AM1900" s="22"/>
      <c r="AN1900" s="22"/>
      <c r="AO1900" s="22"/>
      <c r="AP1900" s="22"/>
    </row>
    <row r="1901" ht="25.5" customHeight="1">
      <c r="H1901" s="384"/>
      <c r="I1901" s="384"/>
      <c r="J1901" s="378"/>
      <c r="AG1901" s="22"/>
      <c r="AH1901" s="22"/>
      <c r="AI1901" s="22"/>
      <c r="AJ1901" s="22"/>
      <c r="AK1901" s="22"/>
      <c r="AL1901" s="22"/>
      <c r="AM1901" s="22"/>
      <c r="AN1901" s="22"/>
      <c r="AO1901" s="22"/>
      <c r="AP1901" s="22"/>
    </row>
    <row r="1902" ht="25.5" customHeight="1">
      <c r="H1902" s="384"/>
      <c r="I1902" s="384"/>
      <c r="J1902" s="378"/>
      <c r="AG1902" s="22"/>
      <c r="AH1902" s="22"/>
      <c r="AI1902" s="22"/>
      <c r="AJ1902" s="22"/>
      <c r="AK1902" s="22"/>
      <c r="AL1902" s="22"/>
      <c r="AM1902" s="22"/>
      <c r="AN1902" s="22"/>
      <c r="AO1902" s="22"/>
      <c r="AP1902" s="22"/>
    </row>
    <row r="1903" ht="25.5" customHeight="1">
      <c r="H1903" s="384"/>
      <c r="I1903" s="384"/>
      <c r="J1903" s="378"/>
      <c r="AG1903" s="22"/>
      <c r="AH1903" s="22"/>
      <c r="AI1903" s="22"/>
      <c r="AJ1903" s="22"/>
      <c r="AK1903" s="22"/>
      <c r="AL1903" s="22"/>
      <c r="AM1903" s="22"/>
      <c r="AN1903" s="22"/>
      <c r="AO1903" s="22"/>
      <c r="AP1903" s="22"/>
    </row>
    <row r="1904" ht="25.5" customHeight="1">
      <c r="H1904" s="384"/>
      <c r="I1904" s="384"/>
      <c r="J1904" s="378"/>
      <c r="AG1904" s="22"/>
      <c r="AH1904" s="22"/>
      <c r="AI1904" s="22"/>
      <c r="AJ1904" s="22"/>
      <c r="AK1904" s="22"/>
      <c r="AL1904" s="22"/>
      <c r="AM1904" s="22"/>
      <c r="AN1904" s="22"/>
      <c r="AO1904" s="22"/>
      <c r="AP1904" s="22"/>
    </row>
    <row r="1905" ht="25.5" customHeight="1">
      <c r="H1905" s="384"/>
      <c r="I1905" s="384"/>
      <c r="J1905" s="378"/>
      <c r="AG1905" s="22"/>
      <c r="AH1905" s="22"/>
      <c r="AI1905" s="22"/>
      <c r="AJ1905" s="22"/>
      <c r="AK1905" s="22"/>
      <c r="AL1905" s="22"/>
      <c r="AM1905" s="22"/>
      <c r="AN1905" s="22"/>
      <c r="AO1905" s="22"/>
      <c r="AP1905" s="22"/>
    </row>
    <row r="1906" ht="25.5" customHeight="1">
      <c r="H1906" s="384"/>
      <c r="I1906" s="384"/>
      <c r="J1906" s="378"/>
      <c r="AG1906" s="22"/>
      <c r="AH1906" s="22"/>
      <c r="AI1906" s="22"/>
      <c r="AJ1906" s="22"/>
      <c r="AK1906" s="22"/>
      <c r="AL1906" s="22"/>
      <c r="AM1906" s="22"/>
      <c r="AN1906" s="22"/>
      <c r="AO1906" s="22"/>
      <c r="AP1906" s="22"/>
    </row>
    <row r="1907" ht="25.5" customHeight="1">
      <c r="H1907" s="384"/>
      <c r="I1907" s="384"/>
      <c r="J1907" s="378"/>
      <c r="AG1907" s="22"/>
      <c r="AH1907" s="22"/>
      <c r="AI1907" s="22"/>
      <c r="AJ1907" s="22"/>
      <c r="AK1907" s="22"/>
      <c r="AL1907" s="22"/>
      <c r="AM1907" s="22"/>
      <c r="AN1907" s="22"/>
      <c r="AO1907" s="22"/>
      <c r="AP1907" s="22"/>
    </row>
    <row r="1908" ht="25.5" customHeight="1">
      <c r="H1908" s="384"/>
      <c r="I1908" s="384"/>
      <c r="J1908" s="378"/>
      <c r="AG1908" s="22"/>
      <c r="AH1908" s="22"/>
      <c r="AI1908" s="22"/>
      <c r="AJ1908" s="22"/>
      <c r="AK1908" s="22"/>
      <c r="AL1908" s="22"/>
      <c r="AM1908" s="22"/>
      <c r="AN1908" s="22"/>
      <c r="AO1908" s="22"/>
      <c r="AP1908" s="22"/>
    </row>
    <row r="1909" ht="25.5" customHeight="1">
      <c r="H1909" s="384"/>
      <c r="I1909" s="384"/>
      <c r="J1909" s="378"/>
      <c r="AG1909" s="22"/>
      <c r="AH1909" s="22"/>
      <c r="AI1909" s="22"/>
      <c r="AJ1909" s="22"/>
      <c r="AK1909" s="22"/>
      <c r="AL1909" s="22"/>
      <c r="AM1909" s="22"/>
      <c r="AN1909" s="22"/>
      <c r="AO1909" s="22"/>
      <c r="AP1909" s="22"/>
    </row>
    <row r="1910" ht="25.5" customHeight="1">
      <c r="H1910" s="384"/>
      <c r="I1910" s="384"/>
      <c r="J1910" s="378"/>
      <c r="AG1910" s="22"/>
      <c r="AH1910" s="22"/>
      <c r="AI1910" s="22"/>
      <c r="AJ1910" s="22"/>
      <c r="AK1910" s="22"/>
      <c r="AL1910" s="22"/>
      <c r="AM1910" s="22"/>
      <c r="AN1910" s="22"/>
      <c r="AO1910" s="22"/>
      <c r="AP1910" s="22"/>
    </row>
    <row r="1911" ht="25.5" customHeight="1">
      <c r="H1911" s="384"/>
      <c r="I1911" s="384"/>
      <c r="J1911" s="378"/>
      <c r="AG1911" s="22"/>
      <c r="AH1911" s="22"/>
      <c r="AI1911" s="22"/>
      <c r="AJ1911" s="22"/>
      <c r="AK1911" s="22"/>
      <c r="AL1911" s="22"/>
      <c r="AM1911" s="22"/>
      <c r="AN1911" s="22"/>
      <c r="AO1911" s="22"/>
      <c r="AP1911" s="22"/>
    </row>
    <row r="1912" ht="25.5" customHeight="1">
      <c r="H1912" s="384"/>
      <c r="I1912" s="384"/>
      <c r="J1912" s="378"/>
      <c r="AG1912" s="22"/>
      <c r="AH1912" s="22"/>
      <c r="AI1912" s="22"/>
      <c r="AJ1912" s="22"/>
      <c r="AK1912" s="22"/>
      <c r="AL1912" s="22"/>
      <c r="AM1912" s="22"/>
      <c r="AN1912" s="22"/>
      <c r="AO1912" s="22"/>
      <c r="AP1912" s="22"/>
    </row>
    <row r="1913" ht="25.5" customHeight="1">
      <c r="H1913" s="384"/>
      <c r="I1913" s="384"/>
      <c r="J1913" s="378"/>
      <c r="AG1913" s="22"/>
      <c r="AH1913" s="22"/>
      <c r="AI1913" s="22"/>
      <c r="AJ1913" s="22"/>
      <c r="AK1913" s="22"/>
      <c r="AL1913" s="22"/>
      <c r="AM1913" s="22"/>
      <c r="AN1913" s="22"/>
      <c r="AO1913" s="22"/>
      <c r="AP1913" s="22"/>
    </row>
    <row r="1914" ht="25.5" customHeight="1">
      <c r="H1914" s="384"/>
      <c r="I1914" s="384"/>
      <c r="J1914" s="378"/>
      <c r="AG1914" s="22"/>
      <c r="AH1914" s="22"/>
      <c r="AI1914" s="22"/>
      <c r="AJ1914" s="22"/>
      <c r="AK1914" s="22"/>
      <c r="AL1914" s="22"/>
      <c r="AM1914" s="22"/>
      <c r="AN1914" s="22"/>
      <c r="AO1914" s="22"/>
      <c r="AP1914" s="22"/>
    </row>
    <row r="1915" ht="25.5" customHeight="1">
      <c r="H1915" s="384"/>
      <c r="I1915" s="384"/>
      <c r="J1915" s="378"/>
      <c r="AG1915" s="22"/>
      <c r="AH1915" s="22"/>
      <c r="AI1915" s="22"/>
      <c r="AJ1915" s="22"/>
      <c r="AK1915" s="22"/>
      <c r="AL1915" s="22"/>
      <c r="AM1915" s="22"/>
      <c r="AN1915" s="22"/>
      <c r="AO1915" s="22"/>
      <c r="AP1915" s="22"/>
    </row>
    <row r="1916" ht="25.5" customHeight="1">
      <c r="H1916" s="384"/>
      <c r="I1916" s="384"/>
      <c r="J1916" s="378"/>
      <c r="AG1916" s="22"/>
      <c r="AH1916" s="22"/>
      <c r="AI1916" s="22"/>
      <c r="AJ1916" s="22"/>
      <c r="AK1916" s="22"/>
      <c r="AL1916" s="22"/>
      <c r="AM1916" s="22"/>
      <c r="AN1916" s="22"/>
      <c r="AO1916" s="22"/>
      <c r="AP1916" s="22"/>
    </row>
    <row r="1917" ht="25.5" customHeight="1">
      <c r="H1917" s="384"/>
      <c r="I1917" s="384"/>
      <c r="J1917" s="378"/>
      <c r="AG1917" s="22"/>
      <c r="AH1917" s="22"/>
      <c r="AI1917" s="22"/>
      <c r="AJ1917" s="22"/>
      <c r="AK1917" s="22"/>
      <c r="AL1917" s="22"/>
      <c r="AM1917" s="22"/>
      <c r="AN1917" s="22"/>
      <c r="AO1917" s="22"/>
      <c r="AP1917" s="22"/>
    </row>
    <row r="1918" ht="25.5" customHeight="1">
      <c r="H1918" s="384"/>
      <c r="I1918" s="384"/>
      <c r="J1918" s="378"/>
      <c r="AG1918" s="22"/>
      <c r="AH1918" s="22"/>
      <c r="AI1918" s="22"/>
      <c r="AJ1918" s="22"/>
      <c r="AK1918" s="22"/>
      <c r="AL1918" s="22"/>
      <c r="AM1918" s="22"/>
      <c r="AN1918" s="22"/>
      <c r="AO1918" s="22"/>
      <c r="AP1918" s="22"/>
    </row>
    <row r="1919" ht="25.5" customHeight="1">
      <c r="H1919" s="384"/>
      <c r="I1919" s="384"/>
      <c r="J1919" s="378"/>
      <c r="AG1919" s="22"/>
      <c r="AH1919" s="22"/>
      <c r="AI1919" s="22"/>
      <c r="AJ1919" s="22"/>
      <c r="AK1919" s="22"/>
      <c r="AL1919" s="22"/>
      <c r="AM1919" s="22"/>
      <c r="AN1919" s="22"/>
      <c r="AO1919" s="22"/>
      <c r="AP1919" s="22"/>
    </row>
    <row r="1920" ht="25.5" customHeight="1">
      <c r="H1920" s="384"/>
      <c r="I1920" s="384"/>
      <c r="J1920" s="378"/>
      <c r="AG1920" s="22"/>
      <c r="AH1920" s="22"/>
      <c r="AI1920" s="22"/>
      <c r="AJ1920" s="22"/>
      <c r="AK1920" s="22"/>
      <c r="AL1920" s="22"/>
      <c r="AM1920" s="22"/>
      <c r="AN1920" s="22"/>
      <c r="AO1920" s="22"/>
      <c r="AP1920" s="22"/>
    </row>
    <row r="1921" ht="25.5" customHeight="1">
      <c r="H1921" s="384"/>
      <c r="I1921" s="384"/>
      <c r="J1921" s="378"/>
      <c r="AG1921" s="22"/>
      <c r="AH1921" s="22"/>
      <c r="AI1921" s="22"/>
      <c r="AJ1921" s="22"/>
      <c r="AK1921" s="22"/>
      <c r="AL1921" s="22"/>
      <c r="AM1921" s="22"/>
      <c r="AN1921" s="22"/>
      <c r="AO1921" s="22"/>
      <c r="AP1921" s="22"/>
    </row>
    <row r="1922" ht="25.5" customHeight="1">
      <c r="H1922" s="384"/>
      <c r="I1922" s="384"/>
      <c r="J1922" s="378"/>
      <c r="AG1922" s="22"/>
      <c r="AH1922" s="22"/>
      <c r="AI1922" s="22"/>
      <c r="AJ1922" s="22"/>
      <c r="AK1922" s="22"/>
      <c r="AL1922" s="22"/>
      <c r="AM1922" s="22"/>
      <c r="AN1922" s="22"/>
      <c r="AO1922" s="22"/>
      <c r="AP1922" s="22"/>
    </row>
    <row r="1923" ht="25.5" customHeight="1">
      <c r="H1923" s="384"/>
      <c r="I1923" s="384"/>
      <c r="J1923" s="378"/>
      <c r="AG1923" s="22"/>
      <c r="AH1923" s="22"/>
      <c r="AI1923" s="22"/>
      <c r="AJ1923" s="22"/>
      <c r="AK1923" s="22"/>
      <c r="AL1923" s="22"/>
      <c r="AM1923" s="22"/>
      <c r="AN1923" s="22"/>
      <c r="AO1923" s="22"/>
      <c r="AP1923" s="22"/>
    </row>
    <row r="1924" ht="25.5" customHeight="1">
      <c r="H1924" s="384"/>
      <c r="I1924" s="384"/>
      <c r="J1924" s="378"/>
      <c r="AG1924" s="22"/>
      <c r="AH1924" s="22"/>
      <c r="AI1924" s="22"/>
      <c r="AJ1924" s="22"/>
      <c r="AK1924" s="22"/>
      <c r="AL1924" s="22"/>
      <c r="AM1924" s="22"/>
      <c r="AN1924" s="22"/>
      <c r="AO1924" s="22"/>
      <c r="AP1924" s="22"/>
    </row>
    <row r="1925" ht="25.5" customHeight="1">
      <c r="H1925" s="384"/>
      <c r="I1925" s="384"/>
      <c r="J1925" s="378"/>
      <c r="AG1925" s="22"/>
      <c r="AH1925" s="22"/>
      <c r="AI1925" s="22"/>
      <c r="AJ1925" s="22"/>
      <c r="AK1925" s="22"/>
      <c r="AL1925" s="22"/>
      <c r="AM1925" s="22"/>
      <c r="AN1925" s="22"/>
      <c r="AO1925" s="22"/>
      <c r="AP1925" s="22"/>
    </row>
    <row r="1926" ht="25.5" customHeight="1">
      <c r="H1926" s="384"/>
      <c r="I1926" s="384"/>
      <c r="J1926" s="378"/>
      <c r="AG1926" s="22"/>
      <c r="AH1926" s="22"/>
      <c r="AI1926" s="22"/>
      <c r="AJ1926" s="22"/>
      <c r="AK1926" s="22"/>
      <c r="AL1926" s="22"/>
      <c r="AM1926" s="22"/>
      <c r="AN1926" s="22"/>
      <c r="AO1926" s="22"/>
      <c r="AP1926" s="22"/>
    </row>
    <row r="1927" ht="25.5" customHeight="1">
      <c r="H1927" s="384"/>
      <c r="I1927" s="384"/>
      <c r="J1927" s="378"/>
      <c r="AG1927" s="22"/>
      <c r="AH1927" s="22"/>
      <c r="AI1927" s="22"/>
      <c r="AJ1927" s="22"/>
      <c r="AK1927" s="22"/>
      <c r="AL1927" s="22"/>
      <c r="AM1927" s="22"/>
      <c r="AN1927" s="22"/>
      <c r="AO1927" s="22"/>
      <c r="AP1927" s="22"/>
    </row>
    <row r="1928" ht="25.5" customHeight="1">
      <c r="H1928" s="384"/>
      <c r="I1928" s="384"/>
      <c r="J1928" s="378"/>
      <c r="AG1928" s="22"/>
      <c r="AH1928" s="22"/>
      <c r="AI1928" s="22"/>
      <c r="AJ1928" s="22"/>
      <c r="AK1928" s="22"/>
      <c r="AL1928" s="22"/>
      <c r="AM1928" s="22"/>
      <c r="AN1928" s="22"/>
      <c r="AO1928" s="22"/>
      <c r="AP1928" s="22"/>
    </row>
    <row r="1929" ht="25.5" customHeight="1">
      <c r="H1929" s="384"/>
      <c r="I1929" s="384"/>
      <c r="J1929" s="378"/>
      <c r="AG1929" s="22"/>
      <c r="AH1929" s="22"/>
      <c r="AI1929" s="22"/>
      <c r="AJ1929" s="22"/>
      <c r="AK1929" s="22"/>
      <c r="AL1929" s="22"/>
      <c r="AM1929" s="22"/>
      <c r="AN1929" s="22"/>
      <c r="AO1929" s="22"/>
      <c r="AP1929" s="22"/>
    </row>
    <row r="1930" ht="25.5" customHeight="1">
      <c r="H1930" s="384"/>
      <c r="I1930" s="384"/>
      <c r="J1930" s="378"/>
      <c r="AG1930" s="22"/>
      <c r="AH1930" s="22"/>
      <c r="AI1930" s="22"/>
      <c r="AJ1930" s="22"/>
      <c r="AK1930" s="22"/>
      <c r="AL1930" s="22"/>
      <c r="AM1930" s="22"/>
      <c r="AN1930" s="22"/>
      <c r="AO1930" s="22"/>
      <c r="AP1930" s="22"/>
    </row>
    <row r="1931" ht="25.5" customHeight="1">
      <c r="H1931" s="384"/>
      <c r="I1931" s="384"/>
      <c r="J1931" s="378"/>
      <c r="AG1931" s="22"/>
      <c r="AH1931" s="22"/>
      <c r="AI1931" s="22"/>
      <c r="AJ1931" s="22"/>
      <c r="AK1931" s="22"/>
      <c r="AL1931" s="22"/>
      <c r="AM1931" s="22"/>
      <c r="AN1931" s="22"/>
      <c r="AO1931" s="22"/>
      <c r="AP1931" s="22"/>
    </row>
    <row r="1932" ht="25.5" customHeight="1">
      <c r="H1932" s="384"/>
      <c r="I1932" s="384"/>
      <c r="J1932" s="378"/>
      <c r="AG1932" s="22"/>
      <c r="AH1932" s="22"/>
      <c r="AI1932" s="22"/>
      <c r="AJ1932" s="22"/>
      <c r="AK1932" s="22"/>
      <c r="AL1932" s="22"/>
      <c r="AM1932" s="22"/>
      <c r="AN1932" s="22"/>
      <c r="AO1932" s="22"/>
      <c r="AP1932" s="22"/>
    </row>
    <row r="1933" ht="25.5" customHeight="1">
      <c r="H1933" s="384"/>
      <c r="I1933" s="384"/>
      <c r="J1933" s="378"/>
      <c r="AG1933" s="22"/>
      <c r="AH1933" s="22"/>
      <c r="AI1933" s="22"/>
      <c r="AJ1933" s="22"/>
      <c r="AK1933" s="22"/>
      <c r="AL1933" s="22"/>
      <c r="AM1933" s="22"/>
      <c r="AN1933" s="22"/>
      <c r="AO1933" s="22"/>
      <c r="AP1933" s="22"/>
    </row>
    <row r="1934" ht="25.5" customHeight="1">
      <c r="H1934" s="384"/>
      <c r="I1934" s="384"/>
      <c r="J1934" s="378"/>
      <c r="AG1934" s="22"/>
      <c r="AH1934" s="22"/>
      <c r="AI1934" s="22"/>
      <c r="AJ1934" s="22"/>
      <c r="AK1934" s="22"/>
      <c r="AL1934" s="22"/>
      <c r="AM1934" s="22"/>
      <c r="AN1934" s="22"/>
      <c r="AO1934" s="22"/>
      <c r="AP1934" s="22"/>
    </row>
    <row r="1935" ht="25.5" customHeight="1">
      <c r="H1935" s="384"/>
      <c r="I1935" s="384"/>
      <c r="J1935" s="378"/>
      <c r="AG1935" s="22"/>
      <c r="AH1935" s="22"/>
      <c r="AI1935" s="22"/>
      <c r="AJ1935" s="22"/>
      <c r="AK1935" s="22"/>
      <c r="AL1935" s="22"/>
      <c r="AM1935" s="22"/>
      <c r="AN1935" s="22"/>
      <c r="AO1935" s="22"/>
      <c r="AP1935" s="22"/>
    </row>
    <row r="1936" ht="25.5" customHeight="1">
      <c r="H1936" s="384"/>
      <c r="I1936" s="384"/>
      <c r="J1936" s="378"/>
      <c r="AG1936" s="22"/>
      <c r="AH1936" s="22"/>
      <c r="AI1936" s="22"/>
      <c r="AJ1936" s="22"/>
      <c r="AK1936" s="22"/>
      <c r="AL1936" s="22"/>
      <c r="AM1936" s="22"/>
      <c r="AN1936" s="22"/>
      <c r="AO1936" s="22"/>
      <c r="AP1936" s="22"/>
    </row>
    <row r="1937" ht="25.5" customHeight="1">
      <c r="H1937" s="384"/>
      <c r="I1937" s="384"/>
      <c r="J1937" s="378"/>
      <c r="AG1937" s="22"/>
      <c r="AH1937" s="22"/>
      <c r="AI1937" s="22"/>
      <c r="AJ1937" s="22"/>
      <c r="AK1937" s="22"/>
      <c r="AL1937" s="22"/>
      <c r="AM1937" s="22"/>
      <c r="AN1937" s="22"/>
      <c r="AO1937" s="22"/>
      <c r="AP1937" s="22"/>
    </row>
    <row r="1938" ht="25.5" customHeight="1">
      <c r="H1938" s="384"/>
      <c r="I1938" s="384"/>
      <c r="J1938" s="378"/>
      <c r="AG1938" s="22"/>
      <c r="AH1938" s="22"/>
      <c r="AI1938" s="22"/>
      <c r="AJ1938" s="22"/>
      <c r="AK1938" s="22"/>
      <c r="AL1938" s="22"/>
      <c r="AM1938" s="22"/>
      <c r="AN1938" s="22"/>
      <c r="AO1938" s="22"/>
      <c r="AP1938" s="22"/>
    </row>
    <row r="1939" ht="25.5" customHeight="1">
      <c r="H1939" s="384"/>
      <c r="I1939" s="384"/>
      <c r="J1939" s="378"/>
      <c r="AG1939" s="22"/>
      <c r="AH1939" s="22"/>
      <c r="AI1939" s="22"/>
      <c r="AJ1939" s="22"/>
      <c r="AK1939" s="22"/>
      <c r="AL1939" s="22"/>
      <c r="AM1939" s="22"/>
      <c r="AN1939" s="22"/>
      <c r="AO1939" s="22"/>
      <c r="AP1939" s="22"/>
    </row>
    <row r="1940" ht="25.5" customHeight="1">
      <c r="H1940" s="384"/>
      <c r="I1940" s="384"/>
      <c r="J1940" s="378"/>
      <c r="AG1940" s="22"/>
      <c r="AH1940" s="22"/>
      <c r="AI1940" s="22"/>
      <c r="AJ1940" s="22"/>
      <c r="AK1940" s="22"/>
      <c r="AL1940" s="22"/>
      <c r="AM1940" s="22"/>
      <c r="AN1940" s="22"/>
      <c r="AO1940" s="22"/>
      <c r="AP1940" s="22"/>
    </row>
    <row r="1941" ht="25.5" customHeight="1">
      <c r="H1941" s="384"/>
      <c r="I1941" s="384"/>
      <c r="J1941" s="378"/>
      <c r="AG1941" s="22"/>
      <c r="AH1941" s="22"/>
      <c r="AI1941" s="22"/>
      <c r="AJ1941" s="22"/>
      <c r="AK1941" s="22"/>
      <c r="AL1941" s="22"/>
      <c r="AM1941" s="22"/>
      <c r="AN1941" s="22"/>
      <c r="AO1941" s="22"/>
      <c r="AP1941" s="22"/>
    </row>
    <row r="1942" ht="25.5" customHeight="1">
      <c r="H1942" s="384"/>
      <c r="I1942" s="384"/>
      <c r="J1942" s="378"/>
      <c r="AG1942" s="22"/>
      <c r="AH1942" s="22"/>
      <c r="AI1942" s="22"/>
      <c r="AJ1942" s="22"/>
      <c r="AK1942" s="22"/>
      <c r="AL1942" s="22"/>
      <c r="AM1942" s="22"/>
      <c r="AN1942" s="22"/>
      <c r="AO1942" s="22"/>
      <c r="AP1942" s="22"/>
    </row>
    <row r="1943" ht="25.5" customHeight="1">
      <c r="H1943" s="384"/>
      <c r="I1943" s="384"/>
      <c r="J1943" s="378"/>
      <c r="AG1943" s="22"/>
      <c r="AH1943" s="22"/>
      <c r="AI1943" s="22"/>
      <c r="AJ1943" s="22"/>
      <c r="AK1943" s="22"/>
      <c r="AL1943" s="22"/>
      <c r="AM1943" s="22"/>
      <c r="AN1943" s="22"/>
      <c r="AO1943" s="22"/>
      <c r="AP1943" s="22"/>
    </row>
    <row r="1944" ht="25.5" customHeight="1">
      <c r="H1944" s="384"/>
      <c r="I1944" s="384"/>
      <c r="J1944" s="378"/>
      <c r="AG1944" s="22"/>
      <c r="AH1944" s="22"/>
      <c r="AI1944" s="22"/>
      <c r="AJ1944" s="22"/>
      <c r="AK1944" s="22"/>
      <c r="AL1944" s="22"/>
      <c r="AM1944" s="22"/>
      <c r="AN1944" s="22"/>
      <c r="AO1944" s="22"/>
      <c r="AP1944" s="22"/>
    </row>
    <row r="1945" ht="25.5" customHeight="1">
      <c r="H1945" s="384"/>
      <c r="I1945" s="384"/>
      <c r="J1945" s="378"/>
      <c r="AG1945" s="22"/>
      <c r="AH1945" s="22"/>
      <c r="AI1945" s="22"/>
      <c r="AJ1945" s="22"/>
      <c r="AK1945" s="22"/>
      <c r="AL1945" s="22"/>
      <c r="AM1945" s="22"/>
      <c r="AN1945" s="22"/>
      <c r="AO1945" s="22"/>
      <c r="AP1945" s="22"/>
    </row>
    <row r="1946" ht="25.5" customHeight="1">
      <c r="H1946" s="384"/>
      <c r="I1946" s="384"/>
      <c r="J1946" s="378"/>
      <c r="AG1946" s="22"/>
      <c r="AH1946" s="22"/>
      <c r="AI1946" s="22"/>
      <c r="AJ1946" s="22"/>
      <c r="AK1946" s="22"/>
      <c r="AL1946" s="22"/>
      <c r="AM1946" s="22"/>
      <c r="AN1946" s="22"/>
      <c r="AO1946" s="22"/>
      <c r="AP1946" s="22"/>
    </row>
    <row r="1947" ht="25.5" customHeight="1">
      <c r="H1947" s="384"/>
      <c r="I1947" s="384"/>
      <c r="J1947" s="378"/>
      <c r="AG1947" s="22"/>
      <c r="AH1947" s="22"/>
      <c r="AI1947" s="22"/>
      <c r="AJ1947" s="22"/>
      <c r="AK1947" s="22"/>
      <c r="AL1947" s="22"/>
      <c r="AM1947" s="22"/>
      <c r="AN1947" s="22"/>
      <c r="AO1947" s="22"/>
      <c r="AP1947" s="22"/>
    </row>
    <row r="1948" ht="25.5" customHeight="1">
      <c r="H1948" s="384"/>
      <c r="I1948" s="384"/>
      <c r="J1948" s="378"/>
      <c r="AG1948" s="22"/>
      <c r="AH1948" s="22"/>
      <c r="AI1948" s="22"/>
      <c r="AJ1948" s="22"/>
      <c r="AK1948" s="22"/>
      <c r="AL1948" s="22"/>
      <c r="AM1948" s="22"/>
      <c r="AN1948" s="22"/>
      <c r="AO1948" s="22"/>
      <c r="AP1948" s="22"/>
    </row>
    <row r="1949" ht="25.5" customHeight="1">
      <c r="H1949" s="384"/>
      <c r="I1949" s="384"/>
      <c r="J1949" s="378"/>
      <c r="AG1949" s="22"/>
      <c r="AH1949" s="22"/>
      <c r="AI1949" s="22"/>
      <c r="AJ1949" s="22"/>
      <c r="AK1949" s="22"/>
      <c r="AL1949" s="22"/>
      <c r="AM1949" s="22"/>
      <c r="AN1949" s="22"/>
      <c r="AO1949" s="22"/>
      <c r="AP1949" s="22"/>
    </row>
    <row r="1950" ht="25.5" customHeight="1">
      <c r="H1950" s="384"/>
      <c r="I1950" s="384"/>
      <c r="J1950" s="378"/>
      <c r="AG1950" s="22"/>
      <c r="AH1950" s="22"/>
      <c r="AI1950" s="22"/>
      <c r="AJ1950" s="22"/>
      <c r="AK1950" s="22"/>
      <c r="AL1950" s="22"/>
      <c r="AM1950" s="22"/>
      <c r="AN1950" s="22"/>
      <c r="AO1950" s="22"/>
      <c r="AP1950" s="22"/>
    </row>
    <row r="1951" ht="25.5" customHeight="1">
      <c r="H1951" s="384"/>
      <c r="I1951" s="384"/>
      <c r="J1951" s="378"/>
      <c r="AG1951" s="22"/>
      <c r="AH1951" s="22"/>
      <c r="AI1951" s="22"/>
      <c r="AJ1951" s="22"/>
      <c r="AK1951" s="22"/>
      <c r="AL1951" s="22"/>
      <c r="AM1951" s="22"/>
      <c r="AN1951" s="22"/>
      <c r="AO1951" s="22"/>
      <c r="AP1951" s="22"/>
    </row>
    <row r="1952" ht="25.5" customHeight="1">
      <c r="H1952" s="384"/>
      <c r="I1952" s="384"/>
      <c r="J1952" s="378"/>
      <c r="AG1952" s="22"/>
      <c r="AH1952" s="22"/>
      <c r="AI1952" s="22"/>
      <c r="AJ1952" s="22"/>
      <c r="AK1952" s="22"/>
      <c r="AL1952" s="22"/>
      <c r="AM1952" s="22"/>
      <c r="AN1952" s="22"/>
      <c r="AO1952" s="22"/>
      <c r="AP1952" s="22"/>
    </row>
    <row r="1953" ht="25.5" customHeight="1">
      <c r="H1953" s="384"/>
      <c r="I1953" s="384"/>
      <c r="J1953" s="378"/>
      <c r="AG1953" s="22"/>
      <c r="AH1953" s="22"/>
      <c r="AI1953" s="22"/>
      <c r="AJ1953" s="22"/>
      <c r="AK1953" s="22"/>
      <c r="AL1953" s="22"/>
      <c r="AM1953" s="22"/>
      <c r="AN1953" s="22"/>
      <c r="AO1953" s="22"/>
      <c r="AP1953" s="22"/>
    </row>
    <row r="1954" ht="25.5" customHeight="1">
      <c r="H1954" s="384"/>
      <c r="I1954" s="384"/>
      <c r="J1954" s="378"/>
      <c r="AG1954" s="22"/>
      <c r="AH1954" s="22"/>
      <c r="AI1954" s="22"/>
      <c r="AJ1954" s="22"/>
      <c r="AK1954" s="22"/>
      <c r="AL1954" s="22"/>
      <c r="AM1954" s="22"/>
      <c r="AN1954" s="22"/>
      <c r="AO1954" s="22"/>
      <c r="AP1954" s="22"/>
    </row>
    <row r="1955" ht="25.5" customHeight="1">
      <c r="H1955" s="384"/>
      <c r="I1955" s="384"/>
      <c r="J1955" s="378"/>
      <c r="AG1955" s="22"/>
      <c r="AH1955" s="22"/>
      <c r="AI1955" s="22"/>
      <c r="AJ1955" s="22"/>
      <c r="AK1955" s="22"/>
      <c r="AL1955" s="22"/>
      <c r="AM1955" s="22"/>
      <c r="AN1955" s="22"/>
      <c r="AO1955" s="22"/>
      <c r="AP1955" s="22"/>
    </row>
    <row r="1956" ht="25.5" customHeight="1">
      <c r="H1956" s="384"/>
      <c r="I1956" s="384"/>
      <c r="J1956" s="378"/>
      <c r="AG1956" s="22"/>
      <c r="AH1956" s="22"/>
      <c r="AI1956" s="22"/>
      <c r="AJ1956" s="22"/>
      <c r="AK1956" s="22"/>
      <c r="AL1956" s="22"/>
      <c r="AM1956" s="22"/>
      <c r="AN1956" s="22"/>
      <c r="AO1956" s="22"/>
      <c r="AP1956" s="22"/>
    </row>
    <row r="1957" ht="25.5" customHeight="1">
      <c r="H1957" s="384"/>
      <c r="I1957" s="384"/>
      <c r="J1957" s="378"/>
      <c r="AG1957" s="22"/>
      <c r="AH1957" s="22"/>
      <c r="AI1957" s="22"/>
      <c r="AJ1957" s="22"/>
      <c r="AK1957" s="22"/>
      <c r="AL1957" s="22"/>
      <c r="AM1957" s="22"/>
      <c r="AN1957" s="22"/>
      <c r="AO1957" s="22"/>
      <c r="AP1957" s="22"/>
    </row>
    <row r="1958" ht="25.5" customHeight="1">
      <c r="H1958" s="384"/>
      <c r="I1958" s="384"/>
      <c r="J1958" s="378"/>
      <c r="AG1958" s="22"/>
      <c r="AH1958" s="22"/>
      <c r="AI1958" s="22"/>
      <c r="AJ1958" s="22"/>
      <c r="AK1958" s="22"/>
      <c r="AL1958" s="22"/>
      <c r="AM1958" s="22"/>
      <c r="AN1958" s="22"/>
      <c r="AO1958" s="22"/>
      <c r="AP1958" s="22"/>
    </row>
    <row r="1959" ht="25.5" customHeight="1">
      <c r="H1959" s="384"/>
      <c r="I1959" s="384"/>
      <c r="J1959" s="378"/>
      <c r="AG1959" s="22"/>
      <c r="AH1959" s="22"/>
      <c r="AI1959" s="22"/>
      <c r="AJ1959" s="22"/>
      <c r="AK1959" s="22"/>
      <c r="AL1959" s="22"/>
      <c r="AM1959" s="22"/>
      <c r="AN1959" s="22"/>
      <c r="AO1959" s="22"/>
      <c r="AP1959" s="22"/>
    </row>
    <row r="1960" ht="25.5" customHeight="1">
      <c r="H1960" s="384"/>
      <c r="I1960" s="384"/>
      <c r="J1960" s="378"/>
      <c r="AG1960" s="22"/>
      <c r="AH1960" s="22"/>
      <c r="AI1960" s="22"/>
      <c r="AJ1960" s="22"/>
      <c r="AK1960" s="22"/>
      <c r="AL1960" s="22"/>
      <c r="AM1960" s="22"/>
      <c r="AN1960" s="22"/>
      <c r="AO1960" s="22"/>
      <c r="AP1960" s="22"/>
    </row>
    <row r="1961" ht="25.5" customHeight="1">
      <c r="H1961" s="384"/>
      <c r="I1961" s="384"/>
      <c r="J1961" s="378"/>
      <c r="AG1961" s="22"/>
      <c r="AH1961" s="22"/>
      <c r="AI1961" s="22"/>
      <c r="AJ1961" s="22"/>
      <c r="AK1961" s="22"/>
      <c r="AL1961" s="22"/>
      <c r="AM1961" s="22"/>
      <c r="AN1961" s="22"/>
      <c r="AO1961" s="22"/>
      <c r="AP1961" s="22"/>
    </row>
    <row r="1962" ht="25.5" customHeight="1">
      <c r="H1962" s="384"/>
      <c r="I1962" s="384"/>
      <c r="J1962" s="378"/>
      <c r="AG1962" s="22"/>
      <c r="AH1962" s="22"/>
      <c r="AI1962" s="22"/>
      <c r="AJ1962" s="22"/>
      <c r="AK1962" s="22"/>
      <c r="AL1962" s="22"/>
      <c r="AM1962" s="22"/>
      <c r="AN1962" s="22"/>
      <c r="AO1962" s="22"/>
      <c r="AP1962" s="22"/>
    </row>
    <row r="1963" ht="25.5" customHeight="1">
      <c r="H1963" s="384"/>
      <c r="I1963" s="384"/>
      <c r="J1963" s="378"/>
      <c r="AG1963" s="22"/>
      <c r="AH1963" s="22"/>
      <c r="AI1963" s="22"/>
      <c r="AJ1963" s="22"/>
      <c r="AK1963" s="22"/>
      <c r="AL1963" s="22"/>
      <c r="AM1963" s="22"/>
      <c r="AN1963" s="22"/>
      <c r="AO1963" s="22"/>
      <c r="AP1963" s="22"/>
    </row>
    <row r="1964" ht="25.5" customHeight="1">
      <c r="H1964" s="384"/>
      <c r="I1964" s="384"/>
      <c r="J1964" s="378"/>
      <c r="AG1964" s="22"/>
      <c r="AH1964" s="22"/>
      <c r="AI1964" s="22"/>
      <c r="AJ1964" s="22"/>
      <c r="AK1964" s="22"/>
      <c r="AL1964" s="22"/>
      <c r="AM1964" s="22"/>
      <c r="AN1964" s="22"/>
      <c r="AO1964" s="22"/>
      <c r="AP1964" s="22"/>
    </row>
    <row r="1965" ht="25.5" customHeight="1">
      <c r="H1965" s="384"/>
      <c r="I1965" s="384"/>
      <c r="J1965" s="378"/>
      <c r="AG1965" s="22"/>
      <c r="AH1965" s="22"/>
      <c r="AI1965" s="22"/>
      <c r="AJ1965" s="22"/>
      <c r="AK1965" s="22"/>
      <c r="AL1965" s="22"/>
      <c r="AM1965" s="22"/>
      <c r="AN1965" s="22"/>
      <c r="AO1965" s="22"/>
      <c r="AP1965" s="22"/>
    </row>
    <row r="1966" ht="25.5" customHeight="1">
      <c r="H1966" s="384"/>
      <c r="I1966" s="384"/>
      <c r="J1966" s="378"/>
      <c r="AG1966" s="22"/>
      <c r="AH1966" s="22"/>
      <c r="AI1966" s="22"/>
      <c r="AJ1966" s="22"/>
      <c r="AK1966" s="22"/>
      <c r="AL1966" s="22"/>
      <c r="AM1966" s="22"/>
      <c r="AN1966" s="22"/>
      <c r="AO1966" s="22"/>
      <c r="AP1966" s="22"/>
    </row>
    <row r="1967" ht="25.5" customHeight="1">
      <c r="H1967" s="384"/>
      <c r="I1967" s="384"/>
      <c r="J1967" s="378"/>
      <c r="AG1967" s="22"/>
      <c r="AH1967" s="22"/>
      <c r="AI1967" s="22"/>
      <c r="AJ1967" s="22"/>
      <c r="AK1967" s="22"/>
      <c r="AL1967" s="22"/>
      <c r="AM1967" s="22"/>
      <c r="AN1967" s="22"/>
      <c r="AO1967" s="22"/>
      <c r="AP1967" s="22"/>
    </row>
    <row r="1968" ht="25.5" customHeight="1">
      <c r="H1968" s="384"/>
      <c r="I1968" s="384"/>
      <c r="J1968" s="378"/>
      <c r="AG1968" s="22"/>
      <c r="AH1968" s="22"/>
      <c r="AI1968" s="22"/>
      <c r="AJ1968" s="22"/>
      <c r="AK1968" s="22"/>
      <c r="AL1968" s="22"/>
      <c r="AM1968" s="22"/>
      <c r="AN1968" s="22"/>
      <c r="AO1968" s="22"/>
      <c r="AP1968" s="22"/>
    </row>
    <row r="1969" ht="25.5" customHeight="1">
      <c r="H1969" s="384"/>
      <c r="I1969" s="384"/>
      <c r="J1969" s="378"/>
      <c r="AG1969" s="22"/>
      <c r="AH1969" s="22"/>
      <c r="AI1969" s="22"/>
      <c r="AJ1969" s="22"/>
      <c r="AK1969" s="22"/>
      <c r="AL1969" s="22"/>
      <c r="AM1969" s="22"/>
      <c r="AN1969" s="22"/>
      <c r="AO1969" s="22"/>
      <c r="AP1969" s="22"/>
    </row>
    <row r="1970" ht="25.5" customHeight="1">
      <c r="H1970" s="384"/>
      <c r="I1970" s="384"/>
      <c r="J1970" s="378"/>
      <c r="AG1970" s="22"/>
      <c r="AH1970" s="22"/>
      <c r="AI1970" s="22"/>
      <c r="AJ1970" s="22"/>
      <c r="AK1970" s="22"/>
      <c r="AL1970" s="22"/>
      <c r="AM1970" s="22"/>
      <c r="AN1970" s="22"/>
      <c r="AO1970" s="22"/>
      <c r="AP1970" s="22"/>
    </row>
    <row r="1971" ht="25.5" customHeight="1">
      <c r="H1971" s="384"/>
      <c r="I1971" s="384"/>
      <c r="J1971" s="378"/>
      <c r="AG1971" s="22"/>
      <c r="AH1971" s="22"/>
      <c r="AI1971" s="22"/>
      <c r="AJ1971" s="22"/>
      <c r="AK1971" s="22"/>
      <c r="AL1971" s="22"/>
      <c r="AM1971" s="22"/>
      <c r="AN1971" s="22"/>
      <c r="AO1971" s="22"/>
      <c r="AP1971" s="22"/>
    </row>
    <row r="1972" ht="25.5" customHeight="1">
      <c r="H1972" s="384"/>
      <c r="I1972" s="384"/>
      <c r="J1972" s="378"/>
      <c r="AG1972" s="22"/>
      <c r="AH1972" s="22"/>
      <c r="AI1972" s="22"/>
      <c r="AJ1972" s="22"/>
      <c r="AK1972" s="22"/>
      <c r="AL1972" s="22"/>
      <c r="AM1972" s="22"/>
      <c r="AN1972" s="22"/>
      <c r="AO1972" s="22"/>
      <c r="AP1972" s="22"/>
    </row>
    <row r="1973" ht="25.5" customHeight="1">
      <c r="H1973" s="384"/>
      <c r="I1973" s="384"/>
      <c r="J1973" s="378"/>
      <c r="AG1973" s="22"/>
      <c r="AH1973" s="22"/>
      <c r="AI1973" s="22"/>
      <c r="AJ1973" s="22"/>
      <c r="AK1973" s="22"/>
      <c r="AL1973" s="22"/>
      <c r="AM1973" s="22"/>
      <c r="AN1973" s="22"/>
      <c r="AO1973" s="22"/>
      <c r="AP1973" s="22"/>
    </row>
    <row r="1974" ht="25.5" customHeight="1">
      <c r="H1974" s="384"/>
      <c r="I1974" s="384"/>
      <c r="J1974" s="378"/>
      <c r="AG1974" s="22"/>
      <c r="AH1974" s="22"/>
      <c r="AI1974" s="22"/>
      <c r="AJ1974" s="22"/>
      <c r="AK1974" s="22"/>
      <c r="AL1974" s="22"/>
      <c r="AM1974" s="22"/>
      <c r="AN1974" s="22"/>
      <c r="AO1974" s="22"/>
      <c r="AP1974" s="22"/>
    </row>
    <row r="1975" ht="25.5" customHeight="1">
      <c r="H1975" s="384"/>
      <c r="I1975" s="384"/>
      <c r="J1975" s="378"/>
      <c r="AG1975" s="22"/>
      <c r="AH1975" s="22"/>
      <c r="AI1975" s="22"/>
      <c r="AJ1975" s="22"/>
      <c r="AK1975" s="22"/>
      <c r="AL1975" s="22"/>
      <c r="AM1975" s="22"/>
      <c r="AN1975" s="22"/>
      <c r="AO1975" s="22"/>
      <c r="AP1975" s="22"/>
    </row>
    <row r="1976" ht="25.5" customHeight="1">
      <c r="H1976" s="384"/>
      <c r="I1976" s="384"/>
      <c r="J1976" s="378"/>
      <c r="AG1976" s="22"/>
      <c r="AH1976" s="22"/>
      <c r="AI1976" s="22"/>
      <c r="AJ1976" s="22"/>
      <c r="AK1976" s="22"/>
      <c r="AL1976" s="22"/>
      <c r="AM1976" s="22"/>
      <c r="AN1976" s="22"/>
      <c r="AO1976" s="22"/>
      <c r="AP1976" s="22"/>
    </row>
    <row r="1977" ht="25.5" customHeight="1">
      <c r="H1977" s="384"/>
      <c r="I1977" s="384"/>
      <c r="J1977" s="378"/>
      <c r="AG1977" s="22"/>
      <c r="AH1977" s="22"/>
      <c r="AI1977" s="22"/>
      <c r="AJ1977" s="22"/>
      <c r="AK1977" s="22"/>
      <c r="AL1977" s="22"/>
      <c r="AM1977" s="22"/>
      <c r="AN1977" s="22"/>
      <c r="AO1977" s="22"/>
      <c r="AP1977" s="22"/>
    </row>
    <row r="1978" ht="25.5" customHeight="1">
      <c r="H1978" s="384"/>
      <c r="I1978" s="384"/>
      <c r="J1978" s="378"/>
      <c r="AG1978" s="22"/>
      <c r="AH1978" s="22"/>
      <c r="AI1978" s="22"/>
      <c r="AJ1978" s="22"/>
      <c r="AK1978" s="22"/>
      <c r="AL1978" s="22"/>
      <c r="AM1978" s="22"/>
      <c r="AN1978" s="22"/>
      <c r="AO1978" s="22"/>
      <c r="AP1978" s="22"/>
    </row>
    <row r="1979" ht="25.5" customHeight="1">
      <c r="H1979" s="384"/>
      <c r="I1979" s="384"/>
      <c r="J1979" s="378"/>
      <c r="AG1979" s="22"/>
      <c r="AH1979" s="22"/>
      <c r="AI1979" s="22"/>
      <c r="AJ1979" s="22"/>
      <c r="AK1979" s="22"/>
      <c r="AL1979" s="22"/>
      <c r="AM1979" s="22"/>
      <c r="AN1979" s="22"/>
      <c r="AO1979" s="22"/>
      <c r="AP1979" s="22"/>
    </row>
    <row r="1980" ht="25.5" customHeight="1">
      <c r="H1980" s="384"/>
      <c r="I1980" s="384"/>
      <c r="J1980" s="378"/>
      <c r="AG1980" s="22"/>
      <c r="AH1980" s="22"/>
      <c r="AI1980" s="22"/>
      <c r="AJ1980" s="22"/>
      <c r="AK1980" s="22"/>
      <c r="AL1980" s="22"/>
      <c r="AM1980" s="22"/>
      <c r="AN1980" s="22"/>
      <c r="AO1980" s="22"/>
      <c r="AP1980" s="22"/>
    </row>
    <row r="1981" ht="25.5" customHeight="1">
      <c r="H1981" s="384"/>
      <c r="I1981" s="384"/>
      <c r="J1981" s="378"/>
      <c r="AG1981" s="22"/>
      <c r="AH1981" s="22"/>
      <c r="AI1981" s="22"/>
      <c r="AJ1981" s="22"/>
      <c r="AK1981" s="22"/>
      <c r="AL1981" s="22"/>
      <c r="AM1981" s="22"/>
      <c r="AN1981" s="22"/>
      <c r="AO1981" s="22"/>
      <c r="AP1981" s="22"/>
    </row>
    <row r="1982" ht="25.5" customHeight="1">
      <c r="H1982" s="384"/>
      <c r="I1982" s="384"/>
      <c r="J1982" s="378"/>
      <c r="AG1982" s="22"/>
      <c r="AH1982" s="22"/>
      <c r="AI1982" s="22"/>
      <c r="AJ1982" s="22"/>
      <c r="AK1982" s="22"/>
      <c r="AL1982" s="22"/>
      <c r="AM1982" s="22"/>
      <c r="AN1982" s="22"/>
      <c r="AO1982" s="22"/>
      <c r="AP1982" s="22"/>
    </row>
    <row r="1983" ht="25.5" customHeight="1">
      <c r="H1983" s="384"/>
      <c r="I1983" s="384"/>
      <c r="J1983" s="378"/>
      <c r="AG1983" s="22"/>
      <c r="AH1983" s="22"/>
      <c r="AI1983" s="22"/>
      <c r="AJ1983" s="22"/>
      <c r="AK1983" s="22"/>
      <c r="AL1983" s="22"/>
      <c r="AM1983" s="22"/>
      <c r="AN1983" s="22"/>
      <c r="AO1983" s="22"/>
      <c r="AP1983" s="22"/>
    </row>
    <row r="1984" ht="25.5" customHeight="1">
      <c r="H1984" s="384"/>
      <c r="I1984" s="384"/>
      <c r="J1984" s="378"/>
      <c r="AG1984" s="22"/>
      <c r="AH1984" s="22"/>
      <c r="AI1984" s="22"/>
      <c r="AJ1984" s="22"/>
      <c r="AK1984" s="22"/>
      <c r="AL1984" s="22"/>
      <c r="AM1984" s="22"/>
      <c r="AN1984" s="22"/>
      <c r="AO1984" s="22"/>
      <c r="AP1984" s="22"/>
    </row>
    <row r="1985" ht="25.5" customHeight="1">
      <c r="H1985" s="384"/>
      <c r="I1985" s="384"/>
      <c r="J1985" s="378"/>
      <c r="AG1985" s="22"/>
      <c r="AH1985" s="22"/>
      <c r="AI1985" s="22"/>
      <c r="AJ1985" s="22"/>
      <c r="AK1985" s="22"/>
      <c r="AL1985" s="22"/>
      <c r="AM1985" s="22"/>
      <c r="AN1985" s="22"/>
      <c r="AO1985" s="22"/>
      <c r="AP1985" s="22"/>
    </row>
    <row r="1986" ht="25.5" customHeight="1">
      <c r="H1986" s="384"/>
      <c r="I1986" s="384"/>
      <c r="J1986" s="378"/>
      <c r="AG1986" s="22"/>
      <c r="AH1986" s="22"/>
      <c r="AI1986" s="22"/>
      <c r="AJ1986" s="22"/>
      <c r="AK1986" s="22"/>
      <c r="AL1986" s="22"/>
      <c r="AM1986" s="22"/>
      <c r="AN1986" s="22"/>
      <c r="AO1986" s="22"/>
      <c r="AP1986" s="22"/>
    </row>
    <row r="1987" ht="25.5" customHeight="1">
      <c r="H1987" s="384"/>
      <c r="I1987" s="384"/>
      <c r="J1987" s="378"/>
      <c r="AG1987" s="22"/>
      <c r="AH1987" s="22"/>
      <c r="AI1987" s="22"/>
      <c r="AJ1987" s="22"/>
      <c r="AK1987" s="22"/>
      <c r="AL1987" s="22"/>
      <c r="AM1987" s="22"/>
      <c r="AN1987" s="22"/>
      <c r="AO1987" s="22"/>
      <c r="AP1987" s="22"/>
    </row>
    <row r="1988" ht="25.5" customHeight="1">
      <c r="H1988" s="384"/>
      <c r="I1988" s="384"/>
      <c r="J1988" s="378"/>
      <c r="AG1988" s="22"/>
      <c r="AH1988" s="22"/>
      <c r="AI1988" s="22"/>
      <c r="AJ1988" s="22"/>
      <c r="AK1988" s="22"/>
      <c r="AL1988" s="22"/>
      <c r="AM1988" s="22"/>
      <c r="AN1988" s="22"/>
      <c r="AO1988" s="22"/>
      <c r="AP1988" s="22"/>
    </row>
    <row r="1989" ht="25.5" customHeight="1">
      <c r="H1989" s="384"/>
      <c r="I1989" s="384"/>
      <c r="J1989" s="378"/>
      <c r="AG1989" s="22"/>
      <c r="AH1989" s="22"/>
      <c r="AI1989" s="22"/>
      <c r="AJ1989" s="22"/>
      <c r="AK1989" s="22"/>
      <c r="AL1989" s="22"/>
      <c r="AM1989" s="22"/>
      <c r="AN1989" s="22"/>
      <c r="AO1989" s="22"/>
      <c r="AP1989" s="22"/>
    </row>
    <row r="1990" ht="25.5" customHeight="1">
      <c r="H1990" s="384"/>
      <c r="I1990" s="384"/>
      <c r="J1990" s="378"/>
      <c r="AG1990" s="22"/>
      <c r="AH1990" s="22"/>
      <c r="AI1990" s="22"/>
      <c r="AJ1990" s="22"/>
      <c r="AK1990" s="22"/>
      <c r="AL1990" s="22"/>
      <c r="AM1990" s="22"/>
      <c r="AN1990" s="22"/>
      <c r="AO1990" s="22"/>
      <c r="AP1990" s="22"/>
    </row>
    <row r="1991" ht="25.5" customHeight="1">
      <c r="H1991" s="384"/>
      <c r="I1991" s="384"/>
      <c r="J1991" s="378"/>
      <c r="AG1991" s="22"/>
      <c r="AH1991" s="22"/>
      <c r="AI1991" s="22"/>
      <c r="AJ1991" s="22"/>
      <c r="AK1991" s="22"/>
      <c r="AL1991" s="22"/>
      <c r="AM1991" s="22"/>
      <c r="AN1991" s="22"/>
      <c r="AO1991" s="22"/>
      <c r="AP1991" s="22"/>
    </row>
    <row r="1992" ht="25.5" customHeight="1">
      <c r="H1992" s="384"/>
      <c r="I1992" s="384"/>
      <c r="J1992" s="378"/>
      <c r="AG1992" s="22"/>
      <c r="AH1992" s="22"/>
      <c r="AI1992" s="22"/>
      <c r="AJ1992" s="22"/>
      <c r="AK1992" s="22"/>
      <c r="AL1992" s="22"/>
      <c r="AM1992" s="22"/>
      <c r="AN1992" s="22"/>
      <c r="AO1992" s="22"/>
      <c r="AP1992" s="22"/>
    </row>
    <row r="1993" ht="25.5" customHeight="1">
      <c r="H1993" s="384"/>
      <c r="I1993" s="384"/>
      <c r="J1993" s="378"/>
      <c r="AG1993" s="22"/>
      <c r="AH1993" s="22"/>
      <c r="AI1993" s="22"/>
      <c r="AJ1993" s="22"/>
      <c r="AK1993" s="22"/>
      <c r="AL1993" s="22"/>
      <c r="AM1993" s="22"/>
      <c r="AN1993" s="22"/>
      <c r="AO1993" s="22"/>
      <c r="AP1993" s="22"/>
    </row>
    <row r="1994" ht="25.5" customHeight="1">
      <c r="H1994" s="384"/>
      <c r="I1994" s="384"/>
      <c r="J1994" s="378"/>
      <c r="AG1994" s="22"/>
      <c r="AH1994" s="22"/>
      <c r="AI1994" s="22"/>
      <c r="AJ1994" s="22"/>
      <c r="AK1994" s="22"/>
      <c r="AL1994" s="22"/>
      <c r="AM1994" s="22"/>
      <c r="AN1994" s="22"/>
      <c r="AO1994" s="22"/>
      <c r="AP1994" s="22"/>
    </row>
    <row r="1995" ht="25.5" customHeight="1">
      <c r="H1995" s="384"/>
      <c r="I1995" s="384"/>
      <c r="J1995" s="378"/>
      <c r="AG1995" s="22"/>
      <c r="AH1995" s="22"/>
      <c r="AI1995" s="22"/>
      <c r="AJ1995" s="22"/>
      <c r="AK1995" s="22"/>
      <c r="AL1995" s="22"/>
      <c r="AM1995" s="22"/>
      <c r="AN1995" s="22"/>
      <c r="AO1995" s="22"/>
      <c r="AP1995" s="22"/>
    </row>
    <row r="1996" ht="25.5" customHeight="1">
      <c r="H1996" s="384"/>
      <c r="I1996" s="384"/>
      <c r="J1996" s="378"/>
      <c r="AG1996" s="22"/>
      <c r="AH1996" s="22"/>
      <c r="AI1996" s="22"/>
      <c r="AJ1996" s="22"/>
      <c r="AK1996" s="22"/>
      <c r="AL1996" s="22"/>
      <c r="AM1996" s="22"/>
      <c r="AN1996" s="22"/>
      <c r="AO1996" s="22"/>
      <c r="AP1996" s="22"/>
    </row>
    <row r="1997" ht="25.5" customHeight="1">
      <c r="H1997" s="384"/>
      <c r="I1997" s="384"/>
      <c r="J1997" s="378"/>
      <c r="AG1997" s="22"/>
      <c r="AH1997" s="22"/>
      <c r="AI1997" s="22"/>
      <c r="AJ1997" s="22"/>
      <c r="AK1997" s="22"/>
      <c r="AL1997" s="22"/>
      <c r="AM1997" s="22"/>
      <c r="AN1997" s="22"/>
      <c r="AO1997" s="22"/>
      <c r="AP1997" s="22"/>
    </row>
    <row r="1998" ht="25.5" customHeight="1">
      <c r="H1998" s="384"/>
      <c r="I1998" s="384"/>
      <c r="J1998" s="378"/>
      <c r="AG1998" s="22"/>
      <c r="AH1998" s="22"/>
      <c r="AI1998" s="22"/>
      <c r="AJ1998" s="22"/>
      <c r="AK1998" s="22"/>
      <c r="AL1998" s="22"/>
      <c r="AM1998" s="22"/>
      <c r="AN1998" s="22"/>
      <c r="AO1998" s="22"/>
      <c r="AP1998" s="22"/>
    </row>
    <row r="1999" ht="25.5" customHeight="1">
      <c r="H1999" s="384"/>
      <c r="I1999" s="384"/>
      <c r="J1999" s="378"/>
      <c r="AG1999" s="22"/>
      <c r="AH1999" s="22"/>
      <c r="AI1999" s="22"/>
      <c r="AJ1999" s="22"/>
      <c r="AK1999" s="22"/>
      <c r="AL1999" s="22"/>
      <c r="AM1999" s="22"/>
      <c r="AN1999" s="22"/>
      <c r="AO1999" s="22"/>
      <c r="AP1999" s="22"/>
    </row>
    <row r="2000" ht="25.5" customHeight="1">
      <c r="H2000" s="384"/>
      <c r="I2000" s="384"/>
      <c r="J2000" s="378"/>
      <c r="AG2000" s="22"/>
      <c r="AH2000" s="22"/>
      <c r="AI2000" s="22"/>
      <c r="AJ2000" s="22"/>
      <c r="AK2000" s="22"/>
      <c r="AL2000" s="22"/>
      <c r="AM2000" s="22"/>
      <c r="AN2000" s="22"/>
      <c r="AO2000" s="22"/>
      <c r="AP2000" s="22"/>
    </row>
    <row r="2001" ht="25.5" customHeight="1">
      <c r="H2001" s="384"/>
      <c r="I2001" s="384"/>
      <c r="J2001" s="378"/>
      <c r="AG2001" s="22"/>
      <c r="AH2001" s="22"/>
      <c r="AI2001" s="22"/>
      <c r="AJ2001" s="22"/>
      <c r="AK2001" s="22"/>
      <c r="AL2001" s="22"/>
      <c r="AM2001" s="22"/>
      <c r="AN2001" s="22"/>
      <c r="AO2001" s="22"/>
      <c r="AP2001" s="22"/>
    </row>
    <row r="2002" ht="25.5" customHeight="1">
      <c r="H2002" s="384"/>
      <c r="I2002" s="384"/>
      <c r="J2002" s="378"/>
      <c r="AG2002" s="22"/>
      <c r="AH2002" s="22"/>
      <c r="AI2002" s="22"/>
      <c r="AJ2002" s="22"/>
      <c r="AK2002" s="22"/>
      <c r="AL2002" s="22"/>
      <c r="AM2002" s="22"/>
      <c r="AN2002" s="22"/>
      <c r="AO2002" s="22"/>
      <c r="AP2002" s="22"/>
    </row>
    <row r="2003" ht="25.5" customHeight="1">
      <c r="H2003" s="384"/>
      <c r="I2003" s="384"/>
      <c r="J2003" s="378"/>
      <c r="AG2003" s="22"/>
      <c r="AH2003" s="22"/>
      <c r="AI2003" s="22"/>
      <c r="AJ2003" s="22"/>
      <c r="AK2003" s="22"/>
      <c r="AL2003" s="22"/>
      <c r="AM2003" s="22"/>
      <c r="AN2003" s="22"/>
      <c r="AO2003" s="22"/>
      <c r="AP2003" s="22"/>
    </row>
    <row r="2004" ht="25.5" customHeight="1">
      <c r="H2004" s="384"/>
      <c r="I2004" s="384"/>
      <c r="J2004" s="378"/>
      <c r="AG2004" s="22"/>
      <c r="AH2004" s="22"/>
      <c r="AI2004" s="22"/>
      <c r="AJ2004" s="22"/>
      <c r="AK2004" s="22"/>
      <c r="AL2004" s="22"/>
      <c r="AM2004" s="22"/>
      <c r="AN2004" s="22"/>
      <c r="AO2004" s="22"/>
      <c r="AP2004" s="22"/>
    </row>
    <row r="2005" ht="25.5" customHeight="1">
      <c r="H2005" s="384"/>
      <c r="I2005" s="384"/>
      <c r="J2005" s="378"/>
      <c r="AG2005" s="22"/>
      <c r="AH2005" s="22"/>
      <c r="AI2005" s="22"/>
      <c r="AJ2005" s="22"/>
      <c r="AK2005" s="22"/>
      <c r="AL2005" s="22"/>
      <c r="AM2005" s="22"/>
      <c r="AN2005" s="22"/>
      <c r="AO2005" s="22"/>
      <c r="AP2005" s="22"/>
    </row>
    <row r="2006" ht="25.5" customHeight="1">
      <c r="H2006" s="384"/>
      <c r="I2006" s="384"/>
      <c r="J2006" s="378"/>
      <c r="AG2006" s="22"/>
      <c r="AH2006" s="22"/>
      <c r="AI2006" s="22"/>
      <c r="AJ2006" s="22"/>
      <c r="AK2006" s="22"/>
      <c r="AL2006" s="22"/>
      <c r="AM2006" s="22"/>
      <c r="AN2006" s="22"/>
      <c r="AO2006" s="22"/>
      <c r="AP2006" s="22"/>
    </row>
    <row r="2007" ht="25.5" customHeight="1">
      <c r="H2007" s="384"/>
      <c r="I2007" s="384"/>
      <c r="J2007" s="378"/>
      <c r="AG2007" s="22"/>
      <c r="AH2007" s="22"/>
      <c r="AI2007" s="22"/>
      <c r="AJ2007" s="22"/>
      <c r="AK2007" s="22"/>
      <c r="AL2007" s="22"/>
      <c r="AM2007" s="22"/>
      <c r="AN2007" s="22"/>
      <c r="AO2007" s="22"/>
      <c r="AP2007" s="22"/>
    </row>
    <row r="2008" ht="25.5" customHeight="1">
      <c r="H2008" s="384"/>
      <c r="I2008" s="384"/>
      <c r="J2008" s="378"/>
      <c r="AG2008" s="22"/>
      <c r="AH2008" s="22"/>
      <c r="AI2008" s="22"/>
      <c r="AJ2008" s="22"/>
      <c r="AK2008" s="22"/>
      <c r="AL2008" s="22"/>
      <c r="AM2008" s="22"/>
      <c r="AN2008" s="22"/>
      <c r="AO2008" s="22"/>
      <c r="AP2008" s="22"/>
    </row>
    <row r="2009" ht="25.5" customHeight="1">
      <c r="H2009" s="384"/>
      <c r="I2009" s="384"/>
      <c r="J2009" s="378"/>
      <c r="AG2009" s="22"/>
      <c r="AH2009" s="22"/>
      <c r="AI2009" s="22"/>
      <c r="AJ2009" s="22"/>
      <c r="AK2009" s="22"/>
      <c r="AL2009" s="22"/>
      <c r="AM2009" s="22"/>
      <c r="AN2009" s="22"/>
      <c r="AO2009" s="22"/>
      <c r="AP2009" s="22"/>
    </row>
    <row r="2010" ht="25.5" customHeight="1">
      <c r="H2010" s="384"/>
      <c r="I2010" s="384"/>
      <c r="J2010" s="378"/>
      <c r="AG2010" s="22"/>
      <c r="AH2010" s="22"/>
      <c r="AI2010" s="22"/>
      <c r="AJ2010" s="22"/>
      <c r="AK2010" s="22"/>
      <c r="AL2010" s="22"/>
      <c r="AM2010" s="22"/>
      <c r="AN2010" s="22"/>
      <c r="AO2010" s="22"/>
      <c r="AP2010" s="22"/>
    </row>
    <row r="2011" ht="25.5" customHeight="1">
      <c r="H2011" s="384"/>
      <c r="I2011" s="384"/>
      <c r="J2011" s="378"/>
      <c r="AG2011" s="22"/>
      <c r="AH2011" s="22"/>
      <c r="AI2011" s="22"/>
      <c r="AJ2011" s="22"/>
      <c r="AK2011" s="22"/>
      <c r="AL2011" s="22"/>
      <c r="AM2011" s="22"/>
      <c r="AN2011" s="22"/>
      <c r="AO2011" s="22"/>
      <c r="AP2011" s="22"/>
    </row>
    <row r="2012" ht="25.5" customHeight="1">
      <c r="H2012" s="384"/>
      <c r="I2012" s="384"/>
      <c r="J2012" s="378"/>
      <c r="AG2012" s="22"/>
      <c r="AH2012" s="22"/>
      <c r="AI2012" s="22"/>
      <c r="AJ2012" s="22"/>
      <c r="AK2012" s="22"/>
      <c r="AL2012" s="22"/>
      <c r="AM2012" s="22"/>
      <c r="AN2012" s="22"/>
      <c r="AO2012" s="22"/>
      <c r="AP2012" s="22"/>
    </row>
    <row r="2013" ht="25.5" customHeight="1">
      <c r="H2013" s="384"/>
      <c r="I2013" s="384"/>
      <c r="J2013" s="378"/>
      <c r="AG2013" s="22"/>
      <c r="AH2013" s="22"/>
      <c r="AI2013" s="22"/>
      <c r="AJ2013" s="22"/>
      <c r="AK2013" s="22"/>
      <c r="AL2013" s="22"/>
      <c r="AM2013" s="22"/>
      <c r="AN2013" s="22"/>
      <c r="AO2013" s="22"/>
      <c r="AP2013" s="22"/>
    </row>
    <row r="2014" ht="25.5" customHeight="1">
      <c r="H2014" s="384"/>
      <c r="I2014" s="384"/>
      <c r="J2014" s="378"/>
      <c r="AG2014" s="22"/>
      <c r="AH2014" s="22"/>
      <c r="AI2014" s="22"/>
      <c r="AJ2014" s="22"/>
      <c r="AK2014" s="22"/>
      <c r="AL2014" s="22"/>
      <c r="AM2014" s="22"/>
      <c r="AN2014" s="22"/>
      <c r="AO2014" s="22"/>
      <c r="AP2014" s="22"/>
    </row>
    <row r="2015" ht="25.5" customHeight="1">
      <c r="H2015" s="384"/>
      <c r="I2015" s="384"/>
      <c r="J2015" s="378"/>
      <c r="AG2015" s="22"/>
      <c r="AH2015" s="22"/>
      <c r="AI2015" s="22"/>
      <c r="AJ2015" s="22"/>
      <c r="AK2015" s="22"/>
      <c r="AL2015" s="22"/>
      <c r="AM2015" s="22"/>
      <c r="AN2015" s="22"/>
      <c r="AO2015" s="22"/>
      <c r="AP2015" s="22"/>
    </row>
    <row r="2016" ht="25.5" customHeight="1">
      <c r="H2016" s="384"/>
      <c r="I2016" s="384"/>
      <c r="J2016" s="378"/>
      <c r="AG2016" s="22"/>
      <c r="AH2016" s="22"/>
      <c r="AI2016" s="22"/>
      <c r="AJ2016" s="22"/>
      <c r="AK2016" s="22"/>
      <c r="AL2016" s="22"/>
      <c r="AM2016" s="22"/>
      <c r="AN2016" s="22"/>
      <c r="AO2016" s="22"/>
      <c r="AP2016" s="22"/>
    </row>
    <row r="2017" ht="25.5" customHeight="1">
      <c r="H2017" s="384"/>
      <c r="I2017" s="384"/>
      <c r="J2017" s="378"/>
      <c r="AG2017" s="22"/>
      <c r="AH2017" s="22"/>
      <c r="AI2017" s="22"/>
      <c r="AJ2017" s="22"/>
      <c r="AK2017" s="22"/>
      <c r="AL2017" s="22"/>
      <c r="AM2017" s="22"/>
      <c r="AN2017" s="22"/>
      <c r="AO2017" s="22"/>
      <c r="AP2017" s="22"/>
    </row>
    <row r="2018" ht="25.5" customHeight="1">
      <c r="H2018" s="384"/>
      <c r="I2018" s="384"/>
      <c r="J2018" s="378"/>
      <c r="AG2018" s="22"/>
      <c r="AH2018" s="22"/>
      <c r="AI2018" s="22"/>
      <c r="AJ2018" s="22"/>
      <c r="AK2018" s="22"/>
      <c r="AL2018" s="22"/>
      <c r="AM2018" s="22"/>
      <c r="AN2018" s="22"/>
      <c r="AO2018" s="22"/>
      <c r="AP2018" s="22"/>
    </row>
    <row r="2019" ht="25.5" customHeight="1">
      <c r="H2019" s="384"/>
      <c r="I2019" s="384"/>
      <c r="J2019" s="378"/>
      <c r="AG2019" s="22"/>
      <c r="AH2019" s="22"/>
      <c r="AI2019" s="22"/>
      <c r="AJ2019" s="22"/>
      <c r="AK2019" s="22"/>
      <c r="AL2019" s="22"/>
      <c r="AM2019" s="22"/>
      <c r="AN2019" s="22"/>
      <c r="AO2019" s="22"/>
      <c r="AP2019" s="22"/>
    </row>
    <row r="2020" ht="25.5" customHeight="1">
      <c r="H2020" s="384"/>
      <c r="I2020" s="384"/>
      <c r="J2020" s="378"/>
      <c r="AG2020" s="22"/>
      <c r="AH2020" s="22"/>
      <c r="AI2020" s="22"/>
      <c r="AJ2020" s="22"/>
      <c r="AK2020" s="22"/>
      <c r="AL2020" s="22"/>
      <c r="AM2020" s="22"/>
      <c r="AN2020" s="22"/>
      <c r="AO2020" s="22"/>
      <c r="AP2020" s="22"/>
    </row>
    <row r="2021" ht="25.5" customHeight="1">
      <c r="H2021" s="384"/>
      <c r="I2021" s="384"/>
      <c r="J2021" s="378"/>
      <c r="AG2021" s="22"/>
      <c r="AH2021" s="22"/>
      <c r="AI2021" s="22"/>
      <c r="AJ2021" s="22"/>
      <c r="AK2021" s="22"/>
      <c r="AL2021" s="22"/>
      <c r="AM2021" s="22"/>
      <c r="AN2021" s="22"/>
      <c r="AO2021" s="22"/>
      <c r="AP2021" s="22"/>
    </row>
    <row r="2022" ht="25.5" customHeight="1">
      <c r="H2022" s="384"/>
      <c r="I2022" s="384"/>
      <c r="J2022" s="378"/>
      <c r="AG2022" s="22"/>
      <c r="AH2022" s="22"/>
      <c r="AI2022" s="22"/>
      <c r="AJ2022" s="22"/>
      <c r="AK2022" s="22"/>
      <c r="AL2022" s="22"/>
      <c r="AM2022" s="22"/>
      <c r="AN2022" s="22"/>
      <c r="AO2022" s="22"/>
      <c r="AP2022" s="22"/>
    </row>
    <row r="2023" ht="25.5" customHeight="1">
      <c r="H2023" s="384"/>
      <c r="I2023" s="384"/>
      <c r="J2023" s="378"/>
      <c r="AG2023" s="22"/>
      <c r="AH2023" s="22"/>
      <c r="AI2023" s="22"/>
      <c r="AJ2023" s="22"/>
      <c r="AK2023" s="22"/>
      <c r="AL2023" s="22"/>
      <c r="AM2023" s="22"/>
      <c r="AN2023" s="22"/>
      <c r="AO2023" s="22"/>
      <c r="AP2023" s="22"/>
    </row>
    <row r="2024" ht="25.5" customHeight="1">
      <c r="H2024" s="384"/>
      <c r="I2024" s="384"/>
      <c r="J2024" s="378"/>
      <c r="AG2024" s="22"/>
      <c r="AH2024" s="22"/>
      <c r="AI2024" s="22"/>
      <c r="AJ2024" s="22"/>
      <c r="AK2024" s="22"/>
      <c r="AL2024" s="22"/>
      <c r="AM2024" s="22"/>
      <c r="AN2024" s="22"/>
      <c r="AO2024" s="22"/>
      <c r="AP2024" s="22"/>
    </row>
    <row r="2025" ht="25.5" customHeight="1">
      <c r="H2025" s="384"/>
      <c r="I2025" s="384"/>
      <c r="J2025" s="378"/>
      <c r="AG2025" s="22"/>
      <c r="AH2025" s="22"/>
      <c r="AI2025" s="22"/>
      <c r="AJ2025" s="22"/>
      <c r="AK2025" s="22"/>
      <c r="AL2025" s="22"/>
      <c r="AM2025" s="22"/>
      <c r="AN2025" s="22"/>
      <c r="AO2025" s="22"/>
      <c r="AP2025" s="22"/>
    </row>
    <row r="2026" ht="25.5" customHeight="1">
      <c r="H2026" s="384"/>
      <c r="I2026" s="384"/>
      <c r="J2026" s="378"/>
      <c r="AG2026" s="22"/>
      <c r="AH2026" s="22"/>
      <c r="AI2026" s="22"/>
      <c r="AJ2026" s="22"/>
      <c r="AK2026" s="22"/>
      <c r="AL2026" s="22"/>
      <c r="AM2026" s="22"/>
      <c r="AN2026" s="22"/>
      <c r="AO2026" s="22"/>
      <c r="AP2026" s="22"/>
    </row>
    <row r="2027" ht="25.5" customHeight="1">
      <c r="H2027" s="384"/>
      <c r="I2027" s="384"/>
      <c r="J2027" s="378"/>
      <c r="AG2027" s="22"/>
      <c r="AH2027" s="22"/>
      <c r="AI2027" s="22"/>
      <c r="AJ2027" s="22"/>
      <c r="AK2027" s="22"/>
      <c r="AL2027" s="22"/>
      <c r="AM2027" s="22"/>
      <c r="AN2027" s="22"/>
      <c r="AO2027" s="22"/>
      <c r="AP2027" s="22"/>
    </row>
    <row r="2028" ht="25.5" customHeight="1">
      <c r="H2028" s="384"/>
      <c r="I2028" s="384"/>
      <c r="J2028" s="378"/>
      <c r="AG2028" s="22"/>
      <c r="AH2028" s="22"/>
      <c r="AI2028" s="22"/>
      <c r="AJ2028" s="22"/>
      <c r="AK2028" s="22"/>
      <c r="AL2028" s="22"/>
      <c r="AM2028" s="22"/>
      <c r="AN2028" s="22"/>
      <c r="AO2028" s="22"/>
      <c r="AP2028" s="22"/>
    </row>
    <row r="2029" ht="25.5" customHeight="1">
      <c r="H2029" s="384"/>
      <c r="I2029" s="384"/>
      <c r="J2029" s="378"/>
      <c r="AG2029" s="22"/>
      <c r="AH2029" s="22"/>
      <c r="AI2029" s="22"/>
      <c r="AJ2029" s="22"/>
      <c r="AK2029" s="22"/>
      <c r="AL2029" s="22"/>
      <c r="AM2029" s="22"/>
      <c r="AN2029" s="22"/>
      <c r="AO2029" s="22"/>
      <c r="AP2029" s="22"/>
    </row>
    <row r="2030" ht="25.5" customHeight="1">
      <c r="H2030" s="384"/>
      <c r="I2030" s="384"/>
      <c r="J2030" s="378"/>
      <c r="AG2030" s="22"/>
      <c r="AH2030" s="22"/>
      <c r="AI2030" s="22"/>
      <c r="AJ2030" s="22"/>
      <c r="AK2030" s="22"/>
      <c r="AL2030" s="22"/>
      <c r="AM2030" s="22"/>
      <c r="AN2030" s="22"/>
      <c r="AO2030" s="22"/>
      <c r="AP2030" s="22"/>
    </row>
    <row r="2031" ht="25.5" customHeight="1">
      <c r="H2031" s="384"/>
      <c r="I2031" s="384"/>
      <c r="J2031" s="378"/>
      <c r="AG2031" s="22"/>
      <c r="AH2031" s="22"/>
      <c r="AI2031" s="22"/>
      <c r="AJ2031" s="22"/>
      <c r="AK2031" s="22"/>
      <c r="AL2031" s="22"/>
      <c r="AM2031" s="22"/>
      <c r="AN2031" s="22"/>
      <c r="AO2031" s="22"/>
      <c r="AP2031" s="22"/>
    </row>
    <row r="2032" ht="25.5" customHeight="1">
      <c r="H2032" s="384"/>
      <c r="I2032" s="384"/>
      <c r="J2032" s="378"/>
      <c r="AG2032" s="22"/>
      <c r="AH2032" s="22"/>
      <c r="AI2032" s="22"/>
      <c r="AJ2032" s="22"/>
      <c r="AK2032" s="22"/>
      <c r="AL2032" s="22"/>
      <c r="AM2032" s="22"/>
      <c r="AN2032" s="22"/>
      <c r="AO2032" s="22"/>
      <c r="AP2032" s="22"/>
    </row>
    <row r="2033" ht="25.5" customHeight="1">
      <c r="H2033" s="384"/>
      <c r="I2033" s="384"/>
      <c r="J2033" s="378"/>
      <c r="AG2033" s="22"/>
      <c r="AH2033" s="22"/>
      <c r="AI2033" s="22"/>
      <c r="AJ2033" s="22"/>
      <c r="AK2033" s="22"/>
      <c r="AL2033" s="22"/>
      <c r="AM2033" s="22"/>
      <c r="AN2033" s="22"/>
      <c r="AO2033" s="22"/>
      <c r="AP2033" s="22"/>
    </row>
    <row r="2034" ht="25.5" customHeight="1">
      <c r="H2034" s="384"/>
      <c r="I2034" s="384"/>
      <c r="J2034" s="378"/>
      <c r="AG2034" s="22"/>
      <c r="AH2034" s="22"/>
      <c r="AI2034" s="22"/>
      <c r="AJ2034" s="22"/>
      <c r="AK2034" s="22"/>
      <c r="AL2034" s="22"/>
      <c r="AM2034" s="22"/>
      <c r="AN2034" s="22"/>
      <c r="AO2034" s="22"/>
      <c r="AP2034" s="22"/>
    </row>
    <row r="2035" ht="25.5" customHeight="1">
      <c r="H2035" s="384"/>
      <c r="I2035" s="384"/>
      <c r="J2035" s="378"/>
      <c r="AG2035" s="22"/>
      <c r="AH2035" s="22"/>
      <c r="AI2035" s="22"/>
      <c r="AJ2035" s="22"/>
      <c r="AK2035" s="22"/>
      <c r="AL2035" s="22"/>
      <c r="AM2035" s="22"/>
      <c r="AN2035" s="22"/>
      <c r="AO2035" s="22"/>
      <c r="AP2035" s="22"/>
    </row>
    <row r="2036" ht="25.5" customHeight="1">
      <c r="H2036" s="384"/>
      <c r="I2036" s="384"/>
      <c r="J2036" s="378"/>
      <c r="AG2036" s="22"/>
      <c r="AH2036" s="22"/>
      <c r="AI2036" s="22"/>
      <c r="AJ2036" s="22"/>
      <c r="AK2036" s="22"/>
      <c r="AL2036" s="22"/>
      <c r="AM2036" s="22"/>
      <c r="AN2036" s="22"/>
      <c r="AO2036" s="22"/>
      <c r="AP2036" s="22"/>
    </row>
    <row r="2037" ht="25.5" customHeight="1">
      <c r="H2037" s="384"/>
      <c r="I2037" s="384"/>
      <c r="J2037" s="378"/>
      <c r="AG2037" s="22"/>
      <c r="AH2037" s="22"/>
      <c r="AI2037" s="22"/>
      <c r="AJ2037" s="22"/>
      <c r="AK2037" s="22"/>
      <c r="AL2037" s="22"/>
      <c r="AM2037" s="22"/>
      <c r="AN2037" s="22"/>
      <c r="AO2037" s="22"/>
      <c r="AP2037" s="22"/>
    </row>
    <row r="2038" ht="25.5" customHeight="1">
      <c r="H2038" s="384"/>
      <c r="I2038" s="384"/>
      <c r="J2038" s="378"/>
      <c r="AG2038" s="22"/>
      <c r="AH2038" s="22"/>
      <c r="AI2038" s="22"/>
      <c r="AJ2038" s="22"/>
      <c r="AK2038" s="22"/>
      <c r="AL2038" s="22"/>
      <c r="AM2038" s="22"/>
      <c r="AN2038" s="22"/>
      <c r="AO2038" s="22"/>
      <c r="AP2038" s="22"/>
    </row>
    <row r="2039" ht="25.5" customHeight="1">
      <c r="H2039" s="384"/>
      <c r="I2039" s="384"/>
      <c r="J2039" s="378"/>
      <c r="AG2039" s="22"/>
      <c r="AH2039" s="22"/>
      <c r="AI2039" s="22"/>
      <c r="AJ2039" s="22"/>
      <c r="AK2039" s="22"/>
      <c r="AL2039" s="22"/>
      <c r="AM2039" s="22"/>
      <c r="AN2039" s="22"/>
      <c r="AO2039" s="22"/>
      <c r="AP2039" s="22"/>
    </row>
    <row r="2040" ht="25.5" customHeight="1">
      <c r="H2040" s="384"/>
      <c r="I2040" s="384"/>
      <c r="J2040" s="378"/>
      <c r="AG2040" s="22"/>
      <c r="AH2040" s="22"/>
      <c r="AI2040" s="22"/>
      <c r="AJ2040" s="22"/>
      <c r="AK2040" s="22"/>
      <c r="AL2040" s="22"/>
      <c r="AM2040" s="22"/>
      <c r="AN2040" s="22"/>
      <c r="AO2040" s="22"/>
      <c r="AP2040" s="22"/>
    </row>
    <row r="2041" ht="25.5" customHeight="1">
      <c r="H2041" s="384"/>
      <c r="I2041" s="384"/>
      <c r="J2041" s="378"/>
      <c r="AG2041" s="22"/>
      <c r="AH2041" s="22"/>
      <c r="AI2041" s="22"/>
      <c r="AJ2041" s="22"/>
      <c r="AK2041" s="22"/>
      <c r="AL2041" s="22"/>
      <c r="AM2041" s="22"/>
      <c r="AN2041" s="22"/>
      <c r="AO2041" s="22"/>
      <c r="AP2041" s="22"/>
    </row>
    <row r="2042" ht="25.5" customHeight="1">
      <c r="H2042" s="384"/>
      <c r="I2042" s="384"/>
      <c r="J2042" s="378"/>
      <c r="AG2042" s="22"/>
      <c r="AH2042" s="22"/>
      <c r="AI2042" s="22"/>
      <c r="AJ2042" s="22"/>
      <c r="AK2042" s="22"/>
      <c r="AL2042" s="22"/>
      <c r="AM2042" s="22"/>
      <c r="AN2042" s="22"/>
      <c r="AO2042" s="22"/>
      <c r="AP2042" s="22"/>
    </row>
    <row r="2043" ht="25.5" customHeight="1">
      <c r="H2043" s="384"/>
      <c r="I2043" s="384"/>
      <c r="J2043" s="378"/>
      <c r="AG2043" s="22"/>
      <c r="AH2043" s="22"/>
      <c r="AI2043" s="22"/>
      <c r="AJ2043" s="22"/>
      <c r="AK2043" s="22"/>
      <c r="AL2043" s="22"/>
      <c r="AM2043" s="22"/>
      <c r="AN2043" s="22"/>
      <c r="AO2043" s="22"/>
      <c r="AP2043" s="22"/>
    </row>
    <row r="2044" ht="25.5" customHeight="1">
      <c r="H2044" s="384"/>
      <c r="I2044" s="384"/>
      <c r="J2044" s="378"/>
      <c r="AG2044" s="22"/>
      <c r="AH2044" s="22"/>
      <c r="AI2044" s="22"/>
      <c r="AJ2044" s="22"/>
      <c r="AK2044" s="22"/>
      <c r="AL2044" s="22"/>
      <c r="AM2044" s="22"/>
      <c r="AN2044" s="22"/>
      <c r="AO2044" s="22"/>
      <c r="AP2044" s="22"/>
    </row>
    <row r="2045" ht="25.5" customHeight="1">
      <c r="H2045" s="384"/>
      <c r="I2045" s="384"/>
      <c r="J2045" s="378"/>
      <c r="AG2045" s="22"/>
      <c r="AH2045" s="22"/>
      <c r="AI2045" s="22"/>
      <c r="AJ2045" s="22"/>
      <c r="AK2045" s="22"/>
      <c r="AL2045" s="22"/>
      <c r="AM2045" s="22"/>
      <c r="AN2045" s="22"/>
      <c r="AO2045" s="22"/>
      <c r="AP2045" s="22"/>
    </row>
    <row r="2046" ht="25.5" customHeight="1">
      <c r="H2046" s="384"/>
      <c r="I2046" s="384"/>
      <c r="J2046" s="378"/>
      <c r="AG2046" s="22"/>
      <c r="AH2046" s="22"/>
      <c r="AI2046" s="22"/>
      <c r="AJ2046" s="22"/>
      <c r="AK2046" s="22"/>
      <c r="AL2046" s="22"/>
      <c r="AM2046" s="22"/>
      <c r="AN2046" s="22"/>
      <c r="AO2046" s="22"/>
      <c r="AP2046" s="22"/>
    </row>
    <row r="2047" ht="25.5" customHeight="1">
      <c r="H2047" s="384"/>
      <c r="I2047" s="384"/>
      <c r="J2047" s="378"/>
      <c r="AG2047" s="22"/>
      <c r="AH2047" s="22"/>
      <c r="AI2047" s="22"/>
      <c r="AJ2047" s="22"/>
      <c r="AK2047" s="22"/>
      <c r="AL2047" s="22"/>
      <c r="AM2047" s="22"/>
      <c r="AN2047" s="22"/>
      <c r="AO2047" s="22"/>
      <c r="AP2047" s="22"/>
    </row>
    <row r="2048" ht="25.5" customHeight="1">
      <c r="H2048" s="384"/>
      <c r="I2048" s="384"/>
      <c r="J2048" s="378"/>
      <c r="AG2048" s="22"/>
      <c r="AH2048" s="22"/>
      <c r="AI2048" s="22"/>
      <c r="AJ2048" s="22"/>
      <c r="AK2048" s="22"/>
      <c r="AL2048" s="22"/>
      <c r="AM2048" s="22"/>
      <c r="AN2048" s="22"/>
      <c r="AO2048" s="22"/>
      <c r="AP2048" s="22"/>
    </row>
    <row r="2049" ht="25.5" customHeight="1">
      <c r="H2049" s="384"/>
      <c r="I2049" s="384"/>
      <c r="J2049" s="378"/>
      <c r="AG2049" s="22"/>
      <c r="AH2049" s="22"/>
      <c r="AI2049" s="22"/>
      <c r="AJ2049" s="22"/>
      <c r="AK2049" s="22"/>
      <c r="AL2049" s="22"/>
      <c r="AM2049" s="22"/>
      <c r="AN2049" s="22"/>
      <c r="AO2049" s="22"/>
      <c r="AP2049" s="22"/>
    </row>
    <row r="2050" ht="25.5" customHeight="1">
      <c r="H2050" s="384"/>
      <c r="I2050" s="384"/>
      <c r="J2050" s="378"/>
      <c r="AG2050" s="22"/>
      <c r="AH2050" s="22"/>
      <c r="AI2050" s="22"/>
      <c r="AJ2050" s="22"/>
      <c r="AK2050" s="22"/>
      <c r="AL2050" s="22"/>
      <c r="AM2050" s="22"/>
      <c r="AN2050" s="22"/>
      <c r="AO2050" s="22"/>
      <c r="AP2050" s="22"/>
    </row>
    <row r="2051" ht="25.5" customHeight="1">
      <c r="H2051" s="384"/>
      <c r="I2051" s="384"/>
      <c r="J2051" s="378"/>
      <c r="AG2051" s="22"/>
      <c r="AH2051" s="22"/>
      <c r="AI2051" s="22"/>
      <c r="AJ2051" s="22"/>
      <c r="AK2051" s="22"/>
      <c r="AL2051" s="22"/>
      <c r="AM2051" s="22"/>
      <c r="AN2051" s="22"/>
      <c r="AO2051" s="22"/>
      <c r="AP2051" s="22"/>
    </row>
    <row r="2052" ht="25.5" customHeight="1">
      <c r="H2052" s="384"/>
      <c r="I2052" s="384"/>
      <c r="J2052" s="378"/>
      <c r="AG2052" s="22"/>
      <c r="AH2052" s="22"/>
      <c r="AI2052" s="22"/>
      <c r="AJ2052" s="22"/>
      <c r="AK2052" s="22"/>
      <c r="AL2052" s="22"/>
      <c r="AM2052" s="22"/>
      <c r="AN2052" s="22"/>
      <c r="AO2052" s="22"/>
      <c r="AP2052" s="22"/>
    </row>
    <row r="2053" ht="25.5" customHeight="1">
      <c r="H2053" s="384"/>
      <c r="I2053" s="384"/>
      <c r="J2053" s="378"/>
      <c r="AG2053" s="22"/>
      <c r="AH2053" s="22"/>
      <c r="AI2053" s="22"/>
      <c r="AJ2053" s="22"/>
      <c r="AK2053" s="22"/>
      <c r="AL2053" s="22"/>
      <c r="AM2053" s="22"/>
      <c r="AN2053" s="22"/>
      <c r="AO2053" s="22"/>
      <c r="AP2053" s="22"/>
    </row>
    <row r="2054" ht="25.5" customHeight="1">
      <c r="H2054" s="384"/>
      <c r="I2054" s="384"/>
      <c r="J2054" s="378"/>
      <c r="AG2054" s="22"/>
      <c r="AH2054" s="22"/>
      <c r="AI2054" s="22"/>
      <c r="AJ2054" s="22"/>
      <c r="AK2054" s="22"/>
      <c r="AL2054" s="22"/>
      <c r="AM2054" s="22"/>
      <c r="AN2054" s="22"/>
      <c r="AO2054" s="22"/>
      <c r="AP2054" s="22"/>
    </row>
    <row r="2055" ht="25.5" customHeight="1">
      <c r="H2055" s="384"/>
      <c r="I2055" s="384"/>
      <c r="J2055" s="378"/>
      <c r="AG2055" s="22"/>
      <c r="AH2055" s="22"/>
      <c r="AI2055" s="22"/>
      <c r="AJ2055" s="22"/>
      <c r="AK2055" s="22"/>
      <c r="AL2055" s="22"/>
      <c r="AM2055" s="22"/>
      <c r="AN2055" s="22"/>
      <c r="AO2055" s="22"/>
      <c r="AP2055" s="22"/>
    </row>
    <row r="2056" ht="25.5" customHeight="1">
      <c r="H2056" s="384"/>
      <c r="I2056" s="384"/>
      <c r="J2056" s="378"/>
      <c r="AG2056" s="22"/>
      <c r="AH2056" s="22"/>
      <c r="AI2056" s="22"/>
      <c r="AJ2056" s="22"/>
      <c r="AK2056" s="22"/>
      <c r="AL2056" s="22"/>
      <c r="AM2056" s="22"/>
      <c r="AN2056" s="22"/>
      <c r="AO2056" s="22"/>
      <c r="AP2056" s="22"/>
    </row>
    <row r="2057" ht="25.5" customHeight="1">
      <c r="H2057" s="384"/>
      <c r="I2057" s="384"/>
      <c r="J2057" s="378"/>
      <c r="AG2057" s="22"/>
      <c r="AH2057" s="22"/>
      <c r="AI2057" s="22"/>
      <c r="AJ2057" s="22"/>
      <c r="AK2057" s="22"/>
      <c r="AL2057" s="22"/>
      <c r="AM2057" s="22"/>
      <c r="AN2057" s="22"/>
      <c r="AO2057" s="22"/>
      <c r="AP2057" s="22"/>
    </row>
    <row r="2058" ht="25.5" customHeight="1">
      <c r="H2058" s="384"/>
      <c r="I2058" s="384"/>
      <c r="J2058" s="378"/>
      <c r="AG2058" s="22"/>
      <c r="AH2058" s="22"/>
      <c r="AI2058" s="22"/>
      <c r="AJ2058" s="22"/>
      <c r="AK2058" s="22"/>
      <c r="AL2058" s="22"/>
      <c r="AM2058" s="22"/>
      <c r="AN2058" s="22"/>
      <c r="AO2058" s="22"/>
      <c r="AP2058" s="22"/>
    </row>
    <row r="2059" ht="25.5" customHeight="1">
      <c r="H2059" s="384"/>
      <c r="I2059" s="384"/>
      <c r="J2059" s="378"/>
      <c r="AG2059" s="22"/>
      <c r="AH2059" s="22"/>
      <c r="AI2059" s="22"/>
      <c r="AJ2059" s="22"/>
      <c r="AK2059" s="22"/>
      <c r="AL2059" s="22"/>
      <c r="AM2059" s="22"/>
      <c r="AN2059" s="22"/>
      <c r="AO2059" s="22"/>
      <c r="AP2059" s="22"/>
    </row>
    <row r="2060" ht="25.5" customHeight="1">
      <c r="H2060" s="384"/>
      <c r="I2060" s="384"/>
      <c r="J2060" s="378"/>
      <c r="AG2060" s="22"/>
      <c r="AH2060" s="22"/>
      <c r="AI2060" s="22"/>
      <c r="AJ2060" s="22"/>
      <c r="AK2060" s="22"/>
      <c r="AL2060" s="22"/>
      <c r="AM2060" s="22"/>
      <c r="AN2060" s="22"/>
      <c r="AO2060" s="22"/>
      <c r="AP2060" s="22"/>
    </row>
    <row r="2061" ht="25.5" customHeight="1">
      <c r="H2061" s="384"/>
      <c r="I2061" s="384"/>
      <c r="J2061" s="378"/>
      <c r="AG2061" s="22"/>
      <c r="AH2061" s="22"/>
      <c r="AI2061" s="22"/>
      <c r="AJ2061" s="22"/>
      <c r="AK2061" s="22"/>
      <c r="AL2061" s="22"/>
      <c r="AM2061" s="22"/>
      <c r="AN2061" s="22"/>
      <c r="AO2061" s="22"/>
      <c r="AP2061" s="22"/>
    </row>
    <row r="2062" ht="25.5" customHeight="1">
      <c r="H2062" s="384"/>
      <c r="I2062" s="384"/>
      <c r="J2062" s="378"/>
      <c r="AG2062" s="22"/>
      <c r="AH2062" s="22"/>
      <c r="AI2062" s="22"/>
      <c r="AJ2062" s="22"/>
      <c r="AK2062" s="22"/>
      <c r="AL2062" s="22"/>
      <c r="AM2062" s="22"/>
      <c r="AN2062" s="22"/>
      <c r="AO2062" s="22"/>
      <c r="AP2062" s="22"/>
    </row>
    <row r="2063" ht="25.5" customHeight="1">
      <c r="H2063" s="384"/>
      <c r="I2063" s="384"/>
      <c r="J2063" s="378"/>
      <c r="AG2063" s="22"/>
      <c r="AH2063" s="22"/>
      <c r="AI2063" s="22"/>
      <c r="AJ2063" s="22"/>
      <c r="AK2063" s="22"/>
      <c r="AL2063" s="22"/>
      <c r="AM2063" s="22"/>
      <c r="AN2063" s="22"/>
      <c r="AO2063" s="22"/>
      <c r="AP2063" s="22"/>
    </row>
    <row r="2064" ht="25.5" customHeight="1">
      <c r="H2064" s="384"/>
      <c r="I2064" s="384"/>
      <c r="J2064" s="378"/>
      <c r="AG2064" s="22"/>
      <c r="AH2064" s="22"/>
      <c r="AI2064" s="22"/>
      <c r="AJ2064" s="22"/>
      <c r="AK2064" s="22"/>
      <c r="AL2064" s="22"/>
      <c r="AM2064" s="22"/>
      <c r="AN2064" s="22"/>
      <c r="AO2064" s="22"/>
      <c r="AP2064" s="22"/>
    </row>
    <row r="2065" ht="25.5" customHeight="1">
      <c r="H2065" s="384"/>
      <c r="I2065" s="384"/>
      <c r="J2065" s="378"/>
      <c r="AG2065" s="22"/>
      <c r="AH2065" s="22"/>
      <c r="AI2065" s="22"/>
      <c r="AJ2065" s="22"/>
      <c r="AK2065" s="22"/>
      <c r="AL2065" s="22"/>
      <c r="AM2065" s="22"/>
      <c r="AN2065" s="22"/>
      <c r="AO2065" s="22"/>
      <c r="AP2065" s="22"/>
    </row>
    <row r="2066" ht="25.5" customHeight="1">
      <c r="H2066" s="384"/>
      <c r="I2066" s="384"/>
      <c r="J2066" s="378"/>
      <c r="AG2066" s="22"/>
      <c r="AH2066" s="22"/>
      <c r="AI2066" s="22"/>
      <c r="AJ2066" s="22"/>
      <c r="AK2066" s="22"/>
      <c r="AL2066" s="22"/>
      <c r="AM2066" s="22"/>
      <c r="AN2066" s="22"/>
      <c r="AO2066" s="22"/>
      <c r="AP2066" s="22"/>
    </row>
    <row r="2067" ht="25.5" customHeight="1">
      <c r="H2067" s="384"/>
      <c r="I2067" s="384"/>
      <c r="J2067" s="378"/>
      <c r="AG2067" s="22"/>
      <c r="AH2067" s="22"/>
      <c r="AI2067" s="22"/>
      <c r="AJ2067" s="22"/>
      <c r="AK2067" s="22"/>
      <c r="AL2067" s="22"/>
      <c r="AM2067" s="22"/>
      <c r="AN2067" s="22"/>
      <c r="AO2067" s="22"/>
      <c r="AP2067" s="22"/>
    </row>
    <row r="2068" ht="25.5" customHeight="1">
      <c r="H2068" s="384"/>
      <c r="I2068" s="384"/>
      <c r="J2068" s="378"/>
      <c r="AG2068" s="22"/>
      <c r="AH2068" s="22"/>
      <c r="AI2068" s="22"/>
      <c r="AJ2068" s="22"/>
      <c r="AK2068" s="22"/>
      <c r="AL2068" s="22"/>
      <c r="AM2068" s="22"/>
      <c r="AN2068" s="22"/>
      <c r="AO2068" s="22"/>
      <c r="AP2068" s="22"/>
    </row>
    <row r="2069" ht="25.5" customHeight="1">
      <c r="H2069" s="384"/>
      <c r="I2069" s="384"/>
      <c r="J2069" s="378"/>
      <c r="AG2069" s="22"/>
      <c r="AH2069" s="22"/>
      <c r="AI2069" s="22"/>
      <c r="AJ2069" s="22"/>
      <c r="AK2069" s="22"/>
      <c r="AL2069" s="22"/>
      <c r="AM2069" s="22"/>
      <c r="AN2069" s="22"/>
      <c r="AO2069" s="22"/>
      <c r="AP2069" s="22"/>
    </row>
    <row r="2070" ht="25.5" customHeight="1">
      <c r="H2070" s="384"/>
      <c r="I2070" s="384"/>
      <c r="J2070" s="378"/>
      <c r="AG2070" s="22"/>
      <c r="AH2070" s="22"/>
      <c r="AI2070" s="22"/>
      <c r="AJ2070" s="22"/>
      <c r="AK2070" s="22"/>
      <c r="AL2070" s="22"/>
      <c r="AM2070" s="22"/>
      <c r="AN2070" s="22"/>
      <c r="AO2070" s="22"/>
      <c r="AP2070" s="22"/>
    </row>
    <row r="2071" ht="25.5" customHeight="1">
      <c r="H2071" s="384"/>
      <c r="I2071" s="384"/>
      <c r="J2071" s="378"/>
      <c r="AG2071" s="22"/>
      <c r="AH2071" s="22"/>
      <c r="AI2071" s="22"/>
      <c r="AJ2071" s="22"/>
      <c r="AK2071" s="22"/>
      <c r="AL2071" s="22"/>
      <c r="AM2071" s="22"/>
      <c r="AN2071" s="22"/>
      <c r="AO2071" s="22"/>
      <c r="AP2071" s="22"/>
    </row>
    <row r="2072" ht="25.5" customHeight="1">
      <c r="H2072" s="384"/>
      <c r="I2072" s="384"/>
      <c r="J2072" s="378"/>
      <c r="AG2072" s="22"/>
      <c r="AH2072" s="22"/>
      <c r="AI2072" s="22"/>
      <c r="AJ2072" s="22"/>
      <c r="AK2072" s="22"/>
      <c r="AL2072" s="22"/>
      <c r="AM2072" s="22"/>
      <c r="AN2072" s="22"/>
      <c r="AO2072" s="22"/>
      <c r="AP2072" s="22"/>
    </row>
    <row r="2073" ht="25.5" customHeight="1">
      <c r="H2073" s="384"/>
      <c r="I2073" s="384"/>
      <c r="J2073" s="378"/>
      <c r="AG2073" s="22"/>
      <c r="AH2073" s="22"/>
      <c r="AI2073" s="22"/>
      <c r="AJ2073" s="22"/>
      <c r="AK2073" s="22"/>
      <c r="AL2073" s="22"/>
      <c r="AM2073" s="22"/>
      <c r="AN2073" s="22"/>
      <c r="AO2073" s="22"/>
      <c r="AP2073" s="22"/>
    </row>
    <row r="2074" ht="25.5" customHeight="1">
      <c r="H2074" s="384"/>
      <c r="I2074" s="384"/>
      <c r="J2074" s="378"/>
      <c r="AG2074" s="22"/>
      <c r="AH2074" s="22"/>
      <c r="AI2074" s="22"/>
      <c r="AJ2074" s="22"/>
      <c r="AK2074" s="22"/>
      <c r="AL2074" s="22"/>
      <c r="AM2074" s="22"/>
      <c r="AN2074" s="22"/>
      <c r="AO2074" s="22"/>
      <c r="AP2074" s="22"/>
    </row>
    <row r="2075" ht="25.5" customHeight="1">
      <c r="H2075" s="384"/>
      <c r="I2075" s="384"/>
      <c r="J2075" s="378"/>
      <c r="AG2075" s="22"/>
      <c r="AH2075" s="22"/>
      <c r="AI2075" s="22"/>
      <c r="AJ2075" s="22"/>
      <c r="AK2075" s="22"/>
      <c r="AL2075" s="22"/>
      <c r="AM2075" s="22"/>
      <c r="AN2075" s="22"/>
      <c r="AO2075" s="22"/>
      <c r="AP2075" s="22"/>
    </row>
    <row r="2076" ht="25.5" customHeight="1">
      <c r="H2076" s="384"/>
      <c r="I2076" s="384"/>
      <c r="J2076" s="378"/>
      <c r="AG2076" s="22"/>
      <c r="AH2076" s="22"/>
      <c r="AI2076" s="22"/>
      <c r="AJ2076" s="22"/>
      <c r="AK2076" s="22"/>
      <c r="AL2076" s="22"/>
      <c r="AM2076" s="22"/>
      <c r="AN2076" s="22"/>
      <c r="AO2076" s="22"/>
      <c r="AP2076" s="22"/>
    </row>
    <row r="2077" ht="25.5" customHeight="1">
      <c r="H2077" s="384"/>
      <c r="I2077" s="384"/>
      <c r="J2077" s="378"/>
      <c r="AG2077" s="22"/>
      <c r="AH2077" s="22"/>
      <c r="AI2077" s="22"/>
      <c r="AJ2077" s="22"/>
      <c r="AK2077" s="22"/>
      <c r="AL2077" s="22"/>
      <c r="AM2077" s="22"/>
      <c r="AN2077" s="22"/>
      <c r="AO2077" s="22"/>
      <c r="AP2077" s="22"/>
    </row>
    <row r="2078" ht="25.5" customHeight="1">
      <c r="H2078" s="384"/>
      <c r="I2078" s="384"/>
      <c r="J2078" s="378"/>
      <c r="AG2078" s="22"/>
      <c r="AH2078" s="22"/>
      <c r="AI2078" s="22"/>
      <c r="AJ2078" s="22"/>
      <c r="AK2078" s="22"/>
      <c r="AL2078" s="22"/>
      <c r="AM2078" s="22"/>
      <c r="AN2078" s="22"/>
      <c r="AO2078" s="22"/>
      <c r="AP2078" s="22"/>
    </row>
    <row r="2079" ht="25.5" customHeight="1">
      <c r="H2079" s="384"/>
      <c r="I2079" s="384"/>
      <c r="J2079" s="378"/>
      <c r="AG2079" s="22"/>
      <c r="AH2079" s="22"/>
      <c r="AI2079" s="22"/>
      <c r="AJ2079" s="22"/>
      <c r="AK2079" s="22"/>
      <c r="AL2079" s="22"/>
      <c r="AM2079" s="22"/>
      <c r="AN2079" s="22"/>
      <c r="AO2079" s="22"/>
      <c r="AP2079" s="22"/>
    </row>
    <row r="2080" ht="25.5" customHeight="1">
      <c r="H2080" s="384"/>
      <c r="I2080" s="384"/>
      <c r="J2080" s="378"/>
      <c r="AG2080" s="22"/>
      <c r="AH2080" s="22"/>
      <c r="AI2080" s="22"/>
      <c r="AJ2080" s="22"/>
      <c r="AK2080" s="22"/>
      <c r="AL2080" s="22"/>
      <c r="AM2080" s="22"/>
      <c r="AN2080" s="22"/>
      <c r="AO2080" s="22"/>
      <c r="AP2080" s="22"/>
    </row>
    <row r="2081" ht="25.5" customHeight="1">
      <c r="H2081" s="384"/>
      <c r="I2081" s="384"/>
      <c r="J2081" s="378"/>
      <c r="AG2081" s="22"/>
      <c r="AH2081" s="22"/>
      <c r="AI2081" s="22"/>
      <c r="AJ2081" s="22"/>
      <c r="AK2081" s="22"/>
      <c r="AL2081" s="22"/>
      <c r="AM2081" s="22"/>
      <c r="AN2081" s="22"/>
      <c r="AO2081" s="22"/>
      <c r="AP2081" s="22"/>
    </row>
    <row r="2082" ht="25.5" customHeight="1">
      <c r="H2082" s="384"/>
      <c r="I2082" s="384"/>
      <c r="J2082" s="378"/>
      <c r="AG2082" s="22"/>
      <c r="AH2082" s="22"/>
      <c r="AI2082" s="22"/>
      <c r="AJ2082" s="22"/>
      <c r="AK2082" s="22"/>
      <c r="AL2082" s="22"/>
      <c r="AM2082" s="22"/>
      <c r="AN2082" s="22"/>
      <c r="AO2082" s="22"/>
      <c r="AP2082" s="22"/>
    </row>
    <row r="2083" ht="25.5" customHeight="1">
      <c r="H2083" s="384"/>
      <c r="I2083" s="384"/>
      <c r="J2083" s="378"/>
      <c r="AG2083" s="22"/>
      <c r="AH2083" s="22"/>
      <c r="AI2083" s="22"/>
      <c r="AJ2083" s="22"/>
      <c r="AK2083" s="22"/>
      <c r="AL2083" s="22"/>
      <c r="AM2083" s="22"/>
      <c r="AN2083" s="22"/>
      <c r="AO2083" s="22"/>
      <c r="AP2083" s="22"/>
    </row>
    <row r="2084" ht="25.5" customHeight="1">
      <c r="H2084" s="384"/>
      <c r="I2084" s="384"/>
      <c r="J2084" s="378"/>
      <c r="AG2084" s="22"/>
      <c r="AH2084" s="22"/>
      <c r="AI2084" s="22"/>
      <c r="AJ2084" s="22"/>
      <c r="AK2084" s="22"/>
      <c r="AL2084" s="22"/>
      <c r="AM2084" s="22"/>
      <c r="AN2084" s="22"/>
      <c r="AO2084" s="22"/>
      <c r="AP2084" s="22"/>
    </row>
    <row r="2085" ht="25.5" customHeight="1">
      <c r="H2085" s="384"/>
      <c r="I2085" s="384"/>
      <c r="J2085" s="378"/>
      <c r="AG2085" s="22"/>
      <c r="AH2085" s="22"/>
      <c r="AI2085" s="22"/>
      <c r="AJ2085" s="22"/>
      <c r="AK2085" s="22"/>
      <c r="AL2085" s="22"/>
      <c r="AM2085" s="22"/>
      <c r="AN2085" s="22"/>
      <c r="AO2085" s="22"/>
      <c r="AP2085" s="22"/>
    </row>
    <row r="2086" ht="25.5" customHeight="1">
      <c r="H2086" s="384"/>
      <c r="I2086" s="384"/>
      <c r="J2086" s="378"/>
      <c r="AG2086" s="22"/>
      <c r="AH2086" s="22"/>
      <c r="AI2086" s="22"/>
      <c r="AJ2086" s="22"/>
      <c r="AK2086" s="22"/>
      <c r="AL2086" s="22"/>
      <c r="AM2086" s="22"/>
      <c r="AN2086" s="22"/>
      <c r="AO2086" s="22"/>
      <c r="AP2086" s="22"/>
    </row>
    <row r="2087" ht="25.5" customHeight="1">
      <c r="H2087" s="384"/>
      <c r="I2087" s="384"/>
      <c r="J2087" s="378"/>
      <c r="AG2087" s="22"/>
      <c r="AH2087" s="22"/>
      <c r="AI2087" s="22"/>
      <c r="AJ2087" s="22"/>
      <c r="AK2087" s="22"/>
      <c r="AL2087" s="22"/>
      <c r="AM2087" s="22"/>
      <c r="AN2087" s="22"/>
      <c r="AO2087" s="22"/>
      <c r="AP2087" s="22"/>
    </row>
    <row r="2088" ht="25.5" customHeight="1">
      <c r="H2088" s="384"/>
      <c r="I2088" s="384"/>
      <c r="J2088" s="378"/>
      <c r="AG2088" s="22"/>
      <c r="AH2088" s="22"/>
      <c r="AI2088" s="22"/>
      <c r="AJ2088" s="22"/>
      <c r="AK2088" s="22"/>
      <c r="AL2088" s="22"/>
      <c r="AM2088" s="22"/>
      <c r="AN2088" s="22"/>
      <c r="AO2088" s="22"/>
      <c r="AP2088" s="22"/>
    </row>
    <row r="2089" ht="25.5" customHeight="1">
      <c r="H2089" s="384"/>
      <c r="I2089" s="384"/>
      <c r="J2089" s="378"/>
      <c r="AG2089" s="22"/>
      <c r="AH2089" s="22"/>
      <c r="AI2089" s="22"/>
      <c r="AJ2089" s="22"/>
      <c r="AK2089" s="22"/>
      <c r="AL2089" s="22"/>
      <c r="AM2089" s="22"/>
      <c r="AN2089" s="22"/>
      <c r="AO2089" s="22"/>
      <c r="AP2089" s="22"/>
    </row>
    <row r="2090" ht="25.5" customHeight="1">
      <c r="H2090" s="384"/>
      <c r="I2090" s="384"/>
      <c r="J2090" s="378"/>
      <c r="AG2090" s="22"/>
      <c r="AH2090" s="22"/>
      <c r="AI2090" s="22"/>
      <c r="AJ2090" s="22"/>
      <c r="AK2090" s="22"/>
      <c r="AL2090" s="22"/>
      <c r="AM2090" s="22"/>
      <c r="AN2090" s="22"/>
      <c r="AO2090" s="22"/>
      <c r="AP2090" s="22"/>
    </row>
    <row r="2091" ht="25.5" customHeight="1">
      <c r="H2091" s="384"/>
      <c r="I2091" s="384"/>
      <c r="J2091" s="378"/>
      <c r="AG2091" s="22"/>
      <c r="AH2091" s="22"/>
      <c r="AI2091" s="22"/>
      <c r="AJ2091" s="22"/>
      <c r="AK2091" s="22"/>
      <c r="AL2091" s="22"/>
      <c r="AM2091" s="22"/>
      <c r="AN2091" s="22"/>
      <c r="AO2091" s="22"/>
      <c r="AP2091" s="22"/>
    </row>
    <row r="2092" ht="25.5" customHeight="1">
      <c r="H2092" s="384"/>
      <c r="I2092" s="384"/>
      <c r="J2092" s="378"/>
      <c r="AG2092" s="22"/>
      <c r="AH2092" s="22"/>
      <c r="AI2092" s="22"/>
      <c r="AJ2092" s="22"/>
      <c r="AK2092" s="22"/>
      <c r="AL2092" s="22"/>
      <c r="AM2092" s="22"/>
      <c r="AN2092" s="22"/>
      <c r="AO2092" s="22"/>
      <c r="AP2092" s="22"/>
    </row>
    <row r="2093" ht="25.5" customHeight="1">
      <c r="H2093" s="384"/>
      <c r="I2093" s="384"/>
      <c r="J2093" s="378"/>
      <c r="AG2093" s="22"/>
      <c r="AH2093" s="22"/>
      <c r="AI2093" s="22"/>
      <c r="AJ2093" s="22"/>
      <c r="AK2093" s="22"/>
      <c r="AL2093" s="22"/>
      <c r="AM2093" s="22"/>
      <c r="AN2093" s="22"/>
      <c r="AO2093" s="22"/>
      <c r="AP2093" s="22"/>
    </row>
    <row r="2094" ht="25.5" customHeight="1">
      <c r="H2094" s="384"/>
      <c r="I2094" s="384"/>
      <c r="J2094" s="378"/>
      <c r="AG2094" s="22"/>
      <c r="AH2094" s="22"/>
      <c r="AI2094" s="22"/>
      <c r="AJ2094" s="22"/>
      <c r="AK2094" s="22"/>
      <c r="AL2094" s="22"/>
      <c r="AM2094" s="22"/>
      <c r="AN2094" s="22"/>
      <c r="AO2094" s="22"/>
      <c r="AP2094" s="22"/>
    </row>
    <row r="2095" ht="25.5" customHeight="1">
      <c r="H2095" s="384"/>
      <c r="I2095" s="384"/>
      <c r="J2095" s="378"/>
      <c r="AG2095" s="22"/>
      <c r="AH2095" s="22"/>
      <c r="AI2095" s="22"/>
      <c r="AJ2095" s="22"/>
      <c r="AK2095" s="22"/>
      <c r="AL2095" s="22"/>
      <c r="AM2095" s="22"/>
      <c r="AN2095" s="22"/>
      <c r="AO2095" s="22"/>
      <c r="AP2095" s="22"/>
    </row>
    <row r="2096" ht="25.5" customHeight="1">
      <c r="H2096" s="384"/>
      <c r="I2096" s="384"/>
      <c r="J2096" s="378"/>
      <c r="AG2096" s="22"/>
      <c r="AH2096" s="22"/>
      <c r="AI2096" s="22"/>
      <c r="AJ2096" s="22"/>
      <c r="AK2096" s="22"/>
      <c r="AL2096" s="22"/>
      <c r="AM2096" s="22"/>
      <c r="AN2096" s="22"/>
      <c r="AO2096" s="22"/>
      <c r="AP2096" s="22"/>
    </row>
    <row r="2097" ht="25.5" customHeight="1">
      <c r="H2097" s="384"/>
      <c r="I2097" s="384"/>
      <c r="J2097" s="378"/>
      <c r="AG2097" s="22"/>
      <c r="AH2097" s="22"/>
      <c r="AI2097" s="22"/>
      <c r="AJ2097" s="22"/>
      <c r="AK2097" s="22"/>
      <c r="AL2097" s="22"/>
      <c r="AM2097" s="22"/>
      <c r="AN2097" s="22"/>
      <c r="AO2097" s="22"/>
      <c r="AP2097" s="22"/>
    </row>
    <row r="2098" ht="25.5" customHeight="1">
      <c r="H2098" s="384"/>
      <c r="I2098" s="384"/>
      <c r="J2098" s="378"/>
      <c r="AG2098" s="22"/>
      <c r="AH2098" s="22"/>
      <c r="AI2098" s="22"/>
      <c r="AJ2098" s="22"/>
      <c r="AK2098" s="22"/>
      <c r="AL2098" s="22"/>
      <c r="AM2098" s="22"/>
      <c r="AN2098" s="22"/>
      <c r="AO2098" s="22"/>
      <c r="AP2098" s="22"/>
    </row>
    <row r="2099" ht="25.5" customHeight="1">
      <c r="H2099" s="384"/>
      <c r="I2099" s="384"/>
      <c r="J2099" s="378"/>
      <c r="AG2099" s="22"/>
      <c r="AH2099" s="22"/>
      <c r="AI2099" s="22"/>
      <c r="AJ2099" s="22"/>
      <c r="AK2099" s="22"/>
      <c r="AL2099" s="22"/>
      <c r="AM2099" s="22"/>
      <c r="AN2099" s="22"/>
      <c r="AO2099" s="22"/>
      <c r="AP2099" s="22"/>
    </row>
    <row r="2100" ht="25.5" customHeight="1">
      <c r="H2100" s="384"/>
      <c r="I2100" s="384"/>
      <c r="J2100" s="378"/>
      <c r="AG2100" s="22"/>
      <c r="AH2100" s="22"/>
      <c r="AI2100" s="22"/>
      <c r="AJ2100" s="22"/>
      <c r="AK2100" s="22"/>
      <c r="AL2100" s="22"/>
      <c r="AM2100" s="22"/>
      <c r="AN2100" s="22"/>
      <c r="AO2100" s="22"/>
      <c r="AP2100" s="22"/>
    </row>
    <row r="2101" ht="25.5" customHeight="1">
      <c r="H2101" s="384"/>
      <c r="I2101" s="384"/>
      <c r="J2101" s="378"/>
      <c r="AG2101" s="22"/>
      <c r="AH2101" s="22"/>
      <c r="AI2101" s="22"/>
      <c r="AJ2101" s="22"/>
      <c r="AK2101" s="22"/>
      <c r="AL2101" s="22"/>
      <c r="AM2101" s="22"/>
      <c r="AN2101" s="22"/>
      <c r="AO2101" s="22"/>
      <c r="AP2101" s="22"/>
    </row>
    <row r="2102" ht="25.5" customHeight="1">
      <c r="H2102" s="384"/>
      <c r="I2102" s="384"/>
      <c r="J2102" s="378"/>
      <c r="AG2102" s="22"/>
      <c r="AH2102" s="22"/>
      <c r="AI2102" s="22"/>
      <c r="AJ2102" s="22"/>
      <c r="AK2102" s="22"/>
      <c r="AL2102" s="22"/>
      <c r="AM2102" s="22"/>
      <c r="AN2102" s="22"/>
      <c r="AO2102" s="22"/>
      <c r="AP2102" s="22"/>
    </row>
    <row r="2103" ht="25.5" customHeight="1">
      <c r="H2103" s="384"/>
      <c r="I2103" s="384"/>
      <c r="J2103" s="378"/>
      <c r="AG2103" s="22"/>
      <c r="AH2103" s="22"/>
      <c r="AI2103" s="22"/>
      <c r="AJ2103" s="22"/>
      <c r="AK2103" s="22"/>
      <c r="AL2103" s="22"/>
      <c r="AM2103" s="22"/>
      <c r="AN2103" s="22"/>
      <c r="AO2103" s="22"/>
      <c r="AP2103" s="22"/>
    </row>
    <row r="2104" ht="25.5" customHeight="1">
      <c r="H2104" s="384"/>
      <c r="I2104" s="384"/>
      <c r="J2104" s="378"/>
      <c r="AG2104" s="22"/>
      <c r="AH2104" s="22"/>
      <c r="AI2104" s="22"/>
      <c r="AJ2104" s="22"/>
      <c r="AK2104" s="22"/>
      <c r="AL2104" s="22"/>
      <c r="AM2104" s="22"/>
      <c r="AN2104" s="22"/>
      <c r="AO2104" s="22"/>
      <c r="AP2104" s="22"/>
    </row>
    <row r="2105" ht="25.5" customHeight="1">
      <c r="H2105" s="384"/>
      <c r="I2105" s="384"/>
      <c r="J2105" s="378"/>
      <c r="AG2105" s="22"/>
      <c r="AH2105" s="22"/>
      <c r="AI2105" s="22"/>
      <c r="AJ2105" s="22"/>
      <c r="AK2105" s="22"/>
      <c r="AL2105" s="22"/>
      <c r="AM2105" s="22"/>
      <c r="AN2105" s="22"/>
      <c r="AO2105" s="22"/>
      <c r="AP2105" s="22"/>
    </row>
    <row r="2106" ht="25.5" customHeight="1">
      <c r="H2106" s="384"/>
      <c r="I2106" s="384"/>
      <c r="J2106" s="378"/>
      <c r="AG2106" s="22"/>
      <c r="AH2106" s="22"/>
      <c r="AI2106" s="22"/>
      <c r="AJ2106" s="22"/>
      <c r="AK2106" s="22"/>
      <c r="AL2106" s="22"/>
      <c r="AM2106" s="22"/>
      <c r="AN2106" s="22"/>
      <c r="AO2106" s="22"/>
      <c r="AP2106" s="22"/>
    </row>
    <row r="2107" ht="25.5" customHeight="1">
      <c r="H2107" s="384"/>
      <c r="I2107" s="384"/>
      <c r="J2107" s="378"/>
      <c r="AG2107" s="22"/>
      <c r="AH2107" s="22"/>
      <c r="AI2107" s="22"/>
      <c r="AJ2107" s="22"/>
      <c r="AK2107" s="22"/>
      <c r="AL2107" s="22"/>
      <c r="AM2107" s="22"/>
      <c r="AN2107" s="22"/>
      <c r="AO2107" s="22"/>
      <c r="AP2107" s="22"/>
    </row>
    <row r="2108" ht="25.5" customHeight="1">
      <c r="H2108" s="384"/>
      <c r="I2108" s="384"/>
      <c r="J2108" s="378"/>
      <c r="AG2108" s="22"/>
      <c r="AH2108" s="22"/>
      <c r="AI2108" s="22"/>
      <c r="AJ2108" s="22"/>
      <c r="AK2108" s="22"/>
      <c r="AL2108" s="22"/>
      <c r="AM2108" s="22"/>
      <c r="AN2108" s="22"/>
      <c r="AO2108" s="22"/>
      <c r="AP2108" s="22"/>
    </row>
    <row r="2109" ht="25.5" customHeight="1">
      <c r="H2109" s="384"/>
      <c r="I2109" s="384"/>
      <c r="J2109" s="378"/>
      <c r="AG2109" s="22"/>
      <c r="AH2109" s="22"/>
      <c r="AI2109" s="22"/>
      <c r="AJ2109" s="22"/>
      <c r="AK2109" s="22"/>
      <c r="AL2109" s="22"/>
      <c r="AM2109" s="22"/>
      <c r="AN2109" s="22"/>
      <c r="AO2109" s="22"/>
      <c r="AP2109" s="22"/>
    </row>
    <row r="2110" ht="25.5" customHeight="1">
      <c r="H2110" s="384"/>
      <c r="I2110" s="384"/>
      <c r="J2110" s="378"/>
      <c r="AG2110" s="22"/>
      <c r="AH2110" s="22"/>
      <c r="AI2110" s="22"/>
      <c r="AJ2110" s="22"/>
      <c r="AK2110" s="22"/>
      <c r="AL2110" s="22"/>
      <c r="AM2110" s="22"/>
      <c r="AN2110" s="22"/>
      <c r="AO2110" s="22"/>
      <c r="AP2110" s="22"/>
    </row>
    <row r="2111" ht="25.5" customHeight="1">
      <c r="H2111" s="384"/>
      <c r="I2111" s="384"/>
      <c r="J2111" s="378"/>
      <c r="AG2111" s="22"/>
      <c r="AH2111" s="22"/>
      <c r="AI2111" s="22"/>
      <c r="AJ2111" s="22"/>
      <c r="AK2111" s="22"/>
      <c r="AL2111" s="22"/>
      <c r="AM2111" s="22"/>
      <c r="AN2111" s="22"/>
      <c r="AO2111" s="22"/>
      <c r="AP2111" s="22"/>
    </row>
    <row r="2112" ht="25.5" customHeight="1">
      <c r="H2112" s="384"/>
      <c r="I2112" s="384"/>
      <c r="J2112" s="378"/>
      <c r="AG2112" s="22"/>
      <c r="AH2112" s="22"/>
      <c r="AI2112" s="22"/>
      <c r="AJ2112" s="22"/>
      <c r="AK2112" s="22"/>
      <c r="AL2112" s="22"/>
      <c r="AM2112" s="22"/>
      <c r="AN2112" s="22"/>
      <c r="AO2112" s="22"/>
      <c r="AP2112" s="22"/>
    </row>
    <row r="2113" ht="25.5" customHeight="1">
      <c r="H2113" s="384"/>
      <c r="I2113" s="384"/>
      <c r="J2113" s="378"/>
      <c r="AG2113" s="22"/>
      <c r="AH2113" s="22"/>
      <c r="AI2113" s="22"/>
      <c r="AJ2113" s="22"/>
      <c r="AK2113" s="22"/>
      <c r="AL2113" s="22"/>
      <c r="AM2113" s="22"/>
      <c r="AN2113" s="22"/>
      <c r="AO2113" s="22"/>
      <c r="AP2113" s="22"/>
    </row>
    <row r="2114" ht="25.5" customHeight="1">
      <c r="H2114" s="384"/>
      <c r="I2114" s="384"/>
      <c r="J2114" s="378"/>
      <c r="AG2114" s="22"/>
      <c r="AH2114" s="22"/>
      <c r="AI2114" s="22"/>
      <c r="AJ2114" s="22"/>
      <c r="AK2114" s="22"/>
      <c r="AL2114" s="22"/>
      <c r="AM2114" s="22"/>
      <c r="AN2114" s="22"/>
      <c r="AO2114" s="22"/>
      <c r="AP2114" s="22"/>
    </row>
    <row r="2115" ht="25.5" customHeight="1">
      <c r="H2115" s="384"/>
      <c r="I2115" s="384"/>
      <c r="J2115" s="378"/>
      <c r="AG2115" s="22"/>
      <c r="AH2115" s="22"/>
      <c r="AI2115" s="22"/>
      <c r="AJ2115" s="22"/>
      <c r="AK2115" s="22"/>
      <c r="AL2115" s="22"/>
      <c r="AM2115" s="22"/>
      <c r="AN2115" s="22"/>
      <c r="AO2115" s="22"/>
      <c r="AP2115" s="22"/>
    </row>
    <row r="2116" ht="25.5" customHeight="1">
      <c r="H2116" s="384"/>
      <c r="I2116" s="384"/>
      <c r="J2116" s="378"/>
      <c r="AG2116" s="22"/>
      <c r="AH2116" s="22"/>
      <c r="AI2116" s="22"/>
      <c r="AJ2116" s="22"/>
      <c r="AK2116" s="22"/>
      <c r="AL2116" s="22"/>
      <c r="AM2116" s="22"/>
      <c r="AN2116" s="22"/>
      <c r="AO2116" s="22"/>
      <c r="AP2116" s="22"/>
    </row>
    <row r="2117" ht="25.5" customHeight="1">
      <c r="H2117" s="384"/>
      <c r="I2117" s="384"/>
      <c r="J2117" s="378"/>
      <c r="AG2117" s="22"/>
      <c r="AH2117" s="22"/>
      <c r="AI2117" s="22"/>
      <c r="AJ2117" s="22"/>
      <c r="AK2117" s="22"/>
      <c r="AL2117" s="22"/>
      <c r="AM2117" s="22"/>
      <c r="AN2117" s="22"/>
      <c r="AO2117" s="22"/>
      <c r="AP2117" s="22"/>
    </row>
    <row r="2118" ht="25.5" customHeight="1">
      <c r="H2118" s="384"/>
      <c r="I2118" s="384"/>
      <c r="J2118" s="378"/>
      <c r="AG2118" s="22"/>
      <c r="AH2118" s="22"/>
      <c r="AI2118" s="22"/>
      <c r="AJ2118" s="22"/>
      <c r="AK2118" s="22"/>
      <c r="AL2118" s="22"/>
      <c r="AM2118" s="22"/>
      <c r="AN2118" s="22"/>
      <c r="AO2118" s="22"/>
      <c r="AP2118" s="22"/>
    </row>
    <row r="2119" ht="25.5" customHeight="1">
      <c r="H2119" s="384"/>
      <c r="I2119" s="384"/>
      <c r="J2119" s="378"/>
      <c r="AG2119" s="22"/>
      <c r="AH2119" s="22"/>
      <c r="AI2119" s="22"/>
      <c r="AJ2119" s="22"/>
      <c r="AK2119" s="22"/>
      <c r="AL2119" s="22"/>
      <c r="AM2119" s="22"/>
      <c r="AN2119" s="22"/>
      <c r="AO2119" s="22"/>
      <c r="AP2119" s="22"/>
    </row>
    <row r="2120" ht="25.5" customHeight="1">
      <c r="H2120" s="384"/>
      <c r="I2120" s="384"/>
      <c r="J2120" s="378"/>
      <c r="AG2120" s="22"/>
      <c r="AH2120" s="22"/>
      <c r="AI2120" s="22"/>
      <c r="AJ2120" s="22"/>
      <c r="AK2120" s="22"/>
      <c r="AL2120" s="22"/>
      <c r="AM2120" s="22"/>
      <c r="AN2120" s="22"/>
      <c r="AO2120" s="22"/>
      <c r="AP2120" s="22"/>
    </row>
    <row r="2121" ht="25.5" customHeight="1">
      <c r="H2121" s="384"/>
      <c r="I2121" s="384"/>
      <c r="J2121" s="378"/>
      <c r="AG2121" s="22"/>
      <c r="AH2121" s="22"/>
      <c r="AI2121" s="22"/>
      <c r="AJ2121" s="22"/>
      <c r="AK2121" s="22"/>
      <c r="AL2121" s="22"/>
      <c r="AM2121" s="22"/>
      <c r="AN2121" s="22"/>
      <c r="AO2121" s="22"/>
      <c r="AP2121" s="22"/>
    </row>
    <row r="2122" ht="25.5" customHeight="1">
      <c r="H2122" s="384"/>
      <c r="I2122" s="384"/>
      <c r="J2122" s="378"/>
      <c r="AG2122" s="22"/>
      <c r="AH2122" s="22"/>
      <c r="AI2122" s="22"/>
      <c r="AJ2122" s="22"/>
      <c r="AK2122" s="22"/>
      <c r="AL2122" s="22"/>
      <c r="AM2122" s="22"/>
      <c r="AN2122" s="22"/>
      <c r="AO2122" s="22"/>
      <c r="AP2122" s="22"/>
    </row>
    <row r="2123" ht="25.5" customHeight="1">
      <c r="H2123" s="384"/>
      <c r="I2123" s="384"/>
      <c r="J2123" s="378"/>
      <c r="AG2123" s="22"/>
      <c r="AH2123" s="22"/>
      <c r="AI2123" s="22"/>
      <c r="AJ2123" s="22"/>
      <c r="AK2123" s="22"/>
      <c r="AL2123" s="22"/>
      <c r="AM2123" s="22"/>
      <c r="AN2123" s="22"/>
      <c r="AO2123" s="22"/>
      <c r="AP2123" s="22"/>
    </row>
    <row r="2124" ht="25.5" customHeight="1">
      <c r="H2124" s="384"/>
      <c r="I2124" s="384"/>
      <c r="J2124" s="378"/>
      <c r="AG2124" s="22"/>
      <c r="AH2124" s="22"/>
      <c r="AI2124" s="22"/>
      <c r="AJ2124" s="22"/>
      <c r="AK2124" s="22"/>
      <c r="AL2124" s="22"/>
      <c r="AM2124" s="22"/>
      <c r="AN2124" s="22"/>
      <c r="AO2124" s="22"/>
      <c r="AP2124" s="22"/>
    </row>
    <row r="2125" ht="25.5" customHeight="1">
      <c r="H2125" s="384"/>
      <c r="I2125" s="384"/>
      <c r="J2125" s="378"/>
      <c r="AG2125" s="22"/>
      <c r="AH2125" s="22"/>
      <c r="AI2125" s="22"/>
      <c r="AJ2125" s="22"/>
      <c r="AK2125" s="22"/>
      <c r="AL2125" s="22"/>
      <c r="AM2125" s="22"/>
      <c r="AN2125" s="22"/>
      <c r="AO2125" s="22"/>
      <c r="AP2125" s="22"/>
    </row>
    <row r="2126" ht="25.5" customHeight="1">
      <c r="H2126" s="384"/>
      <c r="I2126" s="384"/>
      <c r="J2126" s="378"/>
      <c r="AG2126" s="22"/>
      <c r="AH2126" s="22"/>
      <c r="AI2126" s="22"/>
      <c r="AJ2126" s="22"/>
      <c r="AK2126" s="22"/>
      <c r="AL2126" s="22"/>
      <c r="AM2126" s="22"/>
      <c r="AN2126" s="22"/>
      <c r="AO2126" s="22"/>
      <c r="AP2126" s="22"/>
    </row>
    <row r="2127" ht="25.5" customHeight="1">
      <c r="H2127" s="384"/>
      <c r="I2127" s="384"/>
      <c r="J2127" s="378"/>
      <c r="AG2127" s="22"/>
      <c r="AH2127" s="22"/>
      <c r="AI2127" s="22"/>
      <c r="AJ2127" s="22"/>
      <c r="AK2127" s="22"/>
      <c r="AL2127" s="22"/>
      <c r="AM2127" s="22"/>
      <c r="AN2127" s="22"/>
      <c r="AO2127" s="22"/>
      <c r="AP2127" s="22"/>
    </row>
    <row r="2128" ht="25.5" customHeight="1">
      <c r="H2128" s="384"/>
      <c r="I2128" s="384"/>
      <c r="J2128" s="378"/>
      <c r="AG2128" s="22"/>
      <c r="AH2128" s="22"/>
      <c r="AI2128" s="22"/>
      <c r="AJ2128" s="22"/>
      <c r="AK2128" s="22"/>
      <c r="AL2128" s="22"/>
      <c r="AM2128" s="22"/>
      <c r="AN2128" s="22"/>
      <c r="AO2128" s="22"/>
      <c r="AP2128" s="22"/>
    </row>
    <row r="2129" ht="25.5" customHeight="1">
      <c r="H2129" s="384"/>
      <c r="I2129" s="384"/>
      <c r="J2129" s="378"/>
      <c r="AG2129" s="22"/>
      <c r="AH2129" s="22"/>
      <c r="AI2129" s="22"/>
      <c r="AJ2129" s="22"/>
      <c r="AK2129" s="22"/>
      <c r="AL2129" s="22"/>
      <c r="AM2129" s="22"/>
      <c r="AN2129" s="22"/>
      <c r="AO2129" s="22"/>
      <c r="AP2129" s="22"/>
    </row>
    <row r="2130" ht="25.5" customHeight="1">
      <c r="H2130" s="384"/>
      <c r="I2130" s="384"/>
      <c r="J2130" s="378"/>
      <c r="AG2130" s="22"/>
      <c r="AH2130" s="22"/>
      <c r="AI2130" s="22"/>
      <c r="AJ2130" s="22"/>
      <c r="AK2130" s="22"/>
      <c r="AL2130" s="22"/>
      <c r="AM2130" s="22"/>
      <c r="AN2130" s="22"/>
      <c r="AO2130" s="22"/>
      <c r="AP2130" s="22"/>
    </row>
    <row r="2131" ht="25.5" customHeight="1">
      <c r="H2131" s="384"/>
      <c r="I2131" s="384"/>
      <c r="J2131" s="378"/>
      <c r="AG2131" s="22"/>
      <c r="AH2131" s="22"/>
      <c r="AI2131" s="22"/>
      <c r="AJ2131" s="22"/>
      <c r="AK2131" s="22"/>
      <c r="AL2131" s="22"/>
      <c r="AM2131" s="22"/>
      <c r="AN2131" s="22"/>
      <c r="AO2131" s="22"/>
      <c r="AP2131" s="22"/>
    </row>
    <row r="2132" ht="25.5" customHeight="1">
      <c r="H2132" s="384"/>
      <c r="I2132" s="384"/>
      <c r="J2132" s="378"/>
      <c r="AG2132" s="22"/>
      <c r="AH2132" s="22"/>
      <c r="AI2132" s="22"/>
      <c r="AJ2132" s="22"/>
      <c r="AK2132" s="22"/>
      <c r="AL2132" s="22"/>
      <c r="AM2132" s="22"/>
      <c r="AN2132" s="22"/>
      <c r="AO2132" s="22"/>
      <c r="AP2132" s="22"/>
    </row>
    <row r="2133" ht="25.5" customHeight="1">
      <c r="H2133" s="384"/>
      <c r="I2133" s="384"/>
      <c r="J2133" s="378"/>
      <c r="AG2133" s="22"/>
      <c r="AH2133" s="22"/>
      <c r="AI2133" s="22"/>
      <c r="AJ2133" s="22"/>
      <c r="AK2133" s="22"/>
      <c r="AL2133" s="22"/>
      <c r="AM2133" s="22"/>
      <c r="AN2133" s="22"/>
      <c r="AO2133" s="22"/>
      <c r="AP2133" s="22"/>
    </row>
    <row r="2134" ht="25.5" customHeight="1">
      <c r="H2134" s="384"/>
      <c r="I2134" s="384"/>
      <c r="J2134" s="378"/>
      <c r="AG2134" s="22"/>
      <c r="AH2134" s="22"/>
      <c r="AI2134" s="22"/>
      <c r="AJ2134" s="22"/>
      <c r="AK2134" s="22"/>
      <c r="AL2134" s="22"/>
      <c r="AM2134" s="22"/>
      <c r="AN2134" s="22"/>
      <c r="AO2134" s="22"/>
      <c r="AP2134" s="22"/>
    </row>
    <row r="2135" ht="25.5" customHeight="1">
      <c r="H2135" s="384"/>
      <c r="I2135" s="384"/>
      <c r="J2135" s="378"/>
      <c r="AG2135" s="22"/>
      <c r="AH2135" s="22"/>
      <c r="AI2135" s="22"/>
      <c r="AJ2135" s="22"/>
      <c r="AK2135" s="22"/>
      <c r="AL2135" s="22"/>
      <c r="AM2135" s="22"/>
      <c r="AN2135" s="22"/>
      <c r="AO2135" s="22"/>
      <c r="AP2135" s="22"/>
    </row>
    <row r="2136" ht="25.5" customHeight="1">
      <c r="H2136" s="384"/>
      <c r="I2136" s="384"/>
      <c r="J2136" s="378"/>
      <c r="AG2136" s="22"/>
      <c r="AH2136" s="22"/>
      <c r="AI2136" s="22"/>
      <c r="AJ2136" s="22"/>
      <c r="AK2136" s="22"/>
      <c r="AL2136" s="22"/>
      <c r="AM2136" s="22"/>
      <c r="AN2136" s="22"/>
      <c r="AO2136" s="22"/>
      <c r="AP2136" s="22"/>
    </row>
    <row r="2137" ht="25.5" customHeight="1">
      <c r="H2137" s="384"/>
      <c r="I2137" s="384"/>
      <c r="J2137" s="378"/>
      <c r="AG2137" s="22"/>
      <c r="AH2137" s="22"/>
      <c r="AI2137" s="22"/>
      <c r="AJ2137" s="22"/>
      <c r="AK2137" s="22"/>
      <c r="AL2137" s="22"/>
      <c r="AM2137" s="22"/>
      <c r="AN2137" s="22"/>
      <c r="AO2137" s="22"/>
      <c r="AP2137" s="22"/>
    </row>
    <row r="2138" ht="25.5" customHeight="1">
      <c r="H2138" s="384"/>
      <c r="I2138" s="384"/>
      <c r="J2138" s="378"/>
      <c r="AG2138" s="22"/>
      <c r="AH2138" s="22"/>
      <c r="AI2138" s="22"/>
      <c r="AJ2138" s="22"/>
      <c r="AK2138" s="22"/>
      <c r="AL2138" s="22"/>
      <c r="AM2138" s="22"/>
      <c r="AN2138" s="22"/>
      <c r="AO2138" s="22"/>
      <c r="AP2138" s="22"/>
    </row>
    <row r="2139" ht="25.5" customHeight="1">
      <c r="H2139" s="384"/>
      <c r="I2139" s="384"/>
      <c r="J2139" s="378"/>
      <c r="AG2139" s="22"/>
      <c r="AH2139" s="22"/>
      <c r="AI2139" s="22"/>
      <c r="AJ2139" s="22"/>
      <c r="AK2139" s="22"/>
      <c r="AL2139" s="22"/>
      <c r="AM2139" s="22"/>
      <c r="AN2139" s="22"/>
      <c r="AO2139" s="22"/>
      <c r="AP2139" s="22"/>
    </row>
    <row r="2140" ht="25.5" customHeight="1">
      <c r="H2140" s="384"/>
      <c r="I2140" s="384"/>
      <c r="J2140" s="378"/>
      <c r="AG2140" s="22"/>
      <c r="AH2140" s="22"/>
      <c r="AI2140" s="22"/>
      <c r="AJ2140" s="22"/>
      <c r="AK2140" s="22"/>
      <c r="AL2140" s="22"/>
      <c r="AM2140" s="22"/>
      <c r="AN2140" s="22"/>
      <c r="AO2140" s="22"/>
      <c r="AP2140" s="22"/>
    </row>
    <row r="2141" ht="25.5" customHeight="1">
      <c r="H2141" s="384"/>
      <c r="I2141" s="384"/>
      <c r="J2141" s="378"/>
      <c r="AG2141" s="22"/>
      <c r="AH2141" s="22"/>
      <c r="AI2141" s="22"/>
      <c r="AJ2141" s="22"/>
      <c r="AK2141" s="22"/>
      <c r="AL2141" s="22"/>
      <c r="AM2141" s="22"/>
      <c r="AN2141" s="22"/>
      <c r="AO2141" s="22"/>
      <c r="AP2141" s="22"/>
    </row>
    <row r="2142" ht="25.5" customHeight="1">
      <c r="H2142" s="384"/>
      <c r="I2142" s="384"/>
      <c r="J2142" s="378"/>
      <c r="AG2142" s="22"/>
      <c r="AH2142" s="22"/>
      <c r="AI2142" s="22"/>
      <c r="AJ2142" s="22"/>
      <c r="AK2142" s="22"/>
      <c r="AL2142" s="22"/>
      <c r="AM2142" s="22"/>
      <c r="AN2142" s="22"/>
      <c r="AO2142" s="22"/>
      <c r="AP2142" s="22"/>
    </row>
    <row r="2143" ht="25.5" customHeight="1">
      <c r="H2143" s="384"/>
      <c r="I2143" s="384"/>
      <c r="J2143" s="378"/>
      <c r="AG2143" s="22"/>
      <c r="AH2143" s="22"/>
      <c r="AI2143" s="22"/>
      <c r="AJ2143" s="22"/>
      <c r="AK2143" s="22"/>
      <c r="AL2143" s="22"/>
      <c r="AM2143" s="22"/>
      <c r="AN2143" s="22"/>
      <c r="AO2143" s="22"/>
      <c r="AP2143" s="22"/>
    </row>
    <row r="2144" ht="25.5" customHeight="1">
      <c r="H2144" s="384"/>
      <c r="I2144" s="384"/>
      <c r="J2144" s="378"/>
      <c r="AG2144" s="22"/>
      <c r="AH2144" s="22"/>
      <c r="AI2144" s="22"/>
      <c r="AJ2144" s="22"/>
      <c r="AK2144" s="22"/>
      <c r="AL2144" s="22"/>
      <c r="AM2144" s="22"/>
      <c r="AN2144" s="22"/>
      <c r="AO2144" s="22"/>
      <c r="AP2144" s="22"/>
    </row>
    <row r="2145" ht="25.5" customHeight="1">
      <c r="H2145" s="384"/>
      <c r="I2145" s="384"/>
      <c r="J2145" s="378"/>
      <c r="AG2145" s="22"/>
      <c r="AH2145" s="22"/>
      <c r="AI2145" s="22"/>
      <c r="AJ2145" s="22"/>
      <c r="AK2145" s="22"/>
      <c r="AL2145" s="22"/>
      <c r="AM2145" s="22"/>
      <c r="AN2145" s="22"/>
      <c r="AO2145" s="22"/>
      <c r="AP2145" s="22"/>
    </row>
    <row r="2146" ht="25.5" customHeight="1">
      <c r="H2146" s="384"/>
      <c r="I2146" s="384"/>
      <c r="J2146" s="378"/>
      <c r="AG2146" s="22"/>
      <c r="AH2146" s="22"/>
      <c r="AI2146" s="22"/>
      <c r="AJ2146" s="22"/>
      <c r="AK2146" s="22"/>
      <c r="AL2146" s="22"/>
      <c r="AM2146" s="22"/>
      <c r="AN2146" s="22"/>
      <c r="AO2146" s="22"/>
      <c r="AP2146" s="22"/>
    </row>
    <row r="2147" ht="25.5" customHeight="1">
      <c r="H2147" s="384"/>
      <c r="I2147" s="384"/>
      <c r="J2147" s="378"/>
      <c r="AG2147" s="22"/>
      <c r="AH2147" s="22"/>
      <c r="AI2147" s="22"/>
      <c r="AJ2147" s="22"/>
      <c r="AK2147" s="22"/>
      <c r="AL2147" s="22"/>
      <c r="AM2147" s="22"/>
      <c r="AN2147" s="22"/>
      <c r="AO2147" s="22"/>
      <c r="AP2147" s="22"/>
    </row>
    <row r="2148" ht="25.5" customHeight="1">
      <c r="H2148" s="384"/>
      <c r="I2148" s="384"/>
      <c r="J2148" s="378"/>
      <c r="AG2148" s="22"/>
      <c r="AH2148" s="22"/>
      <c r="AI2148" s="22"/>
      <c r="AJ2148" s="22"/>
      <c r="AK2148" s="22"/>
      <c r="AL2148" s="22"/>
      <c r="AM2148" s="22"/>
      <c r="AN2148" s="22"/>
      <c r="AO2148" s="22"/>
      <c r="AP2148" s="22"/>
    </row>
    <row r="2149" ht="25.5" customHeight="1">
      <c r="H2149" s="384"/>
      <c r="I2149" s="384"/>
      <c r="J2149" s="378"/>
      <c r="AG2149" s="22"/>
      <c r="AH2149" s="22"/>
      <c r="AI2149" s="22"/>
      <c r="AJ2149" s="22"/>
      <c r="AK2149" s="22"/>
      <c r="AL2149" s="22"/>
      <c r="AM2149" s="22"/>
      <c r="AN2149" s="22"/>
      <c r="AO2149" s="22"/>
      <c r="AP2149" s="22"/>
    </row>
    <row r="2150" ht="25.5" customHeight="1">
      <c r="H2150" s="384"/>
      <c r="I2150" s="384"/>
      <c r="J2150" s="378"/>
      <c r="AG2150" s="22"/>
      <c r="AH2150" s="22"/>
      <c r="AI2150" s="22"/>
      <c r="AJ2150" s="22"/>
      <c r="AK2150" s="22"/>
      <c r="AL2150" s="22"/>
      <c r="AM2150" s="22"/>
      <c r="AN2150" s="22"/>
      <c r="AO2150" s="22"/>
      <c r="AP2150" s="22"/>
    </row>
    <row r="2151" ht="25.5" customHeight="1">
      <c r="H2151" s="384"/>
      <c r="I2151" s="384"/>
      <c r="J2151" s="378"/>
      <c r="AG2151" s="22"/>
      <c r="AH2151" s="22"/>
      <c r="AI2151" s="22"/>
      <c r="AJ2151" s="22"/>
      <c r="AK2151" s="22"/>
      <c r="AL2151" s="22"/>
      <c r="AM2151" s="22"/>
      <c r="AN2151" s="22"/>
      <c r="AO2151" s="22"/>
      <c r="AP2151" s="22"/>
    </row>
    <row r="2152" ht="25.5" customHeight="1">
      <c r="H2152" s="384"/>
      <c r="I2152" s="384"/>
      <c r="J2152" s="378"/>
      <c r="AG2152" s="22"/>
      <c r="AH2152" s="22"/>
      <c r="AI2152" s="22"/>
      <c r="AJ2152" s="22"/>
      <c r="AK2152" s="22"/>
      <c r="AL2152" s="22"/>
      <c r="AM2152" s="22"/>
      <c r="AN2152" s="22"/>
      <c r="AO2152" s="22"/>
      <c r="AP2152" s="22"/>
    </row>
    <row r="2153" ht="25.5" customHeight="1">
      <c r="H2153" s="384"/>
      <c r="I2153" s="384"/>
      <c r="J2153" s="378"/>
      <c r="AG2153" s="22"/>
      <c r="AH2153" s="22"/>
      <c r="AI2153" s="22"/>
      <c r="AJ2153" s="22"/>
      <c r="AK2153" s="22"/>
      <c r="AL2153" s="22"/>
      <c r="AM2153" s="22"/>
      <c r="AN2153" s="22"/>
      <c r="AO2153" s="22"/>
      <c r="AP2153" s="22"/>
    </row>
    <row r="2154" ht="25.5" customHeight="1">
      <c r="H2154" s="384"/>
      <c r="I2154" s="384"/>
      <c r="J2154" s="378"/>
      <c r="AG2154" s="22"/>
      <c r="AH2154" s="22"/>
      <c r="AI2154" s="22"/>
      <c r="AJ2154" s="22"/>
      <c r="AK2154" s="22"/>
      <c r="AL2154" s="22"/>
      <c r="AM2154" s="22"/>
      <c r="AN2154" s="22"/>
      <c r="AO2154" s="22"/>
      <c r="AP2154" s="22"/>
    </row>
    <row r="2155" ht="25.5" customHeight="1">
      <c r="H2155" s="384"/>
      <c r="I2155" s="384"/>
      <c r="J2155" s="378"/>
      <c r="AG2155" s="22"/>
      <c r="AH2155" s="22"/>
      <c r="AI2155" s="22"/>
      <c r="AJ2155" s="22"/>
      <c r="AK2155" s="22"/>
      <c r="AL2155" s="22"/>
      <c r="AM2155" s="22"/>
      <c r="AN2155" s="22"/>
      <c r="AO2155" s="22"/>
      <c r="AP2155" s="22"/>
    </row>
    <row r="2156" ht="25.5" customHeight="1">
      <c r="H2156" s="384"/>
      <c r="I2156" s="384"/>
      <c r="J2156" s="378"/>
      <c r="AG2156" s="22"/>
      <c r="AH2156" s="22"/>
      <c r="AI2156" s="22"/>
      <c r="AJ2156" s="22"/>
      <c r="AK2156" s="22"/>
      <c r="AL2156" s="22"/>
      <c r="AM2156" s="22"/>
      <c r="AN2156" s="22"/>
      <c r="AO2156" s="22"/>
      <c r="AP2156" s="22"/>
    </row>
    <row r="2157" ht="25.5" customHeight="1">
      <c r="H2157" s="384"/>
      <c r="I2157" s="384"/>
      <c r="J2157" s="378"/>
      <c r="AG2157" s="22"/>
      <c r="AH2157" s="22"/>
      <c r="AI2157" s="22"/>
      <c r="AJ2157" s="22"/>
      <c r="AK2157" s="22"/>
      <c r="AL2157" s="22"/>
      <c r="AM2157" s="22"/>
      <c r="AN2157" s="22"/>
      <c r="AO2157" s="22"/>
      <c r="AP2157" s="22"/>
    </row>
    <row r="2158" ht="25.5" customHeight="1">
      <c r="H2158" s="384"/>
      <c r="I2158" s="384"/>
      <c r="J2158" s="378"/>
      <c r="AG2158" s="22"/>
      <c r="AH2158" s="22"/>
      <c r="AI2158" s="22"/>
      <c r="AJ2158" s="22"/>
      <c r="AK2158" s="22"/>
      <c r="AL2158" s="22"/>
      <c r="AM2158" s="22"/>
      <c r="AN2158" s="22"/>
      <c r="AO2158" s="22"/>
      <c r="AP2158" s="22"/>
    </row>
    <row r="2159" ht="25.5" customHeight="1">
      <c r="H2159" s="384"/>
      <c r="I2159" s="384"/>
      <c r="J2159" s="378"/>
      <c r="AG2159" s="22"/>
      <c r="AH2159" s="22"/>
      <c r="AI2159" s="22"/>
      <c r="AJ2159" s="22"/>
      <c r="AK2159" s="22"/>
      <c r="AL2159" s="22"/>
      <c r="AM2159" s="22"/>
      <c r="AN2159" s="22"/>
      <c r="AO2159" s="22"/>
      <c r="AP2159" s="22"/>
    </row>
    <row r="2160" ht="25.5" customHeight="1">
      <c r="H2160" s="384"/>
      <c r="I2160" s="384"/>
      <c r="J2160" s="378"/>
      <c r="AG2160" s="22"/>
      <c r="AH2160" s="22"/>
      <c r="AI2160" s="22"/>
      <c r="AJ2160" s="22"/>
      <c r="AK2160" s="22"/>
      <c r="AL2160" s="22"/>
      <c r="AM2160" s="22"/>
      <c r="AN2160" s="22"/>
      <c r="AO2160" s="22"/>
      <c r="AP2160" s="22"/>
    </row>
    <row r="2161" ht="25.5" customHeight="1">
      <c r="H2161" s="384"/>
      <c r="I2161" s="384"/>
      <c r="J2161" s="378"/>
      <c r="AG2161" s="22"/>
      <c r="AH2161" s="22"/>
      <c r="AI2161" s="22"/>
      <c r="AJ2161" s="22"/>
      <c r="AK2161" s="22"/>
      <c r="AL2161" s="22"/>
      <c r="AM2161" s="22"/>
      <c r="AN2161" s="22"/>
      <c r="AO2161" s="22"/>
      <c r="AP2161" s="22"/>
    </row>
    <row r="2162" ht="25.5" customHeight="1">
      <c r="H2162" s="384"/>
      <c r="I2162" s="384"/>
      <c r="J2162" s="378"/>
      <c r="AG2162" s="22"/>
      <c r="AH2162" s="22"/>
      <c r="AI2162" s="22"/>
      <c r="AJ2162" s="22"/>
      <c r="AK2162" s="22"/>
      <c r="AL2162" s="22"/>
      <c r="AM2162" s="22"/>
      <c r="AN2162" s="22"/>
      <c r="AO2162" s="22"/>
      <c r="AP2162" s="22"/>
    </row>
    <row r="2163" ht="25.5" customHeight="1">
      <c r="H2163" s="384"/>
      <c r="I2163" s="384"/>
      <c r="J2163" s="378"/>
      <c r="AG2163" s="22"/>
      <c r="AH2163" s="22"/>
      <c r="AI2163" s="22"/>
      <c r="AJ2163" s="22"/>
      <c r="AK2163" s="22"/>
      <c r="AL2163" s="22"/>
      <c r="AM2163" s="22"/>
      <c r="AN2163" s="22"/>
      <c r="AO2163" s="22"/>
      <c r="AP2163" s="22"/>
    </row>
    <row r="2164" ht="25.5" customHeight="1">
      <c r="H2164" s="384"/>
      <c r="I2164" s="384"/>
      <c r="J2164" s="378"/>
      <c r="AG2164" s="22"/>
      <c r="AH2164" s="22"/>
      <c r="AI2164" s="22"/>
      <c r="AJ2164" s="22"/>
      <c r="AK2164" s="22"/>
      <c r="AL2164" s="22"/>
      <c r="AM2164" s="22"/>
      <c r="AN2164" s="22"/>
      <c r="AO2164" s="22"/>
      <c r="AP2164" s="22"/>
    </row>
    <row r="2165" ht="25.5" customHeight="1">
      <c r="H2165" s="384"/>
      <c r="I2165" s="384"/>
      <c r="J2165" s="378"/>
      <c r="AG2165" s="22"/>
      <c r="AH2165" s="22"/>
      <c r="AI2165" s="22"/>
      <c r="AJ2165" s="22"/>
      <c r="AK2165" s="22"/>
      <c r="AL2165" s="22"/>
      <c r="AM2165" s="22"/>
      <c r="AN2165" s="22"/>
      <c r="AO2165" s="22"/>
      <c r="AP2165" s="22"/>
    </row>
    <row r="2166" ht="25.5" customHeight="1">
      <c r="H2166" s="384"/>
      <c r="I2166" s="384"/>
      <c r="J2166" s="378"/>
      <c r="AG2166" s="22"/>
      <c r="AH2166" s="22"/>
      <c r="AI2166" s="22"/>
      <c r="AJ2166" s="22"/>
      <c r="AK2166" s="22"/>
      <c r="AL2166" s="22"/>
      <c r="AM2166" s="22"/>
      <c r="AN2166" s="22"/>
      <c r="AO2166" s="22"/>
      <c r="AP2166" s="22"/>
    </row>
    <row r="2167" ht="25.5" customHeight="1">
      <c r="H2167" s="384"/>
      <c r="I2167" s="384"/>
      <c r="J2167" s="378"/>
      <c r="AG2167" s="22"/>
      <c r="AH2167" s="22"/>
      <c r="AI2167" s="22"/>
      <c r="AJ2167" s="22"/>
      <c r="AK2167" s="22"/>
      <c r="AL2167" s="22"/>
      <c r="AM2167" s="22"/>
      <c r="AN2167" s="22"/>
      <c r="AO2167" s="22"/>
      <c r="AP2167" s="22"/>
    </row>
    <row r="2168" ht="25.5" customHeight="1">
      <c r="H2168" s="384"/>
      <c r="I2168" s="384"/>
      <c r="J2168" s="378"/>
      <c r="AG2168" s="22"/>
      <c r="AH2168" s="22"/>
      <c r="AI2168" s="22"/>
      <c r="AJ2168" s="22"/>
      <c r="AK2168" s="22"/>
      <c r="AL2168" s="22"/>
      <c r="AM2168" s="22"/>
      <c r="AN2168" s="22"/>
      <c r="AO2168" s="22"/>
      <c r="AP2168" s="22"/>
    </row>
    <row r="2169" ht="25.5" customHeight="1">
      <c r="H2169" s="384"/>
      <c r="I2169" s="384"/>
      <c r="J2169" s="378"/>
      <c r="AG2169" s="22"/>
      <c r="AH2169" s="22"/>
      <c r="AI2169" s="22"/>
      <c r="AJ2169" s="22"/>
      <c r="AK2169" s="22"/>
      <c r="AL2169" s="22"/>
      <c r="AM2169" s="22"/>
      <c r="AN2169" s="22"/>
      <c r="AO2169" s="22"/>
      <c r="AP2169" s="22"/>
    </row>
    <row r="2170" ht="25.5" customHeight="1">
      <c r="H2170" s="384"/>
      <c r="I2170" s="384"/>
      <c r="J2170" s="378"/>
      <c r="AG2170" s="22"/>
      <c r="AH2170" s="22"/>
      <c r="AI2170" s="22"/>
      <c r="AJ2170" s="22"/>
      <c r="AK2170" s="22"/>
      <c r="AL2170" s="22"/>
      <c r="AM2170" s="22"/>
      <c r="AN2170" s="22"/>
      <c r="AO2170" s="22"/>
      <c r="AP2170" s="22"/>
    </row>
    <row r="2171" ht="25.5" customHeight="1">
      <c r="H2171" s="384"/>
      <c r="I2171" s="384"/>
      <c r="J2171" s="378"/>
      <c r="AG2171" s="22"/>
      <c r="AH2171" s="22"/>
      <c r="AI2171" s="22"/>
      <c r="AJ2171" s="22"/>
      <c r="AK2171" s="22"/>
      <c r="AL2171" s="22"/>
      <c r="AM2171" s="22"/>
      <c r="AN2171" s="22"/>
      <c r="AO2171" s="22"/>
      <c r="AP2171" s="22"/>
    </row>
    <row r="2172" ht="25.5" customHeight="1">
      <c r="H2172" s="384"/>
      <c r="I2172" s="384"/>
      <c r="J2172" s="378"/>
      <c r="AG2172" s="22"/>
      <c r="AH2172" s="22"/>
      <c r="AI2172" s="22"/>
      <c r="AJ2172" s="22"/>
      <c r="AK2172" s="22"/>
      <c r="AL2172" s="22"/>
      <c r="AM2172" s="22"/>
      <c r="AN2172" s="22"/>
      <c r="AO2172" s="22"/>
      <c r="AP2172" s="22"/>
    </row>
    <row r="2173" ht="25.5" customHeight="1">
      <c r="H2173" s="384"/>
      <c r="I2173" s="384"/>
      <c r="J2173" s="378"/>
      <c r="AG2173" s="22"/>
      <c r="AH2173" s="22"/>
      <c r="AI2173" s="22"/>
      <c r="AJ2173" s="22"/>
      <c r="AK2173" s="22"/>
      <c r="AL2173" s="22"/>
      <c r="AM2173" s="22"/>
      <c r="AN2173" s="22"/>
      <c r="AO2173" s="22"/>
      <c r="AP2173" s="22"/>
    </row>
    <row r="2174" ht="25.5" customHeight="1">
      <c r="H2174" s="384"/>
      <c r="I2174" s="384"/>
      <c r="J2174" s="378"/>
      <c r="AG2174" s="22"/>
      <c r="AH2174" s="22"/>
      <c r="AI2174" s="22"/>
      <c r="AJ2174" s="22"/>
      <c r="AK2174" s="22"/>
      <c r="AL2174" s="22"/>
      <c r="AM2174" s="22"/>
      <c r="AN2174" s="22"/>
      <c r="AO2174" s="22"/>
      <c r="AP2174" s="22"/>
    </row>
    <row r="2175" ht="25.5" customHeight="1">
      <c r="H2175" s="384"/>
      <c r="I2175" s="384"/>
      <c r="J2175" s="378"/>
      <c r="AG2175" s="22"/>
      <c r="AH2175" s="22"/>
      <c r="AI2175" s="22"/>
      <c r="AJ2175" s="22"/>
      <c r="AK2175" s="22"/>
      <c r="AL2175" s="22"/>
      <c r="AM2175" s="22"/>
      <c r="AN2175" s="22"/>
      <c r="AO2175" s="22"/>
      <c r="AP2175" s="22"/>
    </row>
    <row r="2176" ht="25.5" customHeight="1">
      <c r="H2176" s="384"/>
      <c r="I2176" s="384"/>
      <c r="J2176" s="378"/>
      <c r="AG2176" s="22"/>
      <c r="AH2176" s="22"/>
      <c r="AI2176" s="22"/>
      <c r="AJ2176" s="22"/>
      <c r="AK2176" s="22"/>
      <c r="AL2176" s="22"/>
      <c r="AM2176" s="22"/>
      <c r="AN2176" s="22"/>
      <c r="AO2176" s="22"/>
      <c r="AP2176" s="22"/>
    </row>
    <row r="2177" ht="25.5" customHeight="1">
      <c r="H2177" s="384"/>
      <c r="I2177" s="384"/>
      <c r="J2177" s="378"/>
      <c r="AG2177" s="22"/>
      <c r="AH2177" s="22"/>
      <c r="AI2177" s="22"/>
      <c r="AJ2177" s="22"/>
      <c r="AK2177" s="22"/>
      <c r="AL2177" s="22"/>
      <c r="AM2177" s="22"/>
      <c r="AN2177" s="22"/>
      <c r="AO2177" s="22"/>
      <c r="AP2177" s="22"/>
    </row>
    <row r="2178" ht="25.5" customHeight="1">
      <c r="H2178" s="384"/>
      <c r="I2178" s="384"/>
      <c r="J2178" s="378"/>
      <c r="AG2178" s="22"/>
      <c r="AH2178" s="22"/>
      <c r="AI2178" s="22"/>
      <c r="AJ2178" s="22"/>
      <c r="AK2178" s="22"/>
      <c r="AL2178" s="22"/>
      <c r="AM2178" s="22"/>
      <c r="AN2178" s="22"/>
      <c r="AO2178" s="22"/>
      <c r="AP2178" s="22"/>
    </row>
    <row r="2179" ht="25.5" customHeight="1">
      <c r="H2179" s="384"/>
      <c r="I2179" s="384"/>
      <c r="J2179" s="378"/>
      <c r="AG2179" s="22"/>
      <c r="AH2179" s="22"/>
      <c r="AI2179" s="22"/>
      <c r="AJ2179" s="22"/>
      <c r="AK2179" s="22"/>
      <c r="AL2179" s="22"/>
      <c r="AM2179" s="22"/>
      <c r="AN2179" s="22"/>
      <c r="AO2179" s="22"/>
      <c r="AP2179" s="22"/>
    </row>
    <row r="2180" ht="25.5" customHeight="1">
      <c r="H2180" s="384"/>
      <c r="I2180" s="384"/>
      <c r="J2180" s="378"/>
      <c r="AG2180" s="22"/>
      <c r="AH2180" s="22"/>
      <c r="AI2180" s="22"/>
      <c r="AJ2180" s="22"/>
      <c r="AK2180" s="22"/>
      <c r="AL2180" s="22"/>
      <c r="AM2180" s="22"/>
      <c r="AN2180" s="22"/>
      <c r="AO2180" s="22"/>
      <c r="AP2180" s="22"/>
    </row>
    <row r="2181" ht="25.5" customHeight="1">
      <c r="H2181" s="384"/>
      <c r="I2181" s="384"/>
      <c r="J2181" s="378"/>
      <c r="AG2181" s="22"/>
      <c r="AH2181" s="22"/>
      <c r="AI2181" s="22"/>
      <c r="AJ2181" s="22"/>
      <c r="AK2181" s="22"/>
      <c r="AL2181" s="22"/>
      <c r="AM2181" s="22"/>
      <c r="AN2181" s="22"/>
      <c r="AO2181" s="22"/>
      <c r="AP2181" s="22"/>
    </row>
    <row r="2182" ht="25.5" customHeight="1">
      <c r="H2182" s="384"/>
      <c r="I2182" s="384"/>
      <c r="J2182" s="378"/>
      <c r="AG2182" s="22"/>
      <c r="AH2182" s="22"/>
      <c r="AI2182" s="22"/>
      <c r="AJ2182" s="22"/>
      <c r="AK2182" s="22"/>
      <c r="AL2182" s="22"/>
      <c r="AM2182" s="22"/>
      <c r="AN2182" s="22"/>
      <c r="AO2182" s="22"/>
      <c r="AP2182" s="22"/>
    </row>
    <row r="2183" ht="25.5" customHeight="1">
      <c r="H2183" s="384"/>
      <c r="I2183" s="384"/>
      <c r="J2183" s="378"/>
      <c r="AG2183" s="22"/>
      <c r="AH2183" s="22"/>
      <c r="AI2183" s="22"/>
      <c r="AJ2183" s="22"/>
      <c r="AK2183" s="22"/>
      <c r="AL2183" s="22"/>
      <c r="AM2183" s="22"/>
      <c r="AN2183" s="22"/>
      <c r="AO2183" s="22"/>
      <c r="AP2183" s="22"/>
    </row>
    <row r="2184" ht="25.5" customHeight="1">
      <c r="H2184" s="384"/>
      <c r="I2184" s="384"/>
      <c r="J2184" s="378"/>
      <c r="AG2184" s="22"/>
      <c r="AH2184" s="22"/>
      <c r="AI2184" s="22"/>
      <c r="AJ2184" s="22"/>
      <c r="AK2184" s="22"/>
      <c r="AL2184" s="22"/>
      <c r="AM2184" s="22"/>
      <c r="AN2184" s="22"/>
      <c r="AO2184" s="22"/>
      <c r="AP2184" s="22"/>
    </row>
  </sheetData>
  <customSheetViews>
    <customSheetView guid="{66BD96B4-92BB-43F1-A949-54721D499DD1}" filter="1" showAutoFilter="1">
      <autoFilter ref="$A$1:$AL$270">
        <filterColumn colId="2">
          <colorFilter dxfId="5"/>
        </filterColumn>
        <filterColumn colId="13">
          <filters>
            <filter val="Levantamiento de cuerpo"/>
            <filter val="Colapso estructural"/>
            <filter val="Colapso Parcial"/>
            <filter val="Alto Riesgo de Colapso"/>
            <filter val="-"/>
            <filter val="Afectación estructural"/>
          </filters>
        </filterColumn>
      </autoFilter>
    </customSheetView>
    <customSheetView guid="{5ECF1A88-30EA-4C24-8360-D49675CB9EF2}" filter="1" showAutoFilter="1">
      <autoFilter ref="$A$1:$AL$264">
        <filterColumn colId="12">
          <filters>
            <filter val="Colapso estructural"/>
            <filter val="Colapso techo, reportan fallecido Guillermo Atehortua CC 14948983"/>
            <filter val="Daño estructural, casa antigua a punto de colapsar"/>
            <filter val="Edificio en alto riesgo de colapso"/>
            <filter val="Colapso estructural - Niña atrapada"/>
            <filter val="Colapso de 3 edificaciones y 4 en riesgo de colapso"/>
            <filter val="-"/>
            <filter val="Daño estructural, con posibles fugas de gas"/>
            <filter val="Colapso Estructural"/>
            <filter val="Daño estructural en vivienda paredes agrietadas"/>
            <filter val="Colapso estructural - Edificación de 8 pisos colapsada, aproximadamente 28 personas atrapadas. Fuga de gas, Edificio de 7 pisos"/>
            <filter val="Daño estructural, evacuacion controlada"/>
          </filters>
        </filterColumn>
        <filterColumn colId="13">
          <filters>
            <filter val="Levantamiento de cuerpo"/>
            <filter val="Colapso estructural"/>
            <filter val="Arboles caidos"/>
            <filter val="Colapso Parcial"/>
            <filter val="Colapso Estructural"/>
            <filter val="Alto Riesgo de Colapso"/>
            <filter val="-"/>
            <filter val="Afectación estructural"/>
          </filters>
        </filterColumn>
      </autoFilter>
    </customSheetView>
    <customSheetView guid="{5879827B-7651-42C9-941A-24CD538991D6}" filter="1" showAutoFilter="1">
      <autoFilter ref="$A$1:$AL$264">
        <filterColumn colId="16">
          <filters>
            <filter val="BROS PALMIRA"/>
          </filters>
        </filterColumn>
      </autoFilter>
    </customSheetView>
    <customSheetView guid="{AFDB9225-3EA0-4DC0-8CEC-E3C5310BC205}" filter="1" showAutoFilter="1">
      <autoFilter ref="$A$1:$AB$264">
        <filterColumn colId="13">
          <filters>
            <filter val="Levantamiento de cuerpo"/>
            <filter val="Colapso estructural"/>
            <filter val="Colapso Parcial"/>
            <filter val="Alto Riesgo de Colapso"/>
            <filter val="-"/>
            <filter val="Afectación estructural"/>
          </filters>
        </filterColumn>
        <filterColumn colId="19">
          <filters blank="1">
            <filter val="-"/>
          </filters>
        </filterColumn>
      </autoFilter>
    </customSheetView>
  </customSheetViews>
  <conditionalFormatting sqref="J2:J4 J6:J13 J15:J746 J749 J752 J755:J808 J810:J844 J1623:J2184">
    <cfRule type="expression" dxfId="6" priority="1">
      <formula>COUNTIF($J$2:$J2184,J2)&gt;1</formula>
    </cfRule>
  </conditionalFormatting>
  <hyperlinks>
    <hyperlink r:id="rId1" ref="J58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2.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9"/>
      <c r="B1" s="80" t="s">
        <v>1</v>
      </c>
      <c r="C1" s="80" t="s">
        <v>2</v>
      </c>
      <c r="D1" s="80" t="s">
        <v>3</v>
      </c>
      <c r="E1" s="80" t="s">
        <v>4</v>
      </c>
      <c r="F1" s="80" t="s">
        <v>5</v>
      </c>
      <c r="G1" s="80" t="s">
        <v>195</v>
      </c>
      <c r="H1" s="80" t="s">
        <v>196</v>
      </c>
      <c r="I1" s="80" t="s">
        <v>8</v>
      </c>
      <c r="J1" s="80" t="s">
        <v>198</v>
      </c>
      <c r="K1" s="80" t="s">
        <v>199</v>
      </c>
      <c r="L1" s="80" t="s">
        <v>11</v>
      </c>
      <c r="M1" s="80" t="s">
        <v>12</v>
      </c>
      <c r="N1" s="80" t="s">
        <v>13</v>
      </c>
      <c r="O1" s="80" t="s">
        <v>203</v>
      </c>
      <c r="P1" s="80" t="s">
        <v>206</v>
      </c>
      <c r="Q1" s="80" t="s">
        <v>16</v>
      </c>
      <c r="R1" s="80" t="s">
        <v>209</v>
      </c>
      <c r="S1" s="80" t="s">
        <v>18</v>
      </c>
      <c r="T1" s="80" t="s">
        <v>19</v>
      </c>
      <c r="U1" s="80" t="s">
        <v>20</v>
      </c>
      <c r="V1" s="80" t="s">
        <v>21</v>
      </c>
      <c r="W1" s="80" t="s">
        <v>175</v>
      </c>
      <c r="X1" s="80" t="s">
        <v>23</v>
      </c>
      <c r="Y1" s="80" t="s">
        <v>24</v>
      </c>
      <c r="Z1" s="80" t="s">
        <v>213</v>
      </c>
      <c r="AA1" s="80" t="s">
        <v>214</v>
      </c>
      <c r="AB1" s="80" t="s">
        <v>27</v>
      </c>
      <c r="AC1" s="80" t="s">
        <v>28</v>
      </c>
      <c r="AD1" s="80" t="s">
        <v>29</v>
      </c>
      <c r="AE1" s="83"/>
      <c r="AF1" s="83"/>
      <c r="AG1" s="83"/>
      <c r="AH1" s="83"/>
      <c r="AI1" s="83"/>
      <c r="AJ1" s="83"/>
      <c r="AK1" s="83"/>
      <c r="AL1" s="83"/>
      <c r="AM1" s="83"/>
      <c r="AN1" s="83"/>
      <c r="AO1" s="83"/>
      <c r="AP1" s="85"/>
    </row>
    <row r="2">
      <c r="A2" s="87">
        <v>1.0</v>
      </c>
      <c r="B2" s="89" t="s">
        <v>32</v>
      </c>
      <c r="C2" s="89" t="s">
        <v>33</v>
      </c>
      <c r="D2" s="89" t="s">
        <v>34</v>
      </c>
      <c r="E2" s="89" t="s">
        <v>46</v>
      </c>
      <c r="F2" s="89" t="s">
        <v>35</v>
      </c>
      <c r="G2" s="89" t="s">
        <v>36</v>
      </c>
      <c r="H2" s="89" t="s">
        <v>37</v>
      </c>
      <c r="I2" s="89" t="s">
        <v>38</v>
      </c>
      <c r="J2" s="89" t="s">
        <v>39</v>
      </c>
      <c r="K2" s="91"/>
      <c r="L2" s="89" t="s">
        <v>236</v>
      </c>
      <c r="M2" s="89" t="s">
        <v>40</v>
      </c>
      <c r="N2" s="89" t="s">
        <v>41</v>
      </c>
      <c r="O2" s="91"/>
      <c r="P2" s="91"/>
      <c r="Q2" s="89" t="s">
        <v>241</v>
      </c>
      <c r="R2" s="89">
        <v>1.0</v>
      </c>
      <c r="S2" s="91"/>
      <c r="T2" s="91"/>
      <c r="U2" s="89" t="s">
        <v>46</v>
      </c>
      <c r="V2" s="89">
        <v>7.0</v>
      </c>
      <c r="W2" s="89">
        <v>3.0</v>
      </c>
      <c r="X2" s="91"/>
      <c r="Y2" s="89" t="s">
        <v>48</v>
      </c>
      <c r="Z2" s="89" t="s">
        <v>246</v>
      </c>
      <c r="AA2" s="89" t="s">
        <v>52</v>
      </c>
      <c r="AB2" s="91"/>
      <c r="AC2" s="91"/>
      <c r="AD2" s="91"/>
      <c r="AE2" s="91"/>
      <c r="AF2" s="91"/>
      <c r="AG2" s="91"/>
      <c r="AH2" s="91"/>
      <c r="AI2" s="91"/>
      <c r="AJ2" s="91"/>
      <c r="AK2" s="91"/>
      <c r="AL2" s="91"/>
      <c r="AM2" s="91"/>
      <c r="AN2" s="91"/>
      <c r="AO2" s="91"/>
      <c r="AP2" s="94"/>
    </row>
    <row r="3">
      <c r="A3" s="87">
        <v>12.0</v>
      </c>
      <c r="B3" s="89" t="s">
        <v>61</v>
      </c>
      <c r="C3" s="89" t="s">
        <v>33</v>
      </c>
      <c r="D3" s="89" t="s">
        <v>223</v>
      </c>
      <c r="E3" s="89" t="s">
        <v>261</v>
      </c>
      <c r="F3" s="89" t="s">
        <v>128</v>
      </c>
      <c r="G3" s="89" t="s">
        <v>176</v>
      </c>
      <c r="H3" s="89" t="s">
        <v>263</v>
      </c>
      <c r="I3" s="89" t="s">
        <v>38</v>
      </c>
      <c r="J3" s="89" t="s">
        <v>265</v>
      </c>
      <c r="K3" s="89" t="s">
        <v>266</v>
      </c>
      <c r="L3" s="89" t="s">
        <v>267</v>
      </c>
      <c r="M3" s="89" t="s">
        <v>268</v>
      </c>
      <c r="N3" s="89" t="s">
        <v>41</v>
      </c>
      <c r="O3" s="91"/>
      <c r="P3" s="91"/>
      <c r="Q3" s="89" t="s">
        <v>271</v>
      </c>
      <c r="R3" s="89">
        <v>1.0</v>
      </c>
      <c r="S3" s="91"/>
      <c r="T3" s="91"/>
      <c r="U3" s="89" t="s">
        <v>83</v>
      </c>
      <c r="V3" s="91"/>
      <c r="W3" s="91"/>
      <c r="X3" s="91"/>
      <c r="Y3" s="89" t="s">
        <v>274</v>
      </c>
      <c r="Z3" s="89" t="s">
        <v>276</v>
      </c>
      <c r="AA3" s="91"/>
      <c r="AB3" s="91"/>
      <c r="AC3" s="91"/>
      <c r="AD3" s="91"/>
      <c r="AE3" s="91"/>
      <c r="AF3" s="91"/>
      <c r="AG3" s="91"/>
      <c r="AH3" s="91"/>
      <c r="AI3" s="91"/>
      <c r="AJ3" s="91"/>
      <c r="AK3" s="91"/>
      <c r="AL3" s="91"/>
      <c r="AM3" s="91"/>
      <c r="AN3" s="91"/>
      <c r="AO3" s="91"/>
      <c r="AP3" s="94"/>
    </row>
    <row r="4">
      <c r="A4" s="87">
        <v>23.0</v>
      </c>
      <c r="B4" s="89" t="s">
        <v>61</v>
      </c>
      <c r="C4" s="89" t="s">
        <v>33</v>
      </c>
      <c r="D4" s="89" t="s">
        <v>223</v>
      </c>
      <c r="E4" s="89" t="s">
        <v>46</v>
      </c>
      <c r="F4" s="89" t="s">
        <v>35</v>
      </c>
      <c r="G4" s="89" t="s">
        <v>36</v>
      </c>
      <c r="H4" s="89" t="s">
        <v>37</v>
      </c>
      <c r="I4" s="89" t="s">
        <v>286</v>
      </c>
      <c r="J4" s="89" t="s">
        <v>288</v>
      </c>
      <c r="K4" s="89" t="s">
        <v>291</v>
      </c>
      <c r="L4" s="89" t="s">
        <v>293</v>
      </c>
      <c r="M4" s="89" t="s">
        <v>268</v>
      </c>
      <c r="N4" s="89" t="s">
        <v>41</v>
      </c>
      <c r="O4" s="89" t="s">
        <v>46</v>
      </c>
      <c r="P4" s="91"/>
      <c r="Q4" s="89" t="s">
        <v>166</v>
      </c>
      <c r="R4" s="89">
        <v>1.0</v>
      </c>
      <c r="S4" s="91"/>
      <c r="T4" s="91"/>
      <c r="U4" s="89" t="s">
        <v>83</v>
      </c>
      <c r="V4" s="91"/>
      <c r="W4" s="89">
        <v>2.0</v>
      </c>
      <c r="X4" s="91"/>
      <c r="Y4" s="91"/>
      <c r="Z4" s="89" t="s">
        <v>300</v>
      </c>
      <c r="AA4" s="91"/>
      <c r="AB4" s="91"/>
      <c r="AC4" s="91"/>
      <c r="AD4" s="91"/>
      <c r="AE4" s="91"/>
      <c r="AF4" s="91"/>
      <c r="AG4" s="91"/>
      <c r="AH4" s="91"/>
      <c r="AI4" s="91"/>
      <c r="AJ4" s="91"/>
      <c r="AK4" s="91"/>
      <c r="AL4" s="91"/>
      <c r="AM4" s="91"/>
      <c r="AN4" s="91"/>
      <c r="AO4" s="91"/>
      <c r="AP4" s="94"/>
    </row>
    <row r="5">
      <c r="A5" s="87">
        <v>83.0</v>
      </c>
      <c r="B5" s="89" t="s">
        <v>307</v>
      </c>
      <c r="C5" s="89" t="s">
        <v>33</v>
      </c>
      <c r="D5" s="89" t="s">
        <v>223</v>
      </c>
      <c r="E5" s="89" t="s">
        <v>261</v>
      </c>
      <c r="F5" s="89" t="s">
        <v>35</v>
      </c>
      <c r="G5" s="89" t="s">
        <v>36</v>
      </c>
      <c r="H5" s="89" t="s">
        <v>278</v>
      </c>
      <c r="I5" s="89" t="s">
        <v>38</v>
      </c>
      <c r="J5" s="89" t="s">
        <v>311</v>
      </c>
      <c r="K5" s="89" t="s">
        <v>313</v>
      </c>
      <c r="L5" s="89" t="s">
        <v>314</v>
      </c>
      <c r="M5" s="89" t="s">
        <v>268</v>
      </c>
      <c r="N5" s="89" t="s">
        <v>268</v>
      </c>
      <c r="O5" s="89" t="s">
        <v>46</v>
      </c>
      <c r="P5" s="91"/>
      <c r="Q5" s="91"/>
      <c r="R5" s="89">
        <v>1.0</v>
      </c>
      <c r="S5" s="91"/>
      <c r="T5" s="91"/>
      <c r="U5" s="91"/>
      <c r="V5" s="91"/>
      <c r="W5" s="91"/>
      <c r="X5" s="91"/>
      <c r="Y5" s="91"/>
      <c r="Z5" s="89" t="s">
        <v>318</v>
      </c>
      <c r="AA5" s="91"/>
      <c r="AB5" s="91"/>
      <c r="AC5" s="91"/>
      <c r="AD5" s="91"/>
      <c r="AE5" s="91"/>
      <c r="AF5" s="91"/>
      <c r="AG5" s="91"/>
      <c r="AH5" s="91"/>
      <c r="AI5" s="91"/>
      <c r="AJ5" s="91"/>
      <c r="AK5" s="91"/>
      <c r="AL5" s="91"/>
      <c r="AM5" s="91"/>
      <c r="AN5" s="91"/>
      <c r="AO5" s="91"/>
      <c r="AP5" s="9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9"/>
      <c r="B1" s="80" t="s">
        <v>1</v>
      </c>
      <c r="C1" s="80" t="s">
        <v>2</v>
      </c>
      <c r="D1" s="80" t="s">
        <v>3</v>
      </c>
      <c r="E1" s="80" t="s">
        <v>4</v>
      </c>
      <c r="F1" s="80" t="s">
        <v>5</v>
      </c>
      <c r="G1" s="80" t="s">
        <v>195</v>
      </c>
      <c r="H1" s="80" t="s">
        <v>196</v>
      </c>
      <c r="I1" s="80" t="s">
        <v>8</v>
      </c>
      <c r="J1" s="80" t="s">
        <v>198</v>
      </c>
      <c r="K1" s="80" t="s">
        <v>199</v>
      </c>
      <c r="L1" s="80" t="s">
        <v>11</v>
      </c>
      <c r="M1" s="80" t="s">
        <v>12</v>
      </c>
      <c r="N1" s="80" t="s">
        <v>13</v>
      </c>
      <c r="O1" s="80" t="s">
        <v>203</v>
      </c>
      <c r="P1" s="80" t="s">
        <v>206</v>
      </c>
      <c r="Q1" s="80" t="s">
        <v>16</v>
      </c>
      <c r="R1" s="80" t="s">
        <v>209</v>
      </c>
      <c r="S1" s="80" t="s">
        <v>18</v>
      </c>
      <c r="T1" s="80" t="s">
        <v>19</v>
      </c>
      <c r="U1" s="80" t="s">
        <v>20</v>
      </c>
      <c r="V1" s="80" t="s">
        <v>21</v>
      </c>
      <c r="W1" s="80" t="s">
        <v>175</v>
      </c>
      <c r="X1" s="80" t="s">
        <v>23</v>
      </c>
      <c r="Y1" s="80" t="s">
        <v>24</v>
      </c>
      <c r="Z1" s="80" t="s">
        <v>213</v>
      </c>
      <c r="AA1" s="80" t="s">
        <v>214</v>
      </c>
      <c r="AB1" s="80" t="s">
        <v>27</v>
      </c>
      <c r="AC1" s="80" t="s">
        <v>28</v>
      </c>
      <c r="AD1" s="83"/>
      <c r="AE1" s="83"/>
      <c r="AF1" s="83"/>
      <c r="AG1" s="83"/>
      <c r="AH1" s="83"/>
      <c r="AI1" s="83"/>
      <c r="AJ1" s="83"/>
      <c r="AK1" s="83"/>
      <c r="AL1" s="83"/>
      <c r="AM1" s="83"/>
      <c r="AN1" s="83"/>
      <c r="AO1" s="83"/>
      <c r="AP1" s="85"/>
    </row>
    <row r="2">
      <c r="A2" s="87">
        <v>98.0</v>
      </c>
      <c r="B2" s="89" t="s">
        <v>32</v>
      </c>
      <c r="C2" s="89" t="s">
        <v>364</v>
      </c>
      <c r="D2" s="89" t="s">
        <v>297</v>
      </c>
      <c r="E2" s="89" t="s">
        <v>46</v>
      </c>
      <c r="F2" s="89" t="s">
        <v>35</v>
      </c>
      <c r="G2" s="89" t="s">
        <v>36</v>
      </c>
      <c r="H2" s="89" t="s">
        <v>278</v>
      </c>
      <c r="I2" s="89" t="s">
        <v>286</v>
      </c>
      <c r="J2" s="89" t="s">
        <v>368</v>
      </c>
      <c r="K2" s="91"/>
      <c r="L2" s="89" t="s">
        <v>371</v>
      </c>
      <c r="M2" s="89" t="s">
        <v>372</v>
      </c>
      <c r="N2" s="89" t="s">
        <v>41</v>
      </c>
      <c r="O2" s="91"/>
      <c r="P2" s="91"/>
      <c r="Q2" s="89" t="s">
        <v>377</v>
      </c>
      <c r="R2" s="89">
        <v>1.0</v>
      </c>
      <c r="S2" s="91"/>
      <c r="T2" s="91"/>
      <c r="U2" s="89" t="s">
        <v>46</v>
      </c>
      <c r="V2" s="91"/>
      <c r="W2" s="91"/>
      <c r="X2" s="91"/>
      <c r="Y2" s="89" t="s">
        <v>381</v>
      </c>
      <c r="Z2" s="89" t="s">
        <v>384</v>
      </c>
      <c r="AA2" s="91"/>
      <c r="AB2" s="91"/>
      <c r="AC2" s="91"/>
      <c r="AD2" s="91"/>
      <c r="AE2" s="91"/>
      <c r="AF2" s="91"/>
      <c r="AG2" s="91"/>
      <c r="AH2" s="91"/>
      <c r="AI2" s="91"/>
      <c r="AJ2" s="91"/>
      <c r="AK2" s="91"/>
      <c r="AL2" s="91"/>
      <c r="AM2" s="91"/>
      <c r="AN2" s="91"/>
      <c r="AO2" s="91"/>
      <c r="AP2" s="94"/>
    </row>
    <row r="3">
      <c r="A3" s="87">
        <v>113.0</v>
      </c>
      <c r="B3" s="89" t="s">
        <v>307</v>
      </c>
      <c r="C3" s="89" t="s">
        <v>364</v>
      </c>
      <c r="D3" s="89" t="s">
        <v>297</v>
      </c>
      <c r="E3" s="89" t="s">
        <v>261</v>
      </c>
      <c r="F3" s="89" t="s">
        <v>87</v>
      </c>
      <c r="G3" s="89" t="s">
        <v>36</v>
      </c>
      <c r="H3" s="89" t="s">
        <v>400</v>
      </c>
      <c r="I3" s="89" t="s">
        <v>38</v>
      </c>
      <c r="J3" s="89" t="s">
        <v>402</v>
      </c>
      <c r="K3" s="91"/>
      <c r="L3" s="89" t="s">
        <v>403</v>
      </c>
      <c r="M3" s="89" t="s">
        <v>164</v>
      </c>
      <c r="N3" s="89" t="s">
        <v>41</v>
      </c>
      <c r="O3" s="91"/>
      <c r="P3" s="91"/>
      <c r="Q3" s="89" t="s">
        <v>407</v>
      </c>
      <c r="R3" s="89">
        <v>1.0</v>
      </c>
      <c r="S3" s="91"/>
      <c r="T3" s="91"/>
      <c r="U3" s="91"/>
      <c r="V3" s="91"/>
      <c r="W3" s="91"/>
      <c r="X3" s="91"/>
      <c r="Y3" s="89" t="s">
        <v>410</v>
      </c>
      <c r="Z3" s="91"/>
      <c r="AA3" s="91"/>
      <c r="AB3" s="91"/>
      <c r="AC3" s="91"/>
      <c r="AD3" s="91"/>
      <c r="AE3" s="91"/>
      <c r="AF3" s="91"/>
      <c r="AG3" s="91"/>
      <c r="AH3" s="91"/>
      <c r="AI3" s="91"/>
      <c r="AJ3" s="91"/>
      <c r="AK3" s="91"/>
      <c r="AL3" s="91"/>
      <c r="AM3" s="91"/>
      <c r="AN3" s="91"/>
      <c r="AO3" s="91"/>
      <c r="AP3" s="9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9"/>
      <c r="B1" s="80" t="s">
        <v>1</v>
      </c>
      <c r="C1" s="80" t="s">
        <v>2</v>
      </c>
      <c r="D1" s="80" t="s">
        <v>3</v>
      </c>
      <c r="E1" s="80" t="s">
        <v>4</v>
      </c>
      <c r="F1" s="80" t="s">
        <v>5</v>
      </c>
      <c r="G1" s="80" t="s">
        <v>195</v>
      </c>
      <c r="H1" s="80" t="s">
        <v>196</v>
      </c>
      <c r="I1" s="80" t="s">
        <v>8</v>
      </c>
      <c r="J1" s="80" t="s">
        <v>198</v>
      </c>
      <c r="K1" s="80" t="s">
        <v>199</v>
      </c>
      <c r="L1" s="80" t="s">
        <v>11</v>
      </c>
      <c r="M1" s="80" t="s">
        <v>12</v>
      </c>
      <c r="N1" s="80" t="s">
        <v>13</v>
      </c>
      <c r="O1" s="80" t="s">
        <v>203</v>
      </c>
      <c r="P1" s="80" t="s">
        <v>206</v>
      </c>
      <c r="Q1" s="80" t="s">
        <v>16</v>
      </c>
      <c r="R1" s="80" t="s">
        <v>209</v>
      </c>
      <c r="S1" s="80" t="s">
        <v>18</v>
      </c>
      <c r="T1" s="80" t="s">
        <v>19</v>
      </c>
      <c r="U1" s="80" t="s">
        <v>20</v>
      </c>
      <c r="V1" s="80" t="s">
        <v>21</v>
      </c>
      <c r="W1" s="80" t="s">
        <v>175</v>
      </c>
      <c r="X1" s="80" t="s">
        <v>23</v>
      </c>
      <c r="Y1" s="80" t="s">
        <v>24</v>
      </c>
      <c r="Z1" s="80" t="s">
        <v>213</v>
      </c>
      <c r="AA1" s="80" t="s">
        <v>214</v>
      </c>
      <c r="AB1" s="80" t="s">
        <v>27</v>
      </c>
      <c r="AC1" s="80" t="s">
        <v>28</v>
      </c>
      <c r="AD1" s="83"/>
      <c r="AE1" s="83"/>
      <c r="AF1" s="83"/>
      <c r="AG1" s="83"/>
      <c r="AH1" s="83"/>
      <c r="AI1" s="83"/>
      <c r="AJ1" s="83"/>
      <c r="AK1" s="83"/>
      <c r="AL1" s="83"/>
      <c r="AM1" s="83"/>
      <c r="AN1" s="83"/>
      <c r="AO1" s="83"/>
      <c r="AP1" s="85"/>
    </row>
    <row r="2">
      <c r="A2" s="87">
        <v>1.0</v>
      </c>
      <c r="B2" s="89" t="s">
        <v>32</v>
      </c>
      <c r="C2" s="89" t="s">
        <v>33</v>
      </c>
      <c r="D2" s="89" t="s">
        <v>34</v>
      </c>
      <c r="E2" s="89" t="s">
        <v>46</v>
      </c>
      <c r="F2" s="89" t="s">
        <v>35</v>
      </c>
      <c r="G2" s="89" t="s">
        <v>36</v>
      </c>
      <c r="H2" s="89" t="s">
        <v>37</v>
      </c>
      <c r="I2" s="89" t="s">
        <v>38</v>
      </c>
      <c r="J2" s="89" t="s">
        <v>39</v>
      </c>
      <c r="K2" s="91"/>
      <c r="L2" s="89" t="s">
        <v>236</v>
      </c>
      <c r="M2" s="89" t="s">
        <v>40</v>
      </c>
      <c r="N2" s="89" t="s">
        <v>41</v>
      </c>
      <c r="O2" s="91"/>
      <c r="P2" s="91"/>
      <c r="Q2" s="89" t="s">
        <v>241</v>
      </c>
      <c r="R2" s="89">
        <v>1.0</v>
      </c>
      <c r="S2" s="91"/>
      <c r="T2" s="91"/>
      <c r="U2" s="89" t="s">
        <v>46</v>
      </c>
      <c r="V2" s="89">
        <v>7.0</v>
      </c>
      <c r="W2" s="89">
        <v>3.0</v>
      </c>
      <c r="X2" s="91"/>
      <c r="Y2" s="89" t="s">
        <v>48</v>
      </c>
      <c r="Z2" s="89" t="s">
        <v>246</v>
      </c>
      <c r="AA2" s="89" t="s">
        <v>52</v>
      </c>
      <c r="AB2" s="91"/>
      <c r="AC2" s="91"/>
      <c r="AD2" s="91"/>
      <c r="AE2" s="91"/>
      <c r="AF2" s="91"/>
      <c r="AG2" s="91"/>
      <c r="AH2" s="91"/>
      <c r="AI2" s="91"/>
      <c r="AJ2" s="91"/>
      <c r="AK2" s="91"/>
      <c r="AL2" s="91"/>
      <c r="AM2" s="91"/>
      <c r="AN2" s="91"/>
      <c r="AO2" s="91"/>
      <c r="AP2" s="94"/>
    </row>
    <row r="3">
      <c r="A3" s="87">
        <v>12.0</v>
      </c>
      <c r="B3" s="89" t="s">
        <v>61</v>
      </c>
      <c r="C3" s="89" t="s">
        <v>33</v>
      </c>
      <c r="D3" s="89" t="s">
        <v>223</v>
      </c>
      <c r="E3" s="89" t="s">
        <v>261</v>
      </c>
      <c r="F3" s="89" t="s">
        <v>128</v>
      </c>
      <c r="G3" s="89" t="s">
        <v>176</v>
      </c>
      <c r="H3" s="89" t="s">
        <v>263</v>
      </c>
      <c r="I3" s="89" t="s">
        <v>38</v>
      </c>
      <c r="J3" s="89" t="s">
        <v>265</v>
      </c>
      <c r="K3" s="89" t="s">
        <v>266</v>
      </c>
      <c r="L3" s="89" t="s">
        <v>267</v>
      </c>
      <c r="M3" s="89" t="s">
        <v>268</v>
      </c>
      <c r="N3" s="89" t="s">
        <v>41</v>
      </c>
      <c r="O3" s="91"/>
      <c r="P3" s="91"/>
      <c r="Q3" s="89" t="s">
        <v>271</v>
      </c>
      <c r="R3" s="89">
        <v>1.0</v>
      </c>
      <c r="S3" s="91"/>
      <c r="T3" s="91"/>
      <c r="U3" s="89" t="s">
        <v>83</v>
      </c>
      <c r="V3" s="91"/>
      <c r="W3" s="91"/>
      <c r="X3" s="91"/>
      <c r="Y3" s="89" t="s">
        <v>274</v>
      </c>
      <c r="Z3" s="89" t="s">
        <v>276</v>
      </c>
      <c r="AA3" s="91"/>
      <c r="AB3" s="91"/>
      <c r="AC3" s="91"/>
      <c r="AD3" s="91"/>
      <c r="AE3" s="91"/>
      <c r="AF3" s="91"/>
      <c r="AG3" s="91"/>
      <c r="AH3" s="91"/>
      <c r="AI3" s="91"/>
      <c r="AJ3" s="91"/>
      <c r="AK3" s="91"/>
      <c r="AL3" s="91"/>
      <c r="AM3" s="91"/>
      <c r="AN3" s="91"/>
      <c r="AO3" s="91"/>
      <c r="AP3" s="94"/>
    </row>
    <row r="4">
      <c r="A4" s="87">
        <v>23.0</v>
      </c>
      <c r="B4" s="89" t="s">
        <v>61</v>
      </c>
      <c r="C4" s="89" t="s">
        <v>33</v>
      </c>
      <c r="D4" s="89" t="s">
        <v>223</v>
      </c>
      <c r="E4" s="89" t="s">
        <v>46</v>
      </c>
      <c r="F4" s="89" t="s">
        <v>35</v>
      </c>
      <c r="G4" s="89" t="s">
        <v>36</v>
      </c>
      <c r="H4" s="89" t="s">
        <v>37</v>
      </c>
      <c r="I4" s="89" t="s">
        <v>286</v>
      </c>
      <c r="J4" s="89" t="s">
        <v>288</v>
      </c>
      <c r="K4" s="89" t="s">
        <v>291</v>
      </c>
      <c r="L4" s="89" t="s">
        <v>293</v>
      </c>
      <c r="M4" s="89" t="s">
        <v>268</v>
      </c>
      <c r="N4" s="89" t="s">
        <v>41</v>
      </c>
      <c r="O4" s="89" t="s">
        <v>46</v>
      </c>
      <c r="P4" s="91"/>
      <c r="Q4" s="89" t="s">
        <v>166</v>
      </c>
      <c r="R4" s="89">
        <v>1.0</v>
      </c>
      <c r="S4" s="91"/>
      <c r="T4" s="91"/>
      <c r="U4" s="89" t="s">
        <v>83</v>
      </c>
      <c r="V4" s="91"/>
      <c r="W4" s="89">
        <v>2.0</v>
      </c>
      <c r="X4" s="91"/>
      <c r="Y4" s="91"/>
      <c r="Z4" s="89" t="s">
        <v>300</v>
      </c>
      <c r="AA4" s="91"/>
      <c r="AB4" s="91"/>
      <c r="AC4" s="91"/>
      <c r="AD4" s="91"/>
      <c r="AE4" s="91"/>
      <c r="AF4" s="91"/>
      <c r="AG4" s="91"/>
      <c r="AH4" s="91"/>
      <c r="AI4" s="91"/>
      <c r="AJ4" s="91"/>
      <c r="AK4" s="91"/>
      <c r="AL4" s="91"/>
      <c r="AM4" s="91"/>
      <c r="AN4" s="91"/>
      <c r="AO4" s="91"/>
      <c r="AP4" s="9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27.25"/>
    <col customWidth="1" min="3" max="3" width="30.38"/>
    <col customWidth="1" min="4" max="4" width="14.0"/>
    <col customWidth="1" min="5" max="6" width="10.63"/>
  </cols>
  <sheetData>
    <row r="1" ht="14.25" customHeight="1">
      <c r="A1" s="123" t="s">
        <v>524</v>
      </c>
      <c r="B1" s="124" t="s">
        <v>525</v>
      </c>
      <c r="C1" s="125" t="s">
        <v>526</v>
      </c>
      <c r="D1" s="126" t="s">
        <v>527</v>
      </c>
      <c r="E1" s="127">
        <v>1.0</v>
      </c>
    </row>
    <row r="2" ht="14.25" customHeight="1">
      <c r="A2" s="128" t="s">
        <v>524</v>
      </c>
      <c r="B2" s="129" t="s">
        <v>528</v>
      </c>
      <c r="C2" s="130" t="s">
        <v>526</v>
      </c>
      <c r="D2" s="131" t="s">
        <v>531</v>
      </c>
      <c r="E2" s="127">
        <v>1.0</v>
      </c>
    </row>
    <row r="3" ht="14.25" customHeight="1">
      <c r="A3" s="129" t="s">
        <v>532</v>
      </c>
      <c r="B3" s="132" t="s">
        <v>533</v>
      </c>
      <c r="C3" s="129" t="s">
        <v>534</v>
      </c>
      <c r="D3" s="131" t="s">
        <v>535</v>
      </c>
      <c r="E3" s="127">
        <v>3.0</v>
      </c>
    </row>
    <row r="4" ht="14.25" customHeight="1">
      <c r="A4" s="129" t="s">
        <v>536</v>
      </c>
      <c r="B4" s="132" t="s">
        <v>537</v>
      </c>
      <c r="C4" s="129" t="s">
        <v>538</v>
      </c>
      <c r="D4" s="133" t="s">
        <v>527</v>
      </c>
      <c r="E4" s="127">
        <v>1.0</v>
      </c>
    </row>
    <row r="5" ht="14.25" customHeight="1">
      <c r="A5" s="129" t="s">
        <v>539</v>
      </c>
      <c r="B5" s="132" t="s">
        <v>540</v>
      </c>
      <c r="C5" s="129" t="s">
        <v>538</v>
      </c>
      <c r="D5" s="131" t="s">
        <v>535</v>
      </c>
      <c r="E5" s="127">
        <v>1.0</v>
      </c>
    </row>
    <row r="6" ht="14.25" customHeight="1">
      <c r="A6" s="129" t="s">
        <v>541</v>
      </c>
      <c r="B6" s="132" t="s">
        <v>542</v>
      </c>
      <c r="C6" s="129" t="s">
        <v>543</v>
      </c>
      <c r="D6" s="131" t="s">
        <v>535</v>
      </c>
      <c r="E6" s="127">
        <v>1.0</v>
      </c>
    </row>
    <row r="7" ht="14.25" customHeight="1">
      <c r="A7" s="129" t="s">
        <v>536</v>
      </c>
      <c r="B7" s="132" t="s">
        <v>544</v>
      </c>
      <c r="C7" s="129" t="s">
        <v>545</v>
      </c>
      <c r="D7" s="131" t="s">
        <v>535</v>
      </c>
      <c r="E7" s="127">
        <v>1.0</v>
      </c>
    </row>
    <row r="8" ht="14.25" customHeight="1">
      <c r="A8" s="129" t="s">
        <v>536</v>
      </c>
      <c r="B8" s="132" t="s">
        <v>547</v>
      </c>
      <c r="C8" s="129" t="s">
        <v>550</v>
      </c>
      <c r="D8" s="131" t="s">
        <v>535</v>
      </c>
      <c r="E8" s="127">
        <v>2.0</v>
      </c>
    </row>
    <row r="9" ht="14.25" customHeight="1">
      <c r="A9" s="129" t="s">
        <v>532</v>
      </c>
      <c r="B9" s="132" t="s">
        <v>552</v>
      </c>
      <c r="C9" s="129" t="s">
        <v>554</v>
      </c>
      <c r="D9" s="134" t="s">
        <v>555</v>
      </c>
      <c r="E9" s="127">
        <v>5.0</v>
      </c>
    </row>
    <row r="10" ht="14.25" customHeight="1">
      <c r="A10" s="129" t="s">
        <v>532</v>
      </c>
      <c r="B10" s="132" t="s">
        <v>558</v>
      </c>
      <c r="C10" s="129" t="s">
        <v>560</v>
      </c>
      <c r="D10" s="133" t="s">
        <v>527</v>
      </c>
      <c r="E10" s="127">
        <v>1.0</v>
      </c>
    </row>
    <row r="11" ht="14.25" customHeight="1">
      <c r="A11" s="129" t="s">
        <v>532</v>
      </c>
      <c r="B11" s="135" t="s">
        <v>561</v>
      </c>
      <c r="C11" s="129" t="s">
        <v>562</v>
      </c>
      <c r="D11" s="133" t="s">
        <v>527</v>
      </c>
      <c r="E11" s="127">
        <v>2.0</v>
      </c>
    </row>
    <row r="12" ht="14.25" customHeight="1">
      <c r="A12" s="129" t="s">
        <v>532</v>
      </c>
      <c r="B12" s="132" t="s">
        <v>563</v>
      </c>
      <c r="C12" s="129" t="s">
        <v>562</v>
      </c>
      <c r="D12" s="131" t="s">
        <v>564</v>
      </c>
      <c r="E12" s="127">
        <v>2.0</v>
      </c>
    </row>
    <row r="13" ht="14.25" customHeight="1">
      <c r="A13" s="129" t="s">
        <v>532</v>
      </c>
      <c r="B13" s="132" t="s">
        <v>565</v>
      </c>
      <c r="C13" s="129" t="s">
        <v>566</v>
      </c>
      <c r="D13" s="131" t="s">
        <v>531</v>
      </c>
      <c r="E13" s="127">
        <v>1.0</v>
      </c>
    </row>
    <row r="14" ht="14.25" customHeight="1">
      <c r="A14" s="129" t="s">
        <v>536</v>
      </c>
      <c r="B14" s="132" t="s">
        <v>570</v>
      </c>
      <c r="C14" s="129" t="s">
        <v>571</v>
      </c>
      <c r="D14" s="131" t="s">
        <v>531</v>
      </c>
      <c r="E14" s="127">
        <v>1.0</v>
      </c>
    </row>
    <row r="15" ht="14.25" customHeight="1">
      <c r="A15" s="129" t="s">
        <v>573</v>
      </c>
      <c r="B15" s="132" t="s">
        <v>574</v>
      </c>
      <c r="C15" s="129" t="s">
        <v>560</v>
      </c>
      <c r="D15" s="131" t="s">
        <v>535</v>
      </c>
      <c r="E15" s="127">
        <v>1.0</v>
      </c>
    </row>
    <row r="16" ht="14.25" customHeight="1">
      <c r="A16" s="136" t="s">
        <v>524</v>
      </c>
      <c r="B16" s="132" t="s">
        <v>577</v>
      </c>
      <c r="C16" s="137" t="s">
        <v>578</v>
      </c>
      <c r="D16" s="138" t="s">
        <v>579</v>
      </c>
      <c r="E16" s="127">
        <v>1.0</v>
      </c>
    </row>
    <row r="17" ht="14.25" customHeight="1">
      <c r="A17" s="129" t="s">
        <v>532</v>
      </c>
      <c r="B17" s="129" t="s">
        <v>580</v>
      </c>
      <c r="C17" s="129" t="s">
        <v>581</v>
      </c>
      <c r="D17" s="133" t="s">
        <v>527</v>
      </c>
      <c r="E17" s="127">
        <v>3.0</v>
      </c>
    </row>
    <row r="18" ht="14.25" customHeight="1">
      <c r="A18" s="129" t="s">
        <v>532</v>
      </c>
      <c r="B18" s="132" t="s">
        <v>582</v>
      </c>
      <c r="C18" s="129" t="s">
        <v>583</v>
      </c>
      <c r="D18" s="131" t="s">
        <v>535</v>
      </c>
      <c r="E18" s="127">
        <v>3.0</v>
      </c>
    </row>
    <row r="19" ht="14.25" customHeight="1">
      <c r="A19" s="129" t="s">
        <v>532</v>
      </c>
      <c r="B19" s="132" t="s">
        <v>585</v>
      </c>
      <c r="C19" s="129" t="s">
        <v>586</v>
      </c>
      <c r="D19" s="131" t="s">
        <v>535</v>
      </c>
      <c r="E19" s="127">
        <v>1.0</v>
      </c>
    </row>
    <row r="20" ht="14.25" customHeight="1">
      <c r="A20" s="129" t="s">
        <v>532</v>
      </c>
      <c r="B20" s="132" t="s">
        <v>587</v>
      </c>
      <c r="C20" s="129" t="s">
        <v>588</v>
      </c>
      <c r="D20" s="131" t="s">
        <v>589</v>
      </c>
      <c r="E20" s="127">
        <v>1.0</v>
      </c>
    </row>
    <row r="21" ht="14.25" customHeight="1">
      <c r="A21" s="129" t="s">
        <v>532</v>
      </c>
      <c r="B21" s="132" t="s">
        <v>591</v>
      </c>
      <c r="C21" s="129" t="s">
        <v>592</v>
      </c>
      <c r="D21" s="131" t="s">
        <v>593</v>
      </c>
      <c r="E21" s="127">
        <v>1.0</v>
      </c>
    </row>
    <row r="22" ht="14.25" customHeight="1">
      <c r="A22" s="129" t="s">
        <v>532</v>
      </c>
      <c r="B22" s="132" t="s">
        <v>594</v>
      </c>
      <c r="C22" s="129" t="s">
        <v>595</v>
      </c>
      <c r="D22" s="131" t="s">
        <v>596</v>
      </c>
      <c r="E22" s="127">
        <v>4.0</v>
      </c>
    </row>
    <row r="23" ht="14.25" customHeight="1">
      <c r="A23" s="129" t="s">
        <v>532</v>
      </c>
      <c r="B23" s="132" t="s">
        <v>597</v>
      </c>
      <c r="C23" s="139" t="s">
        <v>598</v>
      </c>
      <c r="D23" s="131" t="s">
        <v>593</v>
      </c>
      <c r="E23" s="127">
        <v>1.0</v>
      </c>
    </row>
    <row r="24" ht="14.25" customHeight="1">
      <c r="A24" s="129" t="s">
        <v>532</v>
      </c>
      <c r="B24" s="132" t="s">
        <v>599</v>
      </c>
      <c r="C24" s="129" t="s">
        <v>600</v>
      </c>
      <c r="D24" s="131" t="s">
        <v>593</v>
      </c>
      <c r="E24" s="127">
        <v>1.0</v>
      </c>
    </row>
    <row r="25" ht="14.25" customHeight="1">
      <c r="A25" s="129" t="s">
        <v>532</v>
      </c>
      <c r="B25" s="132" t="s">
        <v>601</v>
      </c>
      <c r="C25" s="129" t="s">
        <v>602</v>
      </c>
      <c r="D25" s="131" t="s">
        <v>603</v>
      </c>
      <c r="E25" s="127">
        <v>2.0</v>
      </c>
    </row>
    <row r="26" ht="14.25" customHeight="1">
      <c r="A26" s="129" t="s">
        <v>532</v>
      </c>
      <c r="B26" s="140" t="s">
        <v>604</v>
      </c>
      <c r="C26" s="129" t="s">
        <v>605</v>
      </c>
      <c r="D26" s="131" t="s">
        <v>596</v>
      </c>
      <c r="E26" s="127">
        <v>1.0</v>
      </c>
    </row>
    <row r="27" ht="14.25" customHeight="1">
      <c r="A27" s="129" t="s">
        <v>532</v>
      </c>
      <c r="B27" s="140" t="s">
        <v>606</v>
      </c>
      <c r="C27" s="129" t="s">
        <v>607</v>
      </c>
      <c r="D27" s="131" t="s">
        <v>593</v>
      </c>
      <c r="E27" s="127">
        <v>1.0</v>
      </c>
    </row>
    <row r="28" ht="14.25" customHeight="1">
      <c r="A28" s="129" t="s">
        <v>532</v>
      </c>
      <c r="B28" s="132" t="s">
        <v>608</v>
      </c>
      <c r="C28" s="129" t="s">
        <v>609</v>
      </c>
      <c r="D28" s="131" t="s">
        <v>596</v>
      </c>
      <c r="E28" s="127">
        <v>1.0</v>
      </c>
    </row>
    <row r="29" ht="14.25" customHeight="1">
      <c r="A29" s="141" t="s">
        <v>610</v>
      </c>
      <c r="B29" s="132" t="s">
        <v>611</v>
      </c>
      <c r="C29" s="137" t="s">
        <v>612</v>
      </c>
      <c r="D29" s="138" t="s">
        <v>613</v>
      </c>
      <c r="E29" s="127">
        <v>1.0</v>
      </c>
    </row>
    <row r="30" ht="14.25" customHeight="1">
      <c r="A30" s="129" t="s">
        <v>532</v>
      </c>
      <c r="B30" s="140" t="s">
        <v>614</v>
      </c>
      <c r="C30" s="129" t="s">
        <v>615</v>
      </c>
      <c r="D30" s="131" t="s">
        <v>596</v>
      </c>
      <c r="E30" s="127">
        <v>1.0</v>
      </c>
    </row>
    <row r="31" ht="14.25" customHeight="1">
      <c r="E31" s="50">
        <f>SUM(E1:E30)</f>
        <v>47</v>
      </c>
    </row>
    <row r="32" ht="14.25" customHeight="1">
      <c r="E32" s="50"/>
    </row>
    <row r="33" ht="14.25" customHeight="1">
      <c r="E33" s="50"/>
    </row>
    <row r="34" ht="14.25" customHeight="1">
      <c r="E34" s="50"/>
    </row>
    <row r="35" ht="14.25" customHeight="1">
      <c r="E35" s="50"/>
    </row>
    <row r="36" ht="14.25" customHeight="1">
      <c r="E36" s="50"/>
    </row>
    <row r="37" ht="14.25" customHeight="1">
      <c r="E37" s="50"/>
    </row>
    <row r="38" ht="14.25" customHeight="1">
      <c r="E38" s="50"/>
    </row>
    <row r="39" ht="14.25" customHeight="1">
      <c r="E39" s="50"/>
    </row>
    <row r="40" ht="14.25" customHeight="1">
      <c r="E40" s="50"/>
    </row>
    <row r="41" ht="14.25" customHeight="1">
      <c r="E41" s="50"/>
    </row>
    <row r="42" ht="14.25" customHeight="1">
      <c r="E42" s="50"/>
    </row>
    <row r="43" ht="14.25" customHeight="1">
      <c r="E43" s="50"/>
    </row>
    <row r="44" ht="14.25" customHeight="1">
      <c r="E44" s="50"/>
    </row>
    <row r="45" ht="14.25" customHeight="1">
      <c r="E45" s="50"/>
    </row>
    <row r="46" ht="14.25" customHeight="1">
      <c r="E46" s="50"/>
    </row>
    <row r="47" ht="14.25" customHeight="1">
      <c r="E47" s="50"/>
    </row>
    <row r="48" ht="14.25" customHeight="1">
      <c r="E48" s="50"/>
    </row>
    <row r="49" ht="14.25" customHeight="1">
      <c r="E49" s="50"/>
    </row>
    <row r="50" ht="14.25" customHeight="1">
      <c r="E50" s="50"/>
    </row>
    <row r="51" ht="14.25" customHeight="1">
      <c r="E51" s="50"/>
    </row>
    <row r="52" ht="14.25" customHeight="1">
      <c r="E52" s="50"/>
    </row>
    <row r="53" ht="14.25" customHeight="1">
      <c r="E53" s="50"/>
    </row>
    <row r="54" ht="14.25" customHeight="1">
      <c r="E54" s="50"/>
    </row>
    <row r="55" ht="14.25" customHeight="1">
      <c r="E55" s="50"/>
    </row>
    <row r="56" ht="14.25" customHeight="1">
      <c r="E56" s="50"/>
    </row>
    <row r="57" ht="14.25" customHeight="1">
      <c r="E57" s="50"/>
    </row>
    <row r="58" ht="14.25" customHeight="1">
      <c r="E58" s="50"/>
    </row>
    <row r="59" ht="14.25" customHeight="1">
      <c r="E59" s="50"/>
    </row>
    <row r="60" ht="14.25" customHeight="1">
      <c r="E60" s="50"/>
    </row>
    <row r="61" ht="14.25" customHeight="1">
      <c r="E61" s="50"/>
    </row>
    <row r="62" ht="14.25" customHeight="1">
      <c r="E62" s="50"/>
    </row>
    <row r="63" ht="14.25" customHeight="1">
      <c r="E63" s="50"/>
    </row>
    <row r="64" ht="14.25" customHeight="1">
      <c r="E64" s="50"/>
    </row>
    <row r="65" ht="14.25" customHeight="1">
      <c r="E65" s="50"/>
    </row>
    <row r="66" ht="14.25" customHeight="1">
      <c r="E66" s="50"/>
    </row>
    <row r="67" ht="14.25" customHeight="1">
      <c r="E67" s="50"/>
    </row>
    <row r="68" ht="14.25" customHeight="1">
      <c r="E68" s="50"/>
    </row>
    <row r="69" ht="14.25" customHeight="1">
      <c r="E69" s="50"/>
    </row>
    <row r="70" ht="14.25" customHeight="1">
      <c r="E70" s="50"/>
    </row>
    <row r="71" ht="14.25" customHeight="1">
      <c r="E71" s="50"/>
    </row>
    <row r="72" ht="14.25" customHeight="1">
      <c r="E72" s="50"/>
    </row>
    <row r="73" ht="14.25" customHeight="1">
      <c r="E73" s="50"/>
    </row>
    <row r="74" ht="14.25" customHeight="1">
      <c r="E74" s="50"/>
    </row>
    <row r="75" ht="14.25" customHeight="1">
      <c r="E75" s="50"/>
    </row>
    <row r="76" ht="14.25" customHeight="1">
      <c r="E76" s="50"/>
    </row>
    <row r="77" ht="14.25" customHeight="1">
      <c r="E77" s="50"/>
    </row>
    <row r="78" ht="14.25" customHeight="1">
      <c r="E78" s="50"/>
    </row>
    <row r="79" ht="14.25" customHeight="1">
      <c r="E79" s="50"/>
    </row>
    <row r="80" ht="14.25" customHeight="1">
      <c r="E80" s="50"/>
    </row>
    <row r="81" ht="14.25" customHeight="1">
      <c r="E81" s="50"/>
    </row>
    <row r="82" ht="14.25" customHeight="1">
      <c r="E82" s="50"/>
    </row>
    <row r="83" ht="14.25" customHeight="1">
      <c r="E83" s="50"/>
    </row>
    <row r="84" ht="14.25" customHeight="1">
      <c r="E84" s="50"/>
    </row>
    <row r="85" ht="14.25" customHeight="1">
      <c r="E85" s="50"/>
    </row>
    <row r="86" ht="14.25" customHeight="1">
      <c r="E86" s="50"/>
    </row>
    <row r="87" ht="14.25" customHeight="1">
      <c r="E87" s="50"/>
    </row>
    <row r="88" ht="14.25" customHeight="1">
      <c r="E88" s="50"/>
    </row>
    <row r="89" ht="14.25" customHeight="1">
      <c r="E89" s="50"/>
    </row>
    <row r="90" ht="14.25" customHeight="1">
      <c r="E90" s="50"/>
    </row>
    <row r="91" ht="14.25" customHeight="1">
      <c r="E91" s="50"/>
    </row>
    <row r="92" ht="14.25" customHeight="1">
      <c r="E92" s="50"/>
    </row>
    <row r="93" ht="14.25" customHeight="1">
      <c r="E93" s="50"/>
    </row>
    <row r="94" ht="14.25" customHeight="1">
      <c r="E94" s="50"/>
    </row>
    <row r="95" ht="14.25" customHeight="1">
      <c r="E95" s="50"/>
    </row>
    <row r="96" ht="14.25" customHeight="1">
      <c r="E96" s="50"/>
    </row>
    <row r="97" ht="14.25" customHeight="1">
      <c r="E97" s="50"/>
    </row>
    <row r="98" ht="14.25" customHeight="1">
      <c r="E98" s="50"/>
    </row>
    <row r="99" ht="14.25" customHeight="1">
      <c r="E99" s="50"/>
    </row>
    <row r="100" ht="14.25" customHeight="1">
      <c r="E100" s="50"/>
    </row>
    <row r="101" ht="14.25" customHeight="1">
      <c r="E101" s="50"/>
    </row>
    <row r="102" ht="14.25" customHeight="1">
      <c r="E102" s="50"/>
    </row>
    <row r="103" ht="14.25" customHeight="1">
      <c r="E103" s="50"/>
    </row>
    <row r="104" ht="14.25" customHeight="1">
      <c r="E104" s="50"/>
    </row>
    <row r="105" ht="14.25" customHeight="1">
      <c r="E105" s="50"/>
    </row>
    <row r="106" ht="14.25" customHeight="1">
      <c r="E106" s="50"/>
    </row>
    <row r="107" ht="14.25" customHeight="1">
      <c r="E107" s="50"/>
    </row>
    <row r="108" ht="14.25" customHeight="1">
      <c r="E108" s="50"/>
    </row>
    <row r="109" ht="14.25" customHeight="1">
      <c r="E109" s="50"/>
    </row>
    <row r="110" ht="14.25" customHeight="1">
      <c r="E110" s="50"/>
    </row>
    <row r="111" ht="14.25" customHeight="1">
      <c r="E111" s="50"/>
    </row>
    <row r="112" ht="14.25" customHeight="1">
      <c r="E112" s="50"/>
    </row>
    <row r="113" ht="14.25" customHeight="1">
      <c r="E113" s="50"/>
    </row>
    <row r="114" ht="14.25" customHeight="1">
      <c r="E114" s="50"/>
    </row>
    <row r="115" ht="14.25" customHeight="1">
      <c r="E115" s="50"/>
    </row>
    <row r="116" ht="14.25" customHeight="1">
      <c r="E116" s="50"/>
    </row>
    <row r="117" ht="14.25" customHeight="1">
      <c r="E117" s="50"/>
    </row>
    <row r="118" ht="14.25" customHeight="1">
      <c r="E118" s="50"/>
    </row>
    <row r="119" ht="14.25" customHeight="1">
      <c r="E119" s="50"/>
    </row>
    <row r="120" ht="14.25" customHeight="1">
      <c r="E120" s="50"/>
    </row>
    <row r="121" ht="14.25" customHeight="1">
      <c r="E121" s="50"/>
    </row>
    <row r="122" ht="14.25" customHeight="1">
      <c r="E122" s="50"/>
    </row>
    <row r="123" ht="14.25" customHeight="1">
      <c r="E123" s="50"/>
    </row>
    <row r="124" ht="14.25" customHeight="1">
      <c r="E124" s="50"/>
    </row>
    <row r="125" ht="14.25" customHeight="1">
      <c r="E125" s="50"/>
    </row>
    <row r="126" ht="14.25" customHeight="1">
      <c r="E126" s="50"/>
    </row>
    <row r="127" ht="14.25" customHeight="1">
      <c r="E127" s="50"/>
    </row>
    <row r="128" ht="14.25" customHeight="1">
      <c r="E128" s="50"/>
    </row>
    <row r="129" ht="14.25" customHeight="1">
      <c r="E129" s="50"/>
    </row>
    <row r="130" ht="14.25" customHeight="1">
      <c r="E130" s="50"/>
    </row>
    <row r="131" ht="14.25" customHeight="1">
      <c r="E131" s="50"/>
    </row>
    <row r="132" ht="14.25" customHeight="1">
      <c r="E132" s="50"/>
    </row>
    <row r="133" ht="14.25" customHeight="1">
      <c r="E133" s="50"/>
    </row>
    <row r="134" ht="14.25" customHeight="1">
      <c r="E134" s="50"/>
    </row>
    <row r="135" ht="14.25" customHeight="1">
      <c r="E135" s="50"/>
    </row>
    <row r="136" ht="14.25" customHeight="1">
      <c r="E136" s="50"/>
    </row>
    <row r="137" ht="14.25" customHeight="1">
      <c r="E137" s="50"/>
    </row>
    <row r="138" ht="14.25" customHeight="1">
      <c r="E138" s="50"/>
    </row>
    <row r="139" ht="14.25" customHeight="1">
      <c r="E139" s="50"/>
    </row>
    <row r="140" ht="14.25" customHeight="1">
      <c r="E140" s="50"/>
    </row>
    <row r="141" ht="14.25" customHeight="1">
      <c r="E141" s="50"/>
    </row>
    <row r="142" ht="14.25" customHeight="1">
      <c r="E142" s="50"/>
    </row>
    <row r="143" ht="14.25" customHeight="1">
      <c r="E143" s="50"/>
    </row>
    <row r="144" ht="14.25" customHeight="1">
      <c r="E144" s="50"/>
    </row>
    <row r="145" ht="14.25" customHeight="1">
      <c r="E145" s="50"/>
    </row>
    <row r="146" ht="14.25" customHeight="1">
      <c r="E146" s="50"/>
    </row>
    <row r="147" ht="14.25" customHeight="1">
      <c r="E147" s="50"/>
    </row>
    <row r="148" ht="14.25" customHeight="1">
      <c r="E148" s="50"/>
    </row>
    <row r="149" ht="14.25" customHeight="1">
      <c r="E149" s="50"/>
    </row>
    <row r="150" ht="14.25" customHeight="1">
      <c r="E150" s="50"/>
    </row>
    <row r="151" ht="14.25" customHeight="1">
      <c r="E151" s="50"/>
    </row>
    <row r="152" ht="14.25" customHeight="1">
      <c r="E152" s="50"/>
    </row>
    <row r="153" ht="14.25" customHeight="1">
      <c r="E153" s="50"/>
    </row>
    <row r="154" ht="14.25" customHeight="1">
      <c r="E154" s="50"/>
    </row>
    <row r="155" ht="14.25" customHeight="1">
      <c r="E155" s="50"/>
    </row>
    <row r="156" ht="14.25" customHeight="1">
      <c r="E156" s="50"/>
    </row>
    <row r="157" ht="14.25" customHeight="1">
      <c r="E157" s="50"/>
    </row>
    <row r="158" ht="14.25" customHeight="1">
      <c r="E158" s="50"/>
    </row>
    <row r="159" ht="14.25" customHeight="1">
      <c r="E159" s="50"/>
    </row>
    <row r="160" ht="14.25" customHeight="1">
      <c r="E160" s="50"/>
    </row>
    <row r="161" ht="14.25" customHeight="1">
      <c r="E161" s="50"/>
    </row>
    <row r="162" ht="14.25" customHeight="1">
      <c r="E162" s="50"/>
    </row>
    <row r="163" ht="14.25" customHeight="1">
      <c r="E163" s="50"/>
    </row>
    <row r="164" ht="14.25" customHeight="1">
      <c r="E164" s="50"/>
    </row>
    <row r="165" ht="14.25" customHeight="1">
      <c r="E165" s="50"/>
    </row>
    <row r="166" ht="14.25" customHeight="1">
      <c r="E166" s="50"/>
    </row>
    <row r="167" ht="14.25" customHeight="1">
      <c r="E167" s="50"/>
    </row>
    <row r="168" ht="14.25" customHeight="1">
      <c r="E168" s="50"/>
    </row>
    <row r="169" ht="14.25" customHeight="1">
      <c r="E169" s="50"/>
    </row>
    <row r="170" ht="14.25" customHeight="1">
      <c r="E170" s="50"/>
    </row>
    <row r="171" ht="14.25" customHeight="1">
      <c r="E171" s="50"/>
    </row>
    <row r="172" ht="14.25" customHeight="1">
      <c r="E172" s="50"/>
    </row>
    <row r="173" ht="14.25" customHeight="1">
      <c r="E173" s="50"/>
    </row>
    <row r="174" ht="14.25" customHeight="1">
      <c r="E174" s="50"/>
    </row>
    <row r="175" ht="14.25" customHeight="1">
      <c r="E175" s="50"/>
    </row>
    <row r="176" ht="14.25" customHeight="1">
      <c r="E176" s="50"/>
    </row>
    <row r="177" ht="14.25" customHeight="1">
      <c r="E177" s="50"/>
    </row>
    <row r="178" ht="14.25" customHeight="1">
      <c r="E178" s="50"/>
    </row>
    <row r="179" ht="14.25" customHeight="1">
      <c r="E179" s="50"/>
    </row>
    <row r="180" ht="14.25" customHeight="1">
      <c r="E180" s="50"/>
    </row>
    <row r="181" ht="14.25" customHeight="1">
      <c r="E181" s="50"/>
    </row>
    <row r="182" ht="14.25" customHeight="1">
      <c r="E182" s="50"/>
    </row>
    <row r="183" ht="14.25" customHeight="1">
      <c r="E183" s="50"/>
    </row>
    <row r="184" ht="14.25" customHeight="1">
      <c r="E184" s="50"/>
    </row>
    <row r="185" ht="14.25" customHeight="1">
      <c r="E185" s="50"/>
    </row>
    <row r="186" ht="14.25" customHeight="1">
      <c r="E186" s="50"/>
    </row>
    <row r="187" ht="14.25" customHeight="1">
      <c r="E187" s="50"/>
    </row>
    <row r="188" ht="14.25" customHeight="1">
      <c r="E188" s="50"/>
    </row>
    <row r="189" ht="14.25" customHeight="1">
      <c r="E189" s="50"/>
    </row>
    <row r="190" ht="14.25" customHeight="1">
      <c r="E190" s="50"/>
    </row>
    <row r="191" ht="14.25" customHeight="1">
      <c r="E191" s="50"/>
    </row>
    <row r="192" ht="14.25" customHeight="1">
      <c r="E192" s="50"/>
    </row>
    <row r="193" ht="14.25" customHeight="1">
      <c r="E193" s="50"/>
    </row>
    <row r="194" ht="14.25" customHeight="1">
      <c r="E194" s="50"/>
    </row>
    <row r="195" ht="14.25" customHeight="1">
      <c r="E195" s="50"/>
    </row>
    <row r="196" ht="14.25" customHeight="1">
      <c r="E196" s="50"/>
    </row>
    <row r="197" ht="14.25" customHeight="1">
      <c r="E197" s="50"/>
    </row>
    <row r="198" ht="14.25" customHeight="1">
      <c r="E198" s="50"/>
    </row>
    <row r="199" ht="14.25" customHeight="1">
      <c r="E199" s="50"/>
    </row>
    <row r="200" ht="14.25" customHeight="1">
      <c r="E200" s="50"/>
    </row>
    <row r="201" ht="14.25" customHeight="1">
      <c r="E201" s="50"/>
    </row>
    <row r="202" ht="14.25" customHeight="1">
      <c r="E202" s="50"/>
    </row>
    <row r="203" ht="14.25" customHeight="1">
      <c r="E203" s="50"/>
    </row>
    <row r="204" ht="14.25" customHeight="1">
      <c r="E204" s="50"/>
    </row>
    <row r="205" ht="14.25" customHeight="1">
      <c r="E205" s="50"/>
    </row>
    <row r="206" ht="14.25" customHeight="1">
      <c r="E206" s="50"/>
    </row>
    <row r="207" ht="14.25" customHeight="1">
      <c r="E207" s="50"/>
    </row>
    <row r="208" ht="14.25" customHeight="1">
      <c r="E208" s="50"/>
    </row>
    <row r="209" ht="14.25" customHeight="1">
      <c r="E209" s="50"/>
    </row>
    <row r="210" ht="14.25" customHeight="1">
      <c r="E210" s="50"/>
    </row>
    <row r="211" ht="14.25" customHeight="1">
      <c r="E211" s="50"/>
    </row>
    <row r="212" ht="14.25" customHeight="1">
      <c r="E212" s="50"/>
    </row>
    <row r="213" ht="14.25" customHeight="1">
      <c r="E213" s="50"/>
    </row>
    <row r="214" ht="14.25" customHeight="1">
      <c r="E214" s="50"/>
    </row>
    <row r="215" ht="14.25" customHeight="1">
      <c r="E215" s="50"/>
    </row>
    <row r="216" ht="14.25" customHeight="1">
      <c r="E216" s="50"/>
    </row>
    <row r="217" ht="14.25" customHeight="1">
      <c r="E217" s="50"/>
    </row>
    <row r="218" ht="14.25" customHeight="1">
      <c r="E218" s="50"/>
    </row>
    <row r="219" ht="14.25" customHeight="1">
      <c r="E219" s="50"/>
    </row>
    <row r="220" ht="14.25" customHeight="1">
      <c r="E220" s="50"/>
    </row>
    <row r="221" ht="14.25" customHeight="1">
      <c r="E221" s="50"/>
    </row>
    <row r="222" ht="14.25" customHeight="1">
      <c r="E222" s="50"/>
    </row>
    <row r="223" ht="14.25" customHeight="1">
      <c r="E223" s="50"/>
    </row>
    <row r="224" ht="14.25" customHeight="1">
      <c r="E224" s="50"/>
    </row>
    <row r="225" ht="14.25" customHeight="1">
      <c r="E225" s="50"/>
    </row>
    <row r="226" ht="14.25" customHeight="1">
      <c r="E226" s="50"/>
    </row>
    <row r="227" ht="14.25" customHeight="1">
      <c r="E227" s="50"/>
    </row>
    <row r="228" ht="14.25" customHeight="1">
      <c r="E228" s="50"/>
    </row>
    <row r="229" ht="14.25" customHeight="1">
      <c r="E229" s="50"/>
    </row>
    <row r="230" ht="14.25" customHeight="1">
      <c r="E230" s="50"/>
    </row>
    <row r="231" ht="14.25" customHeight="1">
      <c r="E231" s="50"/>
    </row>
    <row r="232" ht="14.25" customHeight="1">
      <c r="E232" s="50"/>
    </row>
    <row r="233" ht="14.25" customHeight="1">
      <c r="E233" s="50"/>
    </row>
    <row r="234" ht="14.25" customHeight="1">
      <c r="E234" s="50"/>
    </row>
    <row r="235" ht="14.25" customHeight="1">
      <c r="E235" s="50"/>
    </row>
    <row r="236" ht="14.25" customHeight="1">
      <c r="E236" s="50"/>
    </row>
    <row r="237" ht="14.25" customHeight="1">
      <c r="E237" s="50"/>
    </row>
    <row r="238" ht="14.25" customHeight="1">
      <c r="E238" s="50"/>
    </row>
    <row r="239" ht="14.25" customHeight="1">
      <c r="E239" s="50"/>
    </row>
    <row r="240" ht="14.25" customHeight="1">
      <c r="E240" s="50"/>
    </row>
    <row r="241" ht="14.25" customHeight="1">
      <c r="E241" s="50"/>
    </row>
    <row r="242" ht="14.25" customHeight="1">
      <c r="E242" s="50"/>
    </row>
    <row r="243" ht="14.25" customHeight="1">
      <c r="E243" s="50"/>
    </row>
    <row r="244" ht="14.25" customHeight="1">
      <c r="E244" s="50"/>
    </row>
    <row r="245" ht="14.25" customHeight="1">
      <c r="E245" s="50"/>
    </row>
    <row r="246" ht="14.25" customHeight="1">
      <c r="E246" s="50"/>
    </row>
    <row r="247" ht="14.25" customHeight="1">
      <c r="E247" s="50"/>
    </row>
    <row r="248" ht="14.25" customHeight="1">
      <c r="E248" s="50"/>
    </row>
    <row r="249" ht="14.25" customHeight="1">
      <c r="E249" s="50"/>
    </row>
    <row r="250" ht="14.25" customHeight="1">
      <c r="E250" s="50"/>
    </row>
    <row r="251" ht="14.25" customHeight="1">
      <c r="E251" s="50"/>
    </row>
    <row r="252" ht="14.25" customHeight="1">
      <c r="E252" s="50"/>
    </row>
    <row r="253" ht="14.25" customHeight="1">
      <c r="E253" s="50"/>
    </row>
    <row r="254" ht="14.25" customHeight="1">
      <c r="E254" s="50"/>
    </row>
    <row r="255" ht="14.25" customHeight="1">
      <c r="E255" s="50"/>
    </row>
    <row r="256" ht="14.25" customHeight="1">
      <c r="E256" s="50"/>
    </row>
    <row r="257" ht="14.25" customHeight="1">
      <c r="E257" s="50"/>
    </row>
    <row r="258" ht="14.25" customHeight="1">
      <c r="E258" s="50"/>
    </row>
    <row r="259" ht="14.25" customHeight="1">
      <c r="E259" s="50"/>
    </row>
    <row r="260" ht="14.25" customHeight="1">
      <c r="E260" s="50"/>
    </row>
    <row r="261" ht="14.25" customHeight="1">
      <c r="E261" s="50"/>
    </row>
    <row r="262" ht="14.25" customHeight="1">
      <c r="E262" s="50"/>
    </row>
    <row r="263" ht="14.25" customHeight="1">
      <c r="E263" s="50"/>
    </row>
    <row r="264" ht="14.25" customHeight="1">
      <c r="E264" s="50"/>
    </row>
    <row r="265" ht="14.25" customHeight="1">
      <c r="E265" s="50"/>
    </row>
    <row r="266" ht="14.25" customHeight="1">
      <c r="E266" s="50"/>
    </row>
    <row r="267" ht="14.25" customHeight="1">
      <c r="E267" s="50"/>
    </row>
    <row r="268" ht="14.25" customHeight="1">
      <c r="E268" s="50"/>
    </row>
    <row r="269" ht="14.25" customHeight="1">
      <c r="E269" s="50"/>
    </row>
    <row r="270" ht="14.25" customHeight="1">
      <c r="E270" s="50"/>
    </row>
    <row r="271" ht="14.25" customHeight="1">
      <c r="E271" s="50"/>
    </row>
    <row r="272" ht="14.25" customHeight="1">
      <c r="E272" s="50"/>
    </row>
    <row r="273" ht="14.25" customHeight="1">
      <c r="E273" s="50"/>
    </row>
    <row r="274" ht="14.25" customHeight="1">
      <c r="E274" s="50"/>
    </row>
    <row r="275" ht="14.25" customHeight="1">
      <c r="E275" s="50"/>
    </row>
    <row r="276" ht="14.25" customHeight="1">
      <c r="E276" s="50"/>
    </row>
    <row r="277" ht="14.25" customHeight="1">
      <c r="E277" s="50"/>
    </row>
    <row r="278" ht="14.25" customHeight="1">
      <c r="E278" s="50"/>
    </row>
    <row r="279" ht="14.25" customHeight="1">
      <c r="E279" s="50"/>
    </row>
    <row r="280" ht="14.25" customHeight="1">
      <c r="E280" s="50"/>
    </row>
    <row r="281" ht="14.25" customHeight="1">
      <c r="E281" s="50"/>
    </row>
    <row r="282" ht="14.25" customHeight="1">
      <c r="E282" s="50"/>
    </row>
    <row r="283" ht="14.25" customHeight="1">
      <c r="E283" s="50"/>
    </row>
    <row r="284" ht="14.25" customHeight="1">
      <c r="E284" s="50"/>
    </row>
    <row r="285" ht="14.25" customHeight="1">
      <c r="E285" s="50"/>
    </row>
    <row r="286" ht="14.25" customHeight="1">
      <c r="E286" s="50"/>
    </row>
    <row r="287" ht="14.25" customHeight="1">
      <c r="E287" s="50"/>
    </row>
    <row r="288" ht="14.25" customHeight="1">
      <c r="E288" s="50"/>
    </row>
    <row r="289" ht="14.25" customHeight="1">
      <c r="E289" s="50"/>
    </row>
    <row r="290" ht="14.25" customHeight="1">
      <c r="E290" s="50"/>
    </row>
    <row r="291" ht="14.25" customHeight="1">
      <c r="E291" s="50"/>
    </row>
    <row r="292" ht="14.25" customHeight="1">
      <c r="E292" s="50"/>
    </row>
    <row r="293" ht="14.25" customHeight="1">
      <c r="E293" s="50"/>
    </row>
    <row r="294" ht="14.25" customHeight="1">
      <c r="E294" s="50"/>
    </row>
    <row r="295" ht="14.25" customHeight="1">
      <c r="E295" s="50"/>
    </row>
    <row r="296" ht="14.25" customHeight="1">
      <c r="E296" s="50"/>
    </row>
    <row r="297" ht="14.25" customHeight="1">
      <c r="E297" s="50"/>
    </row>
    <row r="298" ht="14.25" customHeight="1">
      <c r="E298" s="50"/>
    </row>
    <row r="299" ht="14.25" customHeight="1">
      <c r="E299" s="50"/>
    </row>
    <row r="300" ht="14.25" customHeight="1">
      <c r="E300" s="50"/>
    </row>
    <row r="301" ht="14.25" customHeight="1">
      <c r="E301" s="50"/>
    </row>
    <row r="302" ht="14.25" customHeight="1">
      <c r="E302" s="50"/>
    </row>
    <row r="303" ht="14.25" customHeight="1">
      <c r="E303" s="50"/>
    </row>
    <row r="304" ht="14.25" customHeight="1">
      <c r="E304" s="50"/>
    </row>
    <row r="305" ht="14.25" customHeight="1">
      <c r="E305" s="50"/>
    </row>
    <row r="306" ht="14.25" customHeight="1">
      <c r="E306" s="50"/>
    </row>
    <row r="307" ht="14.25" customHeight="1">
      <c r="E307" s="50"/>
    </row>
    <row r="308" ht="14.25" customHeight="1">
      <c r="E308" s="50"/>
    </row>
    <row r="309" ht="14.25" customHeight="1">
      <c r="E309" s="50"/>
    </row>
    <row r="310" ht="14.25" customHeight="1">
      <c r="E310" s="50"/>
    </row>
    <row r="311" ht="14.25" customHeight="1">
      <c r="E311" s="50"/>
    </row>
    <row r="312" ht="14.25" customHeight="1">
      <c r="E312" s="50"/>
    </row>
    <row r="313" ht="14.25" customHeight="1">
      <c r="E313" s="50"/>
    </row>
    <row r="314" ht="14.25" customHeight="1">
      <c r="E314" s="50"/>
    </row>
    <row r="315" ht="14.25" customHeight="1">
      <c r="E315" s="50"/>
    </row>
    <row r="316" ht="14.25" customHeight="1">
      <c r="E316" s="50"/>
    </row>
    <row r="317" ht="14.25" customHeight="1">
      <c r="E317" s="50"/>
    </row>
    <row r="318" ht="14.25" customHeight="1">
      <c r="E318" s="50"/>
    </row>
    <row r="319" ht="14.25" customHeight="1">
      <c r="E319" s="50"/>
    </row>
    <row r="320" ht="14.25" customHeight="1">
      <c r="E320" s="50"/>
    </row>
    <row r="321" ht="14.25" customHeight="1">
      <c r="E321" s="50"/>
    </row>
    <row r="322" ht="14.25" customHeight="1">
      <c r="E322" s="50"/>
    </row>
    <row r="323" ht="14.25" customHeight="1">
      <c r="E323" s="50"/>
    </row>
    <row r="324" ht="14.25" customHeight="1">
      <c r="E324" s="50"/>
    </row>
    <row r="325" ht="14.25" customHeight="1">
      <c r="E325" s="50"/>
    </row>
    <row r="326" ht="14.25" customHeight="1">
      <c r="E326" s="50"/>
    </row>
    <row r="327" ht="14.25" customHeight="1">
      <c r="E327" s="50"/>
    </row>
    <row r="328" ht="14.25" customHeight="1">
      <c r="E328" s="50"/>
    </row>
    <row r="329" ht="14.25" customHeight="1">
      <c r="E329" s="50"/>
    </row>
    <row r="330" ht="14.25" customHeight="1">
      <c r="E330" s="50"/>
    </row>
    <row r="331" ht="14.25" customHeight="1">
      <c r="E331" s="50"/>
    </row>
    <row r="332" ht="14.25" customHeight="1">
      <c r="E332" s="50"/>
    </row>
    <row r="333" ht="14.25" customHeight="1">
      <c r="E333" s="50"/>
    </row>
    <row r="334" ht="14.25" customHeight="1">
      <c r="E334" s="50"/>
    </row>
    <row r="335" ht="14.25" customHeight="1">
      <c r="E335" s="50"/>
    </row>
    <row r="336" ht="14.25" customHeight="1">
      <c r="E336" s="50"/>
    </row>
    <row r="337" ht="14.25" customHeight="1">
      <c r="E337" s="50"/>
    </row>
    <row r="338" ht="14.25" customHeight="1">
      <c r="E338" s="50"/>
    </row>
    <row r="339" ht="14.25" customHeight="1">
      <c r="E339" s="50"/>
    </row>
    <row r="340" ht="14.25" customHeight="1">
      <c r="E340" s="50"/>
    </row>
    <row r="341" ht="14.25" customHeight="1">
      <c r="E341" s="50"/>
    </row>
    <row r="342" ht="14.25" customHeight="1">
      <c r="E342" s="50"/>
    </row>
    <row r="343" ht="14.25" customHeight="1">
      <c r="E343" s="50"/>
    </row>
    <row r="344" ht="14.25" customHeight="1">
      <c r="E344" s="50"/>
    </row>
    <row r="345" ht="14.25" customHeight="1">
      <c r="E345" s="50"/>
    </row>
    <row r="346" ht="14.25" customHeight="1">
      <c r="E346" s="50"/>
    </row>
    <row r="347" ht="14.25" customHeight="1">
      <c r="E347" s="50"/>
    </row>
    <row r="348" ht="14.25" customHeight="1">
      <c r="E348" s="50"/>
    </row>
    <row r="349" ht="14.25" customHeight="1">
      <c r="E349" s="50"/>
    </row>
    <row r="350" ht="14.25" customHeight="1">
      <c r="E350" s="50"/>
    </row>
    <row r="351" ht="14.25" customHeight="1">
      <c r="E351" s="50"/>
    </row>
    <row r="352" ht="14.25" customHeight="1">
      <c r="E352" s="50"/>
    </row>
    <row r="353" ht="14.25" customHeight="1">
      <c r="E353" s="50"/>
    </row>
    <row r="354" ht="14.25" customHeight="1">
      <c r="E354" s="50"/>
    </row>
    <row r="355" ht="14.25" customHeight="1">
      <c r="E355" s="50"/>
    </row>
    <row r="356" ht="14.25" customHeight="1">
      <c r="E356" s="50"/>
    </row>
    <row r="357" ht="14.25" customHeight="1">
      <c r="E357" s="50"/>
    </row>
    <row r="358" ht="14.25" customHeight="1">
      <c r="E358" s="50"/>
    </row>
    <row r="359" ht="14.25" customHeight="1">
      <c r="E359" s="50"/>
    </row>
    <row r="360" ht="14.25" customHeight="1">
      <c r="E360" s="50"/>
    </row>
    <row r="361" ht="14.25" customHeight="1">
      <c r="E361" s="50"/>
    </row>
    <row r="362" ht="14.25" customHeight="1">
      <c r="E362" s="50"/>
    </row>
    <row r="363" ht="14.25" customHeight="1">
      <c r="E363" s="50"/>
    </row>
    <row r="364" ht="14.25" customHeight="1">
      <c r="E364" s="50"/>
    </row>
    <row r="365" ht="14.25" customHeight="1">
      <c r="E365" s="50"/>
    </row>
    <row r="366" ht="14.25" customHeight="1">
      <c r="E366" s="50"/>
    </row>
    <row r="367" ht="14.25" customHeight="1">
      <c r="E367" s="50"/>
    </row>
    <row r="368" ht="14.25" customHeight="1">
      <c r="E368" s="50"/>
    </row>
    <row r="369" ht="14.25" customHeight="1">
      <c r="E369" s="50"/>
    </row>
    <row r="370" ht="14.25" customHeight="1">
      <c r="E370" s="50"/>
    </row>
    <row r="371" ht="14.25" customHeight="1">
      <c r="E371" s="50"/>
    </row>
    <row r="372" ht="14.25" customHeight="1">
      <c r="E372" s="50"/>
    </row>
    <row r="373" ht="14.25" customHeight="1">
      <c r="E373" s="50"/>
    </row>
    <row r="374" ht="14.25" customHeight="1">
      <c r="E374" s="50"/>
    </row>
    <row r="375" ht="14.25" customHeight="1">
      <c r="E375" s="50"/>
    </row>
    <row r="376" ht="14.25" customHeight="1">
      <c r="E376" s="50"/>
    </row>
    <row r="377" ht="14.25" customHeight="1">
      <c r="E377" s="50"/>
    </row>
    <row r="378" ht="14.25" customHeight="1">
      <c r="E378" s="50"/>
    </row>
    <row r="379" ht="14.25" customHeight="1">
      <c r="E379" s="50"/>
    </row>
    <row r="380" ht="14.25" customHeight="1">
      <c r="E380" s="50"/>
    </row>
    <row r="381" ht="14.25" customHeight="1">
      <c r="E381" s="50"/>
    </row>
    <row r="382" ht="14.25" customHeight="1">
      <c r="E382" s="50"/>
    </row>
    <row r="383" ht="14.25" customHeight="1">
      <c r="E383" s="50"/>
    </row>
    <row r="384" ht="14.25" customHeight="1">
      <c r="E384" s="50"/>
    </row>
    <row r="385" ht="14.25" customHeight="1">
      <c r="E385" s="50"/>
    </row>
    <row r="386" ht="14.25" customHeight="1">
      <c r="E386" s="50"/>
    </row>
    <row r="387" ht="14.25" customHeight="1">
      <c r="E387" s="50"/>
    </row>
    <row r="388" ht="14.25" customHeight="1">
      <c r="E388" s="50"/>
    </row>
    <row r="389" ht="14.25" customHeight="1">
      <c r="E389" s="50"/>
    </row>
    <row r="390" ht="14.25" customHeight="1">
      <c r="E390" s="50"/>
    </row>
    <row r="391" ht="14.25" customHeight="1">
      <c r="E391" s="50"/>
    </row>
    <row r="392" ht="14.25" customHeight="1">
      <c r="E392" s="50"/>
    </row>
    <row r="393" ht="14.25" customHeight="1">
      <c r="E393" s="50"/>
    </row>
    <row r="394" ht="14.25" customHeight="1">
      <c r="E394" s="50"/>
    </row>
    <row r="395" ht="14.25" customHeight="1">
      <c r="E395" s="50"/>
    </row>
    <row r="396" ht="14.25" customHeight="1">
      <c r="E396" s="50"/>
    </row>
    <row r="397" ht="14.25" customHeight="1">
      <c r="E397" s="50"/>
    </row>
    <row r="398" ht="14.25" customHeight="1">
      <c r="E398" s="50"/>
    </row>
    <row r="399" ht="14.25" customHeight="1">
      <c r="E399" s="50"/>
    </row>
    <row r="400" ht="14.25" customHeight="1">
      <c r="E400" s="50"/>
    </row>
    <row r="401" ht="14.25" customHeight="1">
      <c r="E401" s="50"/>
    </row>
    <row r="402" ht="14.25" customHeight="1">
      <c r="E402" s="50"/>
    </row>
    <row r="403" ht="14.25" customHeight="1">
      <c r="E403" s="50"/>
    </row>
    <row r="404" ht="14.25" customHeight="1">
      <c r="E404" s="50"/>
    </row>
    <row r="405" ht="14.25" customHeight="1">
      <c r="E405" s="50"/>
    </row>
    <row r="406" ht="14.25" customHeight="1">
      <c r="E406" s="50"/>
    </row>
    <row r="407" ht="14.25" customHeight="1">
      <c r="E407" s="50"/>
    </row>
    <row r="408" ht="14.25" customHeight="1">
      <c r="E408" s="50"/>
    </row>
    <row r="409" ht="14.25" customHeight="1">
      <c r="E409" s="50"/>
    </row>
    <row r="410" ht="14.25" customHeight="1">
      <c r="E410" s="50"/>
    </row>
    <row r="411" ht="14.25" customHeight="1">
      <c r="E411" s="50"/>
    </row>
    <row r="412" ht="14.25" customHeight="1">
      <c r="E412" s="50"/>
    </row>
    <row r="413" ht="14.25" customHeight="1">
      <c r="E413" s="50"/>
    </row>
    <row r="414" ht="14.25" customHeight="1">
      <c r="E414" s="50"/>
    </row>
    <row r="415" ht="14.25" customHeight="1">
      <c r="E415" s="50"/>
    </row>
    <row r="416" ht="14.25" customHeight="1">
      <c r="E416" s="50"/>
    </row>
    <row r="417" ht="14.25" customHeight="1">
      <c r="E417" s="50"/>
    </row>
    <row r="418" ht="14.25" customHeight="1">
      <c r="E418" s="50"/>
    </row>
    <row r="419" ht="14.25" customHeight="1">
      <c r="E419" s="50"/>
    </row>
    <row r="420" ht="14.25" customHeight="1">
      <c r="E420" s="50"/>
    </row>
    <row r="421" ht="14.25" customHeight="1">
      <c r="E421" s="50"/>
    </row>
    <row r="422" ht="14.25" customHeight="1">
      <c r="E422" s="50"/>
    </row>
    <row r="423" ht="14.25" customHeight="1">
      <c r="E423" s="50"/>
    </row>
    <row r="424" ht="14.25" customHeight="1">
      <c r="E424" s="50"/>
    </row>
    <row r="425" ht="14.25" customHeight="1">
      <c r="E425" s="50"/>
    </row>
    <row r="426" ht="14.25" customHeight="1">
      <c r="E426" s="50"/>
    </row>
    <row r="427" ht="14.25" customHeight="1">
      <c r="E427" s="50"/>
    </row>
    <row r="428" ht="14.25" customHeight="1">
      <c r="E428" s="50"/>
    </row>
    <row r="429" ht="14.25" customHeight="1">
      <c r="E429" s="50"/>
    </row>
    <row r="430" ht="14.25" customHeight="1">
      <c r="E430" s="50"/>
    </row>
    <row r="431" ht="14.25" customHeight="1">
      <c r="E431" s="50"/>
    </row>
    <row r="432" ht="14.25" customHeight="1">
      <c r="E432" s="50"/>
    </row>
    <row r="433" ht="14.25" customHeight="1">
      <c r="E433" s="50"/>
    </row>
    <row r="434" ht="14.25" customHeight="1">
      <c r="E434" s="50"/>
    </row>
    <row r="435" ht="14.25" customHeight="1">
      <c r="E435" s="50"/>
    </row>
    <row r="436" ht="14.25" customHeight="1">
      <c r="E436" s="50"/>
    </row>
    <row r="437" ht="14.25" customHeight="1">
      <c r="E437" s="50"/>
    </row>
    <row r="438" ht="14.25" customHeight="1">
      <c r="E438" s="50"/>
    </row>
    <row r="439" ht="14.25" customHeight="1">
      <c r="E439" s="50"/>
    </row>
    <row r="440" ht="14.25" customHeight="1">
      <c r="E440" s="50"/>
    </row>
    <row r="441" ht="14.25" customHeight="1">
      <c r="E441" s="50"/>
    </row>
    <row r="442" ht="14.25" customHeight="1">
      <c r="E442" s="50"/>
    </row>
    <row r="443" ht="14.25" customHeight="1">
      <c r="E443" s="50"/>
    </row>
    <row r="444" ht="14.25" customHeight="1">
      <c r="E444" s="50"/>
    </row>
    <row r="445" ht="14.25" customHeight="1">
      <c r="E445" s="50"/>
    </row>
    <row r="446" ht="14.25" customHeight="1">
      <c r="E446" s="50"/>
    </row>
    <row r="447" ht="14.25" customHeight="1">
      <c r="E447" s="50"/>
    </row>
    <row r="448" ht="14.25" customHeight="1">
      <c r="E448" s="50"/>
    </row>
    <row r="449" ht="14.25" customHeight="1">
      <c r="E449" s="50"/>
    </row>
    <row r="450" ht="14.25" customHeight="1">
      <c r="E450" s="50"/>
    </row>
    <row r="451" ht="14.25" customHeight="1">
      <c r="E451" s="50"/>
    </row>
    <row r="452" ht="14.25" customHeight="1">
      <c r="E452" s="50"/>
    </row>
    <row r="453" ht="14.25" customHeight="1">
      <c r="E453" s="50"/>
    </row>
    <row r="454" ht="14.25" customHeight="1">
      <c r="E454" s="50"/>
    </row>
    <row r="455" ht="14.25" customHeight="1">
      <c r="E455" s="50"/>
    </row>
    <row r="456" ht="14.25" customHeight="1">
      <c r="E456" s="50"/>
    </row>
    <row r="457" ht="14.25" customHeight="1">
      <c r="E457" s="50"/>
    </row>
    <row r="458" ht="14.25" customHeight="1">
      <c r="E458" s="50"/>
    </row>
    <row r="459" ht="14.25" customHeight="1">
      <c r="E459" s="50"/>
    </row>
    <row r="460" ht="14.25" customHeight="1">
      <c r="E460" s="50"/>
    </row>
    <row r="461" ht="14.25" customHeight="1">
      <c r="E461" s="50"/>
    </row>
    <row r="462" ht="14.25" customHeight="1">
      <c r="E462" s="50"/>
    </row>
    <row r="463" ht="14.25" customHeight="1">
      <c r="E463" s="50"/>
    </row>
    <row r="464" ht="14.25" customHeight="1">
      <c r="E464" s="50"/>
    </row>
    <row r="465" ht="14.25" customHeight="1">
      <c r="E465" s="50"/>
    </row>
    <row r="466" ht="14.25" customHeight="1">
      <c r="E466" s="50"/>
    </row>
    <row r="467" ht="14.25" customHeight="1">
      <c r="E467" s="50"/>
    </row>
    <row r="468" ht="14.25" customHeight="1">
      <c r="E468" s="50"/>
    </row>
    <row r="469" ht="14.25" customHeight="1">
      <c r="E469" s="50"/>
    </row>
    <row r="470" ht="14.25" customHeight="1">
      <c r="E470" s="50"/>
    </row>
    <row r="471" ht="14.25" customHeight="1">
      <c r="E471" s="50"/>
    </row>
    <row r="472" ht="14.25" customHeight="1">
      <c r="E472" s="50"/>
    </row>
    <row r="473" ht="14.25" customHeight="1">
      <c r="E473" s="50"/>
    </row>
    <row r="474" ht="14.25" customHeight="1">
      <c r="E474" s="50"/>
    </row>
    <row r="475" ht="14.25" customHeight="1">
      <c r="E475" s="50"/>
    </row>
    <row r="476" ht="14.25" customHeight="1">
      <c r="E476" s="50"/>
    </row>
    <row r="477" ht="14.25" customHeight="1">
      <c r="E477" s="50"/>
    </row>
    <row r="478" ht="14.25" customHeight="1">
      <c r="E478" s="50"/>
    </row>
    <row r="479" ht="14.25" customHeight="1">
      <c r="E479" s="50"/>
    </row>
    <row r="480" ht="14.25" customHeight="1">
      <c r="E480" s="50"/>
    </row>
    <row r="481" ht="14.25" customHeight="1">
      <c r="E481" s="50"/>
    </row>
    <row r="482" ht="14.25" customHeight="1">
      <c r="E482" s="50"/>
    </row>
    <row r="483" ht="14.25" customHeight="1">
      <c r="E483" s="50"/>
    </row>
    <row r="484" ht="14.25" customHeight="1">
      <c r="E484" s="50"/>
    </row>
    <row r="485" ht="14.25" customHeight="1">
      <c r="E485" s="50"/>
    </row>
    <row r="486" ht="14.25" customHeight="1">
      <c r="E486" s="50"/>
    </row>
    <row r="487" ht="14.25" customHeight="1">
      <c r="E487" s="50"/>
    </row>
    <row r="488" ht="14.25" customHeight="1">
      <c r="E488" s="50"/>
    </row>
    <row r="489" ht="14.25" customHeight="1">
      <c r="E489" s="50"/>
    </row>
    <row r="490" ht="14.25" customHeight="1">
      <c r="E490" s="50"/>
    </row>
    <row r="491" ht="14.25" customHeight="1">
      <c r="E491" s="50"/>
    </row>
    <row r="492" ht="14.25" customHeight="1">
      <c r="E492" s="50"/>
    </row>
    <row r="493" ht="14.25" customHeight="1">
      <c r="E493" s="50"/>
    </row>
    <row r="494" ht="14.25" customHeight="1">
      <c r="E494" s="50"/>
    </row>
    <row r="495" ht="14.25" customHeight="1">
      <c r="E495" s="50"/>
    </row>
    <row r="496" ht="14.25" customHeight="1">
      <c r="E496" s="50"/>
    </row>
    <row r="497" ht="14.25" customHeight="1">
      <c r="E497" s="50"/>
    </row>
    <row r="498" ht="14.25" customHeight="1">
      <c r="E498" s="50"/>
    </row>
    <row r="499" ht="14.25" customHeight="1">
      <c r="E499" s="50"/>
    </row>
    <row r="500" ht="14.25" customHeight="1">
      <c r="E500" s="50"/>
    </row>
    <row r="501" ht="14.25" customHeight="1">
      <c r="E501" s="50"/>
    </row>
    <row r="502" ht="14.25" customHeight="1">
      <c r="E502" s="50"/>
    </row>
    <row r="503" ht="14.25" customHeight="1">
      <c r="E503" s="50"/>
    </row>
    <row r="504" ht="14.25" customHeight="1">
      <c r="E504" s="50"/>
    </row>
    <row r="505" ht="14.25" customHeight="1">
      <c r="E505" s="50"/>
    </row>
    <row r="506" ht="14.25" customHeight="1">
      <c r="E506" s="50"/>
    </row>
    <row r="507" ht="14.25" customHeight="1">
      <c r="E507" s="50"/>
    </row>
    <row r="508" ht="14.25" customHeight="1">
      <c r="E508" s="50"/>
    </row>
    <row r="509" ht="14.25" customHeight="1">
      <c r="E509" s="50"/>
    </row>
    <row r="510" ht="14.25" customHeight="1">
      <c r="E510" s="50"/>
    </row>
    <row r="511" ht="14.25" customHeight="1">
      <c r="E511" s="50"/>
    </row>
    <row r="512" ht="14.25" customHeight="1">
      <c r="E512" s="50"/>
    </row>
    <row r="513" ht="14.25" customHeight="1">
      <c r="E513" s="50"/>
    </row>
    <row r="514" ht="14.25" customHeight="1">
      <c r="E514" s="50"/>
    </row>
    <row r="515" ht="14.25" customHeight="1">
      <c r="E515" s="50"/>
    </row>
    <row r="516" ht="14.25" customHeight="1">
      <c r="E516" s="50"/>
    </row>
    <row r="517" ht="14.25" customHeight="1">
      <c r="E517" s="50"/>
    </row>
    <row r="518" ht="14.25" customHeight="1">
      <c r="E518" s="50"/>
    </row>
    <row r="519" ht="14.25" customHeight="1">
      <c r="E519" s="50"/>
    </row>
    <row r="520" ht="14.25" customHeight="1">
      <c r="E520" s="50"/>
    </row>
    <row r="521" ht="14.25" customHeight="1">
      <c r="E521" s="50"/>
    </row>
    <row r="522" ht="14.25" customHeight="1">
      <c r="E522" s="50"/>
    </row>
    <row r="523" ht="14.25" customHeight="1">
      <c r="E523" s="50"/>
    </row>
    <row r="524" ht="14.25" customHeight="1">
      <c r="E524" s="50"/>
    </row>
    <row r="525" ht="14.25" customHeight="1">
      <c r="E525" s="50"/>
    </row>
    <row r="526" ht="14.25" customHeight="1">
      <c r="E526" s="50"/>
    </row>
    <row r="527" ht="14.25" customHeight="1">
      <c r="E527" s="50"/>
    </row>
    <row r="528" ht="14.25" customHeight="1">
      <c r="E528" s="50"/>
    </row>
    <row r="529" ht="14.25" customHeight="1">
      <c r="E529" s="50"/>
    </row>
    <row r="530" ht="14.25" customHeight="1">
      <c r="E530" s="50"/>
    </row>
    <row r="531" ht="14.25" customHeight="1">
      <c r="E531" s="50"/>
    </row>
    <row r="532" ht="14.25" customHeight="1">
      <c r="E532" s="50"/>
    </row>
    <row r="533" ht="14.25" customHeight="1">
      <c r="E533" s="50"/>
    </row>
    <row r="534" ht="14.25" customHeight="1">
      <c r="E534" s="50"/>
    </row>
    <row r="535" ht="14.25" customHeight="1">
      <c r="E535" s="50"/>
    </row>
    <row r="536" ht="14.25" customHeight="1">
      <c r="E536" s="50"/>
    </row>
    <row r="537" ht="14.25" customHeight="1">
      <c r="E537" s="50"/>
    </row>
    <row r="538" ht="14.25" customHeight="1">
      <c r="E538" s="50"/>
    </row>
    <row r="539" ht="14.25" customHeight="1">
      <c r="E539" s="50"/>
    </row>
    <row r="540" ht="14.25" customHeight="1">
      <c r="E540" s="50"/>
    </row>
    <row r="541" ht="14.25" customHeight="1">
      <c r="E541" s="50"/>
    </row>
    <row r="542" ht="14.25" customHeight="1">
      <c r="E542" s="50"/>
    </row>
    <row r="543" ht="14.25" customHeight="1">
      <c r="E543" s="50"/>
    </row>
    <row r="544" ht="14.25" customHeight="1">
      <c r="E544" s="50"/>
    </row>
    <row r="545" ht="14.25" customHeight="1">
      <c r="E545" s="50"/>
    </row>
    <row r="546" ht="14.25" customHeight="1">
      <c r="E546" s="50"/>
    </row>
    <row r="547" ht="14.25" customHeight="1">
      <c r="E547" s="50"/>
    </row>
    <row r="548" ht="14.25" customHeight="1">
      <c r="E548" s="50"/>
    </row>
    <row r="549" ht="14.25" customHeight="1">
      <c r="E549" s="50"/>
    </row>
    <row r="550" ht="14.25" customHeight="1">
      <c r="E550" s="50"/>
    </row>
    <row r="551" ht="14.25" customHeight="1">
      <c r="E551" s="50"/>
    </row>
    <row r="552" ht="14.25" customHeight="1">
      <c r="E552" s="50"/>
    </row>
    <row r="553" ht="14.25" customHeight="1">
      <c r="E553" s="50"/>
    </row>
    <row r="554" ht="14.25" customHeight="1">
      <c r="E554" s="50"/>
    </row>
    <row r="555" ht="14.25" customHeight="1">
      <c r="E555" s="50"/>
    </row>
    <row r="556" ht="14.25" customHeight="1">
      <c r="E556" s="50"/>
    </row>
    <row r="557" ht="14.25" customHeight="1">
      <c r="E557" s="50"/>
    </row>
    <row r="558" ht="14.25" customHeight="1">
      <c r="E558" s="50"/>
    </row>
    <row r="559" ht="14.25" customHeight="1">
      <c r="E559" s="50"/>
    </row>
    <row r="560" ht="14.25" customHeight="1">
      <c r="E560" s="50"/>
    </row>
    <row r="561" ht="14.25" customHeight="1">
      <c r="E561" s="50"/>
    </row>
    <row r="562" ht="14.25" customHeight="1">
      <c r="E562" s="50"/>
    </row>
    <row r="563" ht="14.25" customHeight="1">
      <c r="E563" s="50"/>
    </row>
    <row r="564" ht="14.25" customHeight="1">
      <c r="E564" s="50"/>
    </row>
    <row r="565" ht="14.25" customHeight="1">
      <c r="E565" s="50"/>
    </row>
    <row r="566" ht="14.25" customHeight="1">
      <c r="E566" s="50"/>
    </row>
    <row r="567" ht="14.25" customHeight="1">
      <c r="E567" s="50"/>
    </row>
    <row r="568" ht="14.25" customHeight="1">
      <c r="E568" s="50"/>
    </row>
    <row r="569" ht="14.25" customHeight="1">
      <c r="E569" s="50"/>
    </row>
    <row r="570" ht="14.25" customHeight="1">
      <c r="E570" s="50"/>
    </row>
    <row r="571" ht="14.25" customHeight="1">
      <c r="E571" s="50"/>
    </row>
    <row r="572" ht="14.25" customHeight="1">
      <c r="E572" s="50"/>
    </row>
    <row r="573" ht="14.25" customHeight="1">
      <c r="E573" s="50"/>
    </row>
    <row r="574" ht="14.25" customHeight="1">
      <c r="E574" s="50"/>
    </row>
    <row r="575" ht="14.25" customHeight="1">
      <c r="E575" s="50"/>
    </row>
    <row r="576" ht="14.25" customHeight="1">
      <c r="E576" s="50"/>
    </row>
    <row r="577" ht="14.25" customHeight="1">
      <c r="E577" s="50"/>
    </row>
    <row r="578" ht="14.25" customHeight="1">
      <c r="E578" s="50"/>
    </row>
    <row r="579" ht="14.25" customHeight="1">
      <c r="E579" s="50"/>
    </row>
    <row r="580" ht="14.25" customHeight="1">
      <c r="E580" s="50"/>
    </row>
    <row r="581" ht="14.25" customHeight="1">
      <c r="E581" s="50"/>
    </row>
    <row r="582" ht="14.25" customHeight="1">
      <c r="E582" s="50"/>
    </row>
    <row r="583" ht="14.25" customHeight="1">
      <c r="E583" s="50"/>
    </row>
    <row r="584" ht="14.25" customHeight="1">
      <c r="E584" s="50"/>
    </row>
    <row r="585" ht="14.25" customHeight="1">
      <c r="E585" s="50"/>
    </row>
    <row r="586" ht="14.25" customHeight="1">
      <c r="E586" s="50"/>
    </row>
    <row r="587" ht="14.25" customHeight="1">
      <c r="E587" s="50"/>
    </row>
    <row r="588" ht="14.25" customHeight="1">
      <c r="E588" s="50"/>
    </row>
    <row r="589" ht="14.25" customHeight="1">
      <c r="E589" s="50"/>
    </row>
    <row r="590" ht="14.25" customHeight="1">
      <c r="E590" s="50"/>
    </row>
    <row r="591" ht="14.25" customHeight="1">
      <c r="E591" s="50"/>
    </row>
    <row r="592" ht="14.25" customHeight="1">
      <c r="E592" s="50"/>
    </row>
    <row r="593" ht="14.25" customHeight="1">
      <c r="E593" s="50"/>
    </row>
    <row r="594" ht="14.25" customHeight="1">
      <c r="E594" s="50"/>
    </row>
    <row r="595" ht="14.25" customHeight="1">
      <c r="E595" s="50"/>
    </row>
    <row r="596" ht="14.25" customHeight="1">
      <c r="E596" s="50"/>
    </row>
    <row r="597" ht="14.25" customHeight="1">
      <c r="E597" s="50"/>
    </row>
    <row r="598" ht="14.25" customHeight="1">
      <c r="E598" s="50"/>
    </row>
    <row r="599" ht="14.25" customHeight="1">
      <c r="E599" s="50"/>
    </row>
    <row r="600" ht="14.25" customHeight="1">
      <c r="E600" s="50"/>
    </row>
    <row r="601" ht="14.25" customHeight="1">
      <c r="E601" s="50"/>
    </row>
    <row r="602" ht="14.25" customHeight="1">
      <c r="E602" s="50"/>
    </row>
    <row r="603" ht="14.25" customHeight="1">
      <c r="E603" s="50"/>
    </row>
    <row r="604" ht="14.25" customHeight="1">
      <c r="E604" s="50"/>
    </row>
    <row r="605" ht="14.25" customHeight="1">
      <c r="E605" s="50"/>
    </row>
    <row r="606" ht="14.25" customHeight="1">
      <c r="E606" s="50"/>
    </row>
    <row r="607" ht="14.25" customHeight="1">
      <c r="E607" s="50"/>
    </row>
    <row r="608" ht="14.25" customHeight="1">
      <c r="E608" s="50"/>
    </row>
    <row r="609" ht="14.25" customHeight="1">
      <c r="E609" s="50"/>
    </row>
    <row r="610" ht="14.25" customHeight="1">
      <c r="E610" s="50"/>
    </row>
    <row r="611" ht="14.25" customHeight="1">
      <c r="E611" s="50"/>
    </row>
    <row r="612" ht="14.25" customHeight="1">
      <c r="E612" s="50"/>
    </row>
    <row r="613" ht="14.25" customHeight="1">
      <c r="E613" s="50"/>
    </row>
    <row r="614" ht="14.25" customHeight="1">
      <c r="E614" s="50"/>
    </row>
    <row r="615" ht="14.25" customHeight="1">
      <c r="E615" s="50"/>
    </row>
    <row r="616" ht="14.25" customHeight="1">
      <c r="E616" s="50"/>
    </row>
    <row r="617" ht="14.25" customHeight="1">
      <c r="E617" s="50"/>
    </row>
    <row r="618" ht="14.25" customHeight="1">
      <c r="E618" s="50"/>
    </row>
    <row r="619" ht="14.25" customHeight="1">
      <c r="E619" s="50"/>
    </row>
    <row r="620" ht="14.25" customHeight="1">
      <c r="E620" s="50"/>
    </row>
    <row r="621" ht="14.25" customHeight="1">
      <c r="E621" s="50"/>
    </row>
    <row r="622" ht="14.25" customHeight="1">
      <c r="E622" s="50"/>
    </row>
    <row r="623" ht="14.25" customHeight="1">
      <c r="E623" s="50"/>
    </row>
    <row r="624" ht="14.25" customHeight="1">
      <c r="E624" s="50"/>
    </row>
    <row r="625" ht="14.25" customHeight="1">
      <c r="E625" s="50"/>
    </row>
    <row r="626" ht="14.25" customHeight="1">
      <c r="E626" s="50"/>
    </row>
    <row r="627" ht="14.25" customHeight="1">
      <c r="E627" s="50"/>
    </row>
    <row r="628" ht="14.25" customHeight="1">
      <c r="E628" s="50"/>
    </row>
    <row r="629" ht="14.25" customHeight="1">
      <c r="E629" s="50"/>
    </row>
    <row r="630" ht="14.25" customHeight="1">
      <c r="E630" s="50"/>
    </row>
    <row r="631" ht="14.25" customHeight="1">
      <c r="E631" s="50"/>
    </row>
    <row r="632" ht="14.25" customHeight="1">
      <c r="E632" s="50"/>
    </row>
    <row r="633" ht="14.25" customHeight="1">
      <c r="E633" s="50"/>
    </row>
    <row r="634" ht="14.25" customHeight="1">
      <c r="E634" s="50"/>
    </row>
    <row r="635" ht="14.25" customHeight="1">
      <c r="E635" s="50"/>
    </row>
    <row r="636" ht="14.25" customHeight="1">
      <c r="E636" s="50"/>
    </row>
    <row r="637" ht="14.25" customHeight="1">
      <c r="E637" s="50"/>
    </row>
    <row r="638" ht="14.25" customHeight="1">
      <c r="E638" s="50"/>
    </row>
    <row r="639" ht="14.25" customHeight="1">
      <c r="E639" s="50"/>
    </row>
    <row r="640" ht="14.25" customHeight="1">
      <c r="E640" s="50"/>
    </row>
    <row r="641" ht="14.25" customHeight="1">
      <c r="E641" s="50"/>
    </row>
    <row r="642" ht="14.25" customHeight="1">
      <c r="E642" s="50"/>
    </row>
    <row r="643" ht="14.25" customHeight="1">
      <c r="E643" s="50"/>
    </row>
    <row r="644" ht="14.25" customHeight="1">
      <c r="E644" s="50"/>
    </row>
    <row r="645" ht="14.25" customHeight="1">
      <c r="E645" s="50"/>
    </row>
    <row r="646" ht="14.25" customHeight="1">
      <c r="E646" s="50"/>
    </row>
    <row r="647" ht="14.25" customHeight="1">
      <c r="E647" s="50"/>
    </row>
    <row r="648" ht="14.25" customHeight="1">
      <c r="E648" s="50"/>
    </row>
    <row r="649" ht="14.25" customHeight="1">
      <c r="E649" s="50"/>
    </row>
    <row r="650" ht="14.25" customHeight="1">
      <c r="E650" s="50"/>
    </row>
    <row r="651" ht="14.25" customHeight="1">
      <c r="E651" s="50"/>
    </row>
    <row r="652" ht="14.25" customHeight="1">
      <c r="E652" s="50"/>
    </row>
    <row r="653" ht="14.25" customHeight="1">
      <c r="E653" s="50"/>
    </row>
    <row r="654" ht="14.25" customHeight="1">
      <c r="E654" s="50"/>
    </row>
    <row r="655" ht="14.25" customHeight="1">
      <c r="E655" s="50"/>
    </row>
    <row r="656" ht="14.25" customHeight="1">
      <c r="E656" s="50"/>
    </row>
    <row r="657" ht="14.25" customHeight="1">
      <c r="E657" s="50"/>
    </row>
    <row r="658" ht="14.25" customHeight="1">
      <c r="E658" s="50"/>
    </row>
    <row r="659" ht="14.25" customHeight="1">
      <c r="E659" s="50"/>
    </row>
    <row r="660" ht="14.25" customHeight="1">
      <c r="E660" s="50"/>
    </row>
    <row r="661" ht="14.25" customHeight="1">
      <c r="E661" s="50"/>
    </row>
    <row r="662" ht="14.25" customHeight="1">
      <c r="E662" s="50"/>
    </row>
    <row r="663" ht="14.25" customHeight="1">
      <c r="E663" s="50"/>
    </row>
    <row r="664" ht="14.25" customHeight="1">
      <c r="E664" s="50"/>
    </row>
    <row r="665" ht="14.25" customHeight="1">
      <c r="E665" s="50"/>
    </row>
    <row r="666" ht="14.25" customHeight="1">
      <c r="E666" s="50"/>
    </row>
    <row r="667" ht="14.25" customHeight="1">
      <c r="E667" s="50"/>
    </row>
    <row r="668" ht="14.25" customHeight="1">
      <c r="E668" s="50"/>
    </row>
    <row r="669" ht="14.25" customHeight="1">
      <c r="E669" s="50"/>
    </row>
    <row r="670" ht="14.25" customHeight="1">
      <c r="E670" s="50"/>
    </row>
    <row r="671" ht="14.25" customHeight="1">
      <c r="E671" s="50"/>
    </row>
    <row r="672" ht="14.25" customHeight="1">
      <c r="E672" s="50"/>
    </row>
    <row r="673" ht="14.25" customHeight="1">
      <c r="E673" s="50"/>
    </row>
    <row r="674" ht="14.25" customHeight="1">
      <c r="E674" s="50"/>
    </row>
    <row r="675" ht="14.25" customHeight="1">
      <c r="E675" s="50"/>
    </row>
    <row r="676" ht="14.25" customHeight="1">
      <c r="E676" s="50"/>
    </row>
    <row r="677" ht="14.25" customHeight="1">
      <c r="E677" s="50"/>
    </row>
    <row r="678" ht="14.25" customHeight="1">
      <c r="E678" s="50"/>
    </row>
    <row r="679" ht="14.25" customHeight="1">
      <c r="E679" s="50"/>
    </row>
    <row r="680" ht="14.25" customHeight="1">
      <c r="E680" s="50"/>
    </row>
    <row r="681" ht="14.25" customHeight="1">
      <c r="E681" s="50"/>
    </row>
    <row r="682" ht="14.25" customHeight="1">
      <c r="E682" s="50"/>
    </row>
    <row r="683" ht="14.25" customHeight="1">
      <c r="E683" s="50"/>
    </row>
    <row r="684" ht="14.25" customHeight="1">
      <c r="E684" s="50"/>
    </row>
    <row r="685" ht="14.25" customHeight="1">
      <c r="E685" s="50"/>
    </row>
    <row r="686" ht="14.25" customHeight="1">
      <c r="E686" s="50"/>
    </row>
    <row r="687" ht="14.25" customHeight="1">
      <c r="E687" s="50"/>
    </row>
    <row r="688" ht="14.25" customHeight="1">
      <c r="E688" s="50"/>
    </row>
    <row r="689" ht="14.25" customHeight="1">
      <c r="E689" s="50"/>
    </row>
    <row r="690" ht="14.25" customHeight="1">
      <c r="E690" s="50"/>
    </row>
    <row r="691" ht="14.25" customHeight="1">
      <c r="E691" s="50"/>
    </row>
    <row r="692" ht="14.25" customHeight="1">
      <c r="E692" s="50"/>
    </row>
    <row r="693" ht="14.25" customHeight="1">
      <c r="E693" s="50"/>
    </row>
    <row r="694" ht="14.25" customHeight="1">
      <c r="E694" s="50"/>
    </row>
    <row r="695" ht="14.25" customHeight="1">
      <c r="E695" s="50"/>
    </row>
    <row r="696" ht="14.25" customHeight="1">
      <c r="E696" s="50"/>
    </row>
    <row r="697" ht="14.25" customHeight="1">
      <c r="E697" s="50"/>
    </row>
    <row r="698" ht="14.25" customHeight="1">
      <c r="E698" s="50"/>
    </row>
    <row r="699" ht="14.25" customHeight="1">
      <c r="E699" s="50"/>
    </row>
    <row r="700" ht="14.25" customHeight="1">
      <c r="E700" s="50"/>
    </row>
    <row r="701" ht="14.25" customHeight="1">
      <c r="E701" s="50"/>
    </row>
    <row r="702" ht="14.25" customHeight="1">
      <c r="E702" s="50"/>
    </row>
    <row r="703" ht="14.25" customHeight="1">
      <c r="E703" s="50"/>
    </row>
    <row r="704" ht="14.25" customHeight="1">
      <c r="E704" s="50"/>
    </row>
    <row r="705" ht="14.25" customHeight="1">
      <c r="E705" s="50"/>
    </row>
    <row r="706" ht="14.25" customHeight="1">
      <c r="E706" s="50"/>
    </row>
    <row r="707" ht="14.25" customHeight="1">
      <c r="E707" s="50"/>
    </row>
    <row r="708" ht="14.25" customHeight="1">
      <c r="E708" s="50"/>
    </row>
    <row r="709" ht="14.25" customHeight="1">
      <c r="E709" s="50"/>
    </row>
    <row r="710" ht="14.25" customHeight="1">
      <c r="E710" s="50"/>
    </row>
    <row r="711" ht="14.25" customHeight="1">
      <c r="E711" s="50"/>
    </row>
    <row r="712" ht="14.25" customHeight="1">
      <c r="E712" s="50"/>
    </row>
    <row r="713" ht="14.25" customHeight="1">
      <c r="E713" s="50"/>
    </row>
    <row r="714" ht="14.25" customHeight="1">
      <c r="E714" s="50"/>
    </row>
    <row r="715" ht="14.25" customHeight="1">
      <c r="E715" s="50"/>
    </row>
    <row r="716" ht="14.25" customHeight="1">
      <c r="E716" s="50"/>
    </row>
    <row r="717" ht="14.25" customHeight="1">
      <c r="E717" s="50"/>
    </row>
    <row r="718" ht="14.25" customHeight="1">
      <c r="E718" s="50"/>
    </row>
    <row r="719" ht="14.25" customHeight="1">
      <c r="E719" s="50"/>
    </row>
    <row r="720" ht="14.25" customHeight="1">
      <c r="E720" s="50"/>
    </row>
    <row r="721" ht="14.25" customHeight="1">
      <c r="E721" s="50"/>
    </row>
    <row r="722" ht="14.25" customHeight="1">
      <c r="E722" s="50"/>
    </row>
    <row r="723" ht="14.25" customHeight="1">
      <c r="E723" s="50"/>
    </row>
    <row r="724" ht="14.25" customHeight="1">
      <c r="E724" s="50"/>
    </row>
    <row r="725" ht="14.25" customHeight="1">
      <c r="E725" s="50"/>
    </row>
    <row r="726" ht="14.25" customHeight="1">
      <c r="E726" s="50"/>
    </row>
    <row r="727" ht="14.25" customHeight="1">
      <c r="E727" s="50"/>
    </row>
    <row r="728" ht="14.25" customHeight="1">
      <c r="E728" s="50"/>
    </row>
    <row r="729" ht="14.25" customHeight="1">
      <c r="E729" s="50"/>
    </row>
    <row r="730" ht="14.25" customHeight="1">
      <c r="E730" s="50"/>
    </row>
    <row r="731" ht="14.25" customHeight="1">
      <c r="E731" s="50"/>
    </row>
    <row r="732" ht="14.25" customHeight="1">
      <c r="E732" s="50"/>
    </row>
    <row r="733" ht="14.25" customHeight="1">
      <c r="E733" s="50"/>
    </row>
    <row r="734" ht="14.25" customHeight="1">
      <c r="E734" s="50"/>
    </row>
    <row r="735" ht="14.25" customHeight="1">
      <c r="E735" s="50"/>
    </row>
    <row r="736" ht="14.25" customHeight="1">
      <c r="E736" s="50"/>
    </row>
    <row r="737" ht="14.25" customHeight="1">
      <c r="E737" s="50"/>
    </row>
    <row r="738" ht="14.25" customHeight="1">
      <c r="E738" s="50"/>
    </row>
    <row r="739" ht="14.25" customHeight="1">
      <c r="E739" s="50"/>
    </row>
    <row r="740" ht="14.25" customHeight="1">
      <c r="E740" s="50"/>
    </row>
    <row r="741" ht="14.25" customHeight="1">
      <c r="E741" s="50"/>
    </row>
    <row r="742" ht="14.25" customHeight="1">
      <c r="E742" s="50"/>
    </row>
    <row r="743" ht="14.25" customHeight="1">
      <c r="E743" s="50"/>
    </row>
    <row r="744" ht="14.25" customHeight="1">
      <c r="E744" s="50"/>
    </row>
    <row r="745" ht="14.25" customHeight="1">
      <c r="E745" s="50"/>
    </row>
    <row r="746" ht="14.25" customHeight="1">
      <c r="E746" s="50"/>
    </row>
    <row r="747" ht="14.25" customHeight="1">
      <c r="E747" s="50"/>
    </row>
    <row r="748" ht="14.25" customHeight="1">
      <c r="E748" s="50"/>
    </row>
    <row r="749" ht="14.25" customHeight="1">
      <c r="E749" s="50"/>
    </row>
    <row r="750" ht="14.25" customHeight="1">
      <c r="E750" s="50"/>
    </row>
    <row r="751" ht="14.25" customHeight="1">
      <c r="E751" s="50"/>
    </row>
    <row r="752" ht="14.25" customHeight="1">
      <c r="E752" s="50"/>
    </row>
    <row r="753" ht="14.25" customHeight="1">
      <c r="E753" s="50"/>
    </row>
    <row r="754" ht="14.25" customHeight="1">
      <c r="E754" s="50"/>
    </row>
    <row r="755" ht="14.25" customHeight="1">
      <c r="E755" s="50"/>
    </row>
    <row r="756" ht="14.25" customHeight="1">
      <c r="E756" s="50"/>
    </row>
    <row r="757" ht="14.25" customHeight="1">
      <c r="E757" s="50"/>
    </row>
    <row r="758" ht="14.25" customHeight="1">
      <c r="E758" s="50"/>
    </row>
    <row r="759" ht="14.25" customHeight="1">
      <c r="E759" s="50"/>
    </row>
    <row r="760" ht="14.25" customHeight="1">
      <c r="E760" s="50"/>
    </row>
    <row r="761" ht="14.25" customHeight="1">
      <c r="E761" s="50"/>
    </row>
    <row r="762" ht="14.25" customHeight="1">
      <c r="E762" s="50"/>
    </row>
    <row r="763" ht="14.25" customHeight="1">
      <c r="E763" s="50"/>
    </row>
    <row r="764" ht="14.25" customHeight="1">
      <c r="E764" s="50"/>
    </row>
    <row r="765" ht="14.25" customHeight="1">
      <c r="E765" s="50"/>
    </row>
    <row r="766" ht="14.25" customHeight="1">
      <c r="E766" s="50"/>
    </row>
    <row r="767" ht="14.25" customHeight="1">
      <c r="E767" s="50"/>
    </row>
    <row r="768" ht="14.25" customHeight="1">
      <c r="E768" s="50"/>
    </row>
    <row r="769" ht="14.25" customHeight="1">
      <c r="E769" s="50"/>
    </row>
    <row r="770" ht="14.25" customHeight="1">
      <c r="E770" s="50"/>
    </row>
    <row r="771" ht="14.25" customHeight="1">
      <c r="E771" s="50"/>
    </row>
    <row r="772" ht="14.25" customHeight="1">
      <c r="E772" s="50"/>
    </row>
    <row r="773" ht="14.25" customHeight="1">
      <c r="E773" s="50"/>
    </row>
    <row r="774" ht="14.25" customHeight="1">
      <c r="E774" s="50"/>
    </row>
    <row r="775" ht="14.25" customHeight="1">
      <c r="E775" s="50"/>
    </row>
    <row r="776" ht="14.25" customHeight="1">
      <c r="E776" s="50"/>
    </row>
    <row r="777" ht="14.25" customHeight="1">
      <c r="E777" s="50"/>
    </row>
    <row r="778" ht="14.25" customHeight="1">
      <c r="E778" s="50"/>
    </row>
    <row r="779" ht="14.25" customHeight="1">
      <c r="E779" s="50"/>
    </row>
    <row r="780" ht="14.25" customHeight="1">
      <c r="E780" s="50"/>
    </row>
    <row r="781" ht="14.25" customHeight="1">
      <c r="E781" s="50"/>
    </row>
    <row r="782" ht="14.25" customHeight="1">
      <c r="E782" s="50"/>
    </row>
    <row r="783" ht="14.25" customHeight="1">
      <c r="E783" s="50"/>
    </row>
    <row r="784" ht="14.25" customHeight="1">
      <c r="E784" s="50"/>
    </row>
    <row r="785" ht="14.25" customHeight="1">
      <c r="E785" s="50"/>
    </row>
    <row r="786" ht="14.25" customHeight="1">
      <c r="E786" s="50"/>
    </row>
    <row r="787" ht="14.25" customHeight="1">
      <c r="E787" s="50"/>
    </row>
    <row r="788" ht="14.25" customHeight="1">
      <c r="E788" s="50"/>
    </row>
    <row r="789" ht="14.25" customHeight="1">
      <c r="E789" s="50"/>
    </row>
    <row r="790" ht="14.25" customHeight="1">
      <c r="E790" s="50"/>
    </row>
    <row r="791" ht="14.25" customHeight="1">
      <c r="E791" s="50"/>
    </row>
    <row r="792" ht="14.25" customHeight="1">
      <c r="E792" s="50"/>
    </row>
    <row r="793" ht="14.25" customHeight="1">
      <c r="E793" s="50"/>
    </row>
    <row r="794" ht="14.25" customHeight="1">
      <c r="E794" s="50"/>
    </row>
    <row r="795" ht="14.25" customHeight="1">
      <c r="E795" s="50"/>
    </row>
    <row r="796" ht="14.25" customHeight="1">
      <c r="E796" s="50"/>
    </row>
    <row r="797" ht="14.25" customHeight="1">
      <c r="E797" s="50"/>
    </row>
    <row r="798" ht="14.25" customHeight="1">
      <c r="E798" s="50"/>
    </row>
    <row r="799" ht="14.25" customHeight="1">
      <c r="E799" s="50"/>
    </row>
    <row r="800" ht="14.25" customHeight="1">
      <c r="E800" s="50"/>
    </row>
    <row r="801" ht="14.25" customHeight="1">
      <c r="E801" s="50"/>
    </row>
    <row r="802" ht="14.25" customHeight="1">
      <c r="E802" s="50"/>
    </row>
    <row r="803" ht="14.25" customHeight="1">
      <c r="E803" s="50"/>
    </row>
    <row r="804" ht="14.25" customHeight="1">
      <c r="E804" s="50"/>
    </row>
    <row r="805" ht="14.25" customHeight="1">
      <c r="E805" s="50"/>
    </row>
    <row r="806" ht="14.25" customHeight="1">
      <c r="E806" s="50"/>
    </row>
    <row r="807" ht="14.25" customHeight="1">
      <c r="E807" s="50"/>
    </row>
    <row r="808" ht="14.25" customHeight="1">
      <c r="E808" s="50"/>
    </row>
    <row r="809" ht="14.25" customHeight="1">
      <c r="E809" s="50"/>
    </row>
    <row r="810" ht="14.25" customHeight="1">
      <c r="E810" s="50"/>
    </row>
    <row r="811" ht="14.25" customHeight="1">
      <c r="E811" s="50"/>
    </row>
    <row r="812" ht="14.25" customHeight="1">
      <c r="E812" s="50"/>
    </row>
    <row r="813" ht="14.25" customHeight="1">
      <c r="E813" s="50"/>
    </row>
    <row r="814" ht="14.25" customHeight="1">
      <c r="E814" s="50"/>
    </row>
    <row r="815" ht="14.25" customHeight="1">
      <c r="E815" s="50"/>
    </row>
    <row r="816" ht="14.25" customHeight="1">
      <c r="E816" s="50"/>
    </row>
    <row r="817" ht="14.25" customHeight="1">
      <c r="E817" s="50"/>
    </row>
    <row r="818" ht="14.25" customHeight="1">
      <c r="E818" s="50"/>
    </row>
    <row r="819" ht="14.25" customHeight="1">
      <c r="E819" s="50"/>
    </row>
    <row r="820" ht="14.25" customHeight="1">
      <c r="E820" s="50"/>
    </row>
    <row r="821" ht="14.25" customHeight="1">
      <c r="E821" s="50"/>
    </row>
    <row r="822" ht="14.25" customHeight="1">
      <c r="E822" s="50"/>
    </row>
    <row r="823" ht="14.25" customHeight="1">
      <c r="E823" s="50"/>
    </row>
    <row r="824" ht="14.25" customHeight="1">
      <c r="E824" s="50"/>
    </row>
    <row r="825" ht="14.25" customHeight="1">
      <c r="E825" s="50"/>
    </row>
    <row r="826" ht="14.25" customHeight="1">
      <c r="E826" s="50"/>
    </row>
    <row r="827" ht="14.25" customHeight="1">
      <c r="E827" s="50"/>
    </row>
    <row r="828" ht="14.25" customHeight="1">
      <c r="E828" s="50"/>
    </row>
    <row r="829" ht="14.25" customHeight="1">
      <c r="E829" s="50"/>
    </row>
    <row r="830" ht="14.25" customHeight="1">
      <c r="E830" s="50"/>
    </row>
    <row r="831" ht="14.25" customHeight="1">
      <c r="E831" s="50"/>
    </row>
    <row r="832" ht="14.25" customHeight="1">
      <c r="E832" s="50"/>
    </row>
    <row r="833" ht="14.25" customHeight="1">
      <c r="E833" s="50"/>
    </row>
    <row r="834" ht="14.25" customHeight="1">
      <c r="E834" s="50"/>
    </row>
    <row r="835" ht="14.25" customHeight="1">
      <c r="E835" s="50"/>
    </row>
    <row r="836" ht="14.25" customHeight="1">
      <c r="E836" s="50"/>
    </row>
    <row r="837" ht="14.25" customHeight="1">
      <c r="E837" s="50"/>
    </row>
    <row r="838" ht="14.25" customHeight="1">
      <c r="E838" s="50"/>
    </row>
    <row r="839" ht="14.25" customHeight="1">
      <c r="E839" s="50"/>
    </row>
    <row r="840" ht="14.25" customHeight="1">
      <c r="E840" s="50"/>
    </row>
    <row r="841" ht="14.25" customHeight="1">
      <c r="E841" s="50"/>
    </row>
    <row r="842" ht="14.25" customHeight="1">
      <c r="E842" s="50"/>
    </row>
    <row r="843" ht="14.25" customHeight="1">
      <c r="E843" s="50"/>
    </row>
    <row r="844" ht="14.25" customHeight="1">
      <c r="E844" s="50"/>
    </row>
    <row r="845" ht="14.25" customHeight="1">
      <c r="E845" s="50"/>
    </row>
    <row r="846" ht="14.25" customHeight="1">
      <c r="E846" s="50"/>
    </row>
    <row r="847" ht="14.25" customHeight="1">
      <c r="E847" s="50"/>
    </row>
    <row r="848" ht="14.25" customHeight="1">
      <c r="E848" s="50"/>
    </row>
    <row r="849" ht="14.25" customHeight="1">
      <c r="E849" s="50"/>
    </row>
    <row r="850" ht="14.25" customHeight="1">
      <c r="E850" s="50"/>
    </row>
    <row r="851" ht="14.25" customHeight="1">
      <c r="E851" s="50"/>
    </row>
    <row r="852" ht="14.25" customHeight="1">
      <c r="E852" s="50"/>
    </row>
    <row r="853" ht="14.25" customHeight="1">
      <c r="E853" s="50"/>
    </row>
    <row r="854" ht="14.25" customHeight="1">
      <c r="E854" s="50"/>
    </row>
    <row r="855" ht="14.25" customHeight="1">
      <c r="E855" s="50"/>
    </row>
    <row r="856" ht="14.25" customHeight="1">
      <c r="E856" s="50"/>
    </row>
    <row r="857" ht="14.25" customHeight="1">
      <c r="E857" s="50"/>
    </row>
    <row r="858" ht="14.25" customHeight="1">
      <c r="E858" s="50"/>
    </row>
    <row r="859" ht="14.25" customHeight="1">
      <c r="E859" s="50"/>
    </row>
    <row r="860" ht="14.25" customHeight="1">
      <c r="E860" s="50"/>
    </row>
    <row r="861" ht="14.25" customHeight="1">
      <c r="E861" s="50"/>
    </row>
    <row r="862" ht="14.25" customHeight="1">
      <c r="E862" s="50"/>
    </row>
    <row r="863" ht="14.25" customHeight="1">
      <c r="E863" s="50"/>
    </row>
    <row r="864" ht="14.25" customHeight="1">
      <c r="E864" s="50"/>
    </row>
    <row r="865" ht="14.25" customHeight="1">
      <c r="E865" s="50"/>
    </row>
    <row r="866" ht="14.25" customHeight="1">
      <c r="E866" s="50"/>
    </row>
    <row r="867" ht="14.25" customHeight="1">
      <c r="E867" s="50"/>
    </row>
    <row r="868" ht="14.25" customHeight="1">
      <c r="E868" s="50"/>
    </row>
    <row r="869" ht="14.25" customHeight="1">
      <c r="E869" s="50"/>
    </row>
    <row r="870" ht="14.25" customHeight="1">
      <c r="E870" s="50"/>
    </row>
    <row r="871" ht="14.25" customHeight="1">
      <c r="E871" s="50"/>
    </row>
    <row r="872" ht="14.25" customHeight="1">
      <c r="E872" s="50"/>
    </row>
    <row r="873" ht="14.25" customHeight="1">
      <c r="E873" s="50"/>
    </row>
    <row r="874" ht="14.25" customHeight="1">
      <c r="E874" s="50"/>
    </row>
    <row r="875" ht="14.25" customHeight="1">
      <c r="E875" s="50"/>
    </row>
    <row r="876" ht="14.25" customHeight="1">
      <c r="E876" s="50"/>
    </row>
    <row r="877" ht="14.25" customHeight="1">
      <c r="E877" s="50"/>
    </row>
    <row r="878" ht="14.25" customHeight="1">
      <c r="E878" s="50"/>
    </row>
    <row r="879" ht="14.25" customHeight="1">
      <c r="E879" s="50"/>
    </row>
    <row r="880" ht="14.25" customHeight="1">
      <c r="E880" s="50"/>
    </row>
    <row r="881" ht="14.25" customHeight="1">
      <c r="E881" s="50"/>
    </row>
    <row r="882" ht="14.25" customHeight="1">
      <c r="E882" s="50"/>
    </row>
    <row r="883" ht="14.25" customHeight="1">
      <c r="E883" s="50"/>
    </row>
    <row r="884" ht="14.25" customHeight="1">
      <c r="E884" s="50"/>
    </row>
    <row r="885" ht="14.25" customHeight="1">
      <c r="E885" s="50"/>
    </row>
    <row r="886" ht="14.25" customHeight="1">
      <c r="E886" s="50"/>
    </row>
    <row r="887" ht="14.25" customHeight="1">
      <c r="E887" s="50"/>
    </row>
    <row r="888" ht="14.25" customHeight="1">
      <c r="E888" s="50"/>
    </row>
    <row r="889" ht="14.25" customHeight="1">
      <c r="E889" s="50"/>
    </row>
    <row r="890" ht="14.25" customHeight="1">
      <c r="E890" s="50"/>
    </row>
    <row r="891" ht="14.25" customHeight="1">
      <c r="E891" s="50"/>
    </row>
    <row r="892" ht="14.25" customHeight="1">
      <c r="E892" s="50"/>
    </row>
    <row r="893" ht="14.25" customHeight="1">
      <c r="E893" s="50"/>
    </row>
    <row r="894" ht="14.25" customHeight="1">
      <c r="E894" s="50"/>
    </row>
    <row r="895" ht="14.25" customHeight="1">
      <c r="E895" s="50"/>
    </row>
    <row r="896" ht="14.25" customHeight="1">
      <c r="E896" s="50"/>
    </row>
    <row r="897" ht="14.25" customHeight="1">
      <c r="E897" s="50"/>
    </row>
    <row r="898" ht="14.25" customHeight="1">
      <c r="E898" s="50"/>
    </row>
    <row r="899" ht="14.25" customHeight="1">
      <c r="E899" s="50"/>
    </row>
    <row r="900" ht="14.25" customHeight="1">
      <c r="E900" s="50"/>
    </row>
    <row r="901" ht="14.25" customHeight="1">
      <c r="E901" s="50"/>
    </row>
    <row r="902" ht="14.25" customHeight="1">
      <c r="E902" s="50"/>
    </row>
    <row r="903" ht="14.25" customHeight="1">
      <c r="E903" s="50"/>
    </row>
    <row r="904" ht="14.25" customHeight="1">
      <c r="E904" s="50"/>
    </row>
    <row r="905" ht="14.25" customHeight="1">
      <c r="E905" s="50"/>
    </row>
    <row r="906" ht="14.25" customHeight="1">
      <c r="E906" s="50"/>
    </row>
    <row r="907" ht="14.25" customHeight="1">
      <c r="E907" s="50"/>
    </row>
    <row r="908" ht="14.25" customHeight="1">
      <c r="E908" s="50"/>
    </row>
    <row r="909" ht="14.25" customHeight="1">
      <c r="E909" s="50"/>
    </row>
    <row r="910" ht="14.25" customHeight="1">
      <c r="E910" s="50"/>
    </row>
    <row r="911" ht="14.25" customHeight="1">
      <c r="E911" s="50"/>
    </row>
    <row r="912" ht="14.25" customHeight="1">
      <c r="E912" s="50"/>
    </row>
    <row r="913" ht="14.25" customHeight="1">
      <c r="E913" s="50"/>
    </row>
    <row r="914" ht="14.25" customHeight="1">
      <c r="E914" s="50"/>
    </row>
    <row r="915" ht="14.25" customHeight="1">
      <c r="E915" s="50"/>
    </row>
    <row r="916" ht="14.25" customHeight="1">
      <c r="E916" s="50"/>
    </row>
    <row r="917" ht="14.25" customHeight="1">
      <c r="E917" s="50"/>
    </row>
    <row r="918" ht="14.25" customHeight="1">
      <c r="E918" s="50"/>
    </row>
    <row r="919" ht="14.25" customHeight="1">
      <c r="E919" s="50"/>
    </row>
    <row r="920" ht="14.25" customHeight="1">
      <c r="E920" s="50"/>
    </row>
    <row r="921" ht="14.25" customHeight="1">
      <c r="E921" s="50"/>
    </row>
    <row r="922" ht="14.25" customHeight="1">
      <c r="E922" s="50"/>
    </row>
    <row r="923" ht="14.25" customHeight="1">
      <c r="E923" s="50"/>
    </row>
    <row r="924" ht="14.25" customHeight="1">
      <c r="E924" s="50"/>
    </row>
    <row r="925" ht="14.25" customHeight="1">
      <c r="E925" s="50"/>
    </row>
    <row r="926" ht="14.25" customHeight="1">
      <c r="E926" s="50"/>
    </row>
    <row r="927" ht="14.25" customHeight="1">
      <c r="E927" s="50"/>
    </row>
    <row r="928" ht="14.25" customHeight="1">
      <c r="E928" s="50"/>
    </row>
    <row r="929" ht="14.25" customHeight="1">
      <c r="E929" s="50"/>
    </row>
    <row r="930" ht="14.25" customHeight="1">
      <c r="E930" s="50"/>
    </row>
    <row r="931" ht="14.25" customHeight="1">
      <c r="E931" s="50"/>
    </row>
    <row r="932" ht="14.25" customHeight="1">
      <c r="E932" s="50"/>
    </row>
    <row r="933" ht="14.25" customHeight="1">
      <c r="E933" s="50"/>
    </row>
    <row r="934" ht="14.25" customHeight="1">
      <c r="E934" s="50"/>
    </row>
    <row r="935" ht="14.25" customHeight="1">
      <c r="E935" s="50"/>
    </row>
    <row r="936" ht="14.25" customHeight="1">
      <c r="E936" s="50"/>
    </row>
    <row r="937" ht="14.25" customHeight="1">
      <c r="E937" s="50"/>
    </row>
    <row r="938" ht="14.25" customHeight="1">
      <c r="E938" s="50"/>
    </row>
    <row r="939" ht="14.25" customHeight="1">
      <c r="E939" s="50"/>
    </row>
    <row r="940" ht="14.25" customHeight="1">
      <c r="E940" s="50"/>
    </row>
    <row r="941" ht="14.25" customHeight="1">
      <c r="E941" s="50"/>
    </row>
    <row r="942" ht="14.25" customHeight="1">
      <c r="E942" s="50"/>
    </row>
    <row r="943" ht="14.25" customHeight="1">
      <c r="E943" s="50"/>
    </row>
    <row r="944" ht="14.25" customHeight="1">
      <c r="E944" s="50"/>
    </row>
    <row r="945" ht="14.25" customHeight="1">
      <c r="E945" s="50"/>
    </row>
    <row r="946" ht="14.25" customHeight="1">
      <c r="E946" s="50"/>
    </row>
    <row r="947" ht="14.25" customHeight="1">
      <c r="E947" s="50"/>
    </row>
    <row r="948" ht="14.25" customHeight="1">
      <c r="E948" s="50"/>
    </row>
    <row r="949" ht="14.25" customHeight="1">
      <c r="E949" s="50"/>
    </row>
    <row r="950" ht="14.25" customHeight="1">
      <c r="E950" s="50"/>
    </row>
    <row r="951" ht="14.25" customHeight="1">
      <c r="E951" s="50"/>
    </row>
    <row r="952" ht="14.25" customHeight="1">
      <c r="E952" s="50"/>
    </row>
    <row r="953" ht="14.25" customHeight="1">
      <c r="E953" s="50"/>
    </row>
    <row r="954" ht="14.25" customHeight="1">
      <c r="E954" s="50"/>
    </row>
    <row r="955" ht="14.25" customHeight="1">
      <c r="E955" s="50"/>
    </row>
    <row r="956" ht="14.25" customHeight="1">
      <c r="E956" s="50"/>
    </row>
    <row r="957" ht="14.25" customHeight="1">
      <c r="E957" s="50"/>
    </row>
    <row r="958" ht="14.25" customHeight="1">
      <c r="E958" s="50"/>
    </row>
    <row r="959" ht="14.25" customHeight="1">
      <c r="E959" s="50"/>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2" width="10.63"/>
    <col customWidth="1" min="3" max="3" width="30.38"/>
    <col customWidth="1" min="4" max="4" width="9.88"/>
    <col customWidth="1" min="5" max="6" width="5.0"/>
    <col customWidth="1" min="7" max="26" width="10.63"/>
  </cols>
  <sheetData>
    <row r="1" ht="14.25" customHeight="1">
      <c r="A1" s="52" t="s">
        <v>622</v>
      </c>
      <c r="B1" s="52" t="s">
        <v>623</v>
      </c>
      <c r="C1" s="52" t="s">
        <v>624</v>
      </c>
      <c r="D1" s="52" t="s">
        <v>166</v>
      </c>
      <c r="E1" s="52" t="s">
        <v>625</v>
      </c>
      <c r="F1" s="52" t="s">
        <v>271</v>
      </c>
    </row>
    <row r="2" ht="14.25" customHeight="1"/>
    <row r="3" ht="14.25" customHeight="1">
      <c r="A3" s="52" t="s">
        <v>626</v>
      </c>
      <c r="B3" s="52">
        <v>30.0</v>
      </c>
    </row>
    <row r="4" ht="14.25" customHeight="1">
      <c r="A4" s="52" t="s">
        <v>627</v>
      </c>
      <c r="C4" s="52" t="s">
        <v>628</v>
      </c>
    </row>
    <row r="5" ht="110.25" customHeight="1">
      <c r="A5" s="52" t="s">
        <v>629</v>
      </c>
      <c r="D5" s="52" t="s">
        <v>630</v>
      </c>
      <c r="E5" s="52" t="s">
        <v>631</v>
      </c>
      <c r="F5" s="52" t="s">
        <v>631</v>
      </c>
    </row>
    <row r="6" ht="14.25" customHeight="1">
      <c r="A6" s="52" t="s">
        <v>632</v>
      </c>
    </row>
    <row r="7" ht="14.25" customHeight="1">
      <c r="A7" s="52" t="s">
        <v>633</v>
      </c>
      <c r="B7" s="52" t="s">
        <v>634</v>
      </c>
    </row>
    <row r="8" ht="14.25" customHeight="1">
      <c r="A8" s="52"/>
      <c r="B8" s="52"/>
    </row>
    <row r="9" ht="14.25" customHeight="1">
      <c r="A9" s="52"/>
      <c r="B9" s="52"/>
    </row>
    <row r="10" ht="14.25" customHeight="1">
      <c r="A10" s="52"/>
      <c r="B10" s="52"/>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9.5"/>
    <col customWidth="1" min="3" max="3" width="12.5"/>
    <col customWidth="1" min="4" max="4" width="13.38"/>
    <col customWidth="1" min="5" max="5" width="13.63"/>
    <col customWidth="1" min="6" max="6" width="12.88"/>
    <col customWidth="1" min="7" max="7" width="11.0"/>
    <col customWidth="1" min="8" max="8" width="8.25"/>
    <col customWidth="1" min="9" max="9" width="7.5"/>
    <col customWidth="1" min="10" max="10" width="8.0"/>
    <col customWidth="1" min="11" max="27" width="10.63"/>
  </cols>
  <sheetData>
    <row r="1" ht="14.25" customHeight="1">
      <c r="A1" s="149"/>
      <c r="B1" s="127" t="s">
        <v>644</v>
      </c>
      <c r="C1" s="127" t="s">
        <v>645</v>
      </c>
      <c r="D1" s="127" t="s">
        <v>646</v>
      </c>
      <c r="E1" s="127" t="s">
        <v>648</v>
      </c>
      <c r="F1" s="149" t="s">
        <v>649</v>
      </c>
      <c r="G1" s="52" t="s">
        <v>650</v>
      </c>
      <c r="H1" s="52" t="s">
        <v>651</v>
      </c>
      <c r="I1" s="52" t="s">
        <v>652</v>
      </c>
      <c r="J1" s="52" t="s">
        <v>653</v>
      </c>
      <c r="K1" s="52" t="s">
        <v>654</v>
      </c>
      <c r="L1" s="52" t="s">
        <v>655</v>
      </c>
    </row>
    <row r="2" ht="14.25" customHeight="1">
      <c r="A2" s="149" t="s">
        <v>656</v>
      </c>
      <c r="B2" s="127">
        <v>1.0</v>
      </c>
      <c r="C2" s="150"/>
      <c r="D2" s="150"/>
      <c r="E2" s="127">
        <v>260.0</v>
      </c>
      <c r="F2" s="127">
        <v>20.0</v>
      </c>
    </row>
    <row r="3" ht="14.25" customHeight="1">
      <c r="A3" s="149" t="s">
        <v>657</v>
      </c>
      <c r="B3" s="127"/>
      <c r="C3" s="127"/>
      <c r="D3" s="127">
        <v>1.0</v>
      </c>
      <c r="E3" s="127">
        <v>15.0</v>
      </c>
      <c r="F3" s="127">
        <v>2.0</v>
      </c>
    </row>
    <row r="4" ht="10.5" customHeight="1">
      <c r="A4" s="149" t="s">
        <v>659</v>
      </c>
      <c r="B4" s="150"/>
      <c r="C4" s="127"/>
      <c r="D4" s="127">
        <v>1.0</v>
      </c>
      <c r="E4" s="127">
        <v>15.0</v>
      </c>
      <c r="F4" s="127">
        <v>3.0</v>
      </c>
      <c r="G4" s="52"/>
    </row>
    <row r="5" ht="14.25" customHeight="1">
      <c r="A5" s="149" t="s">
        <v>662</v>
      </c>
      <c r="B5" s="150"/>
      <c r="C5" s="127"/>
      <c r="D5" s="127">
        <v>1.0</v>
      </c>
      <c r="E5" s="127">
        <v>15.0</v>
      </c>
      <c r="F5" s="127">
        <v>3.0</v>
      </c>
    </row>
    <row r="6" ht="14.25" customHeight="1">
      <c r="A6" s="149" t="s">
        <v>663</v>
      </c>
      <c r="B6" s="127"/>
      <c r="C6" s="127"/>
      <c r="D6" s="127">
        <v>1.0</v>
      </c>
      <c r="E6" s="127">
        <v>15.0</v>
      </c>
      <c r="F6" s="127">
        <v>2.0</v>
      </c>
    </row>
    <row r="7" ht="14.25" customHeight="1">
      <c r="A7" s="149" t="s">
        <v>664</v>
      </c>
      <c r="B7" s="127"/>
      <c r="C7" s="127"/>
      <c r="D7" s="127">
        <v>1.0</v>
      </c>
      <c r="E7" s="127">
        <v>15.0</v>
      </c>
      <c r="F7" s="127">
        <v>2.0</v>
      </c>
    </row>
    <row r="8" ht="14.25" customHeight="1">
      <c r="A8" s="149" t="s">
        <v>666</v>
      </c>
      <c r="B8" s="127"/>
      <c r="C8" s="127"/>
      <c r="D8" s="127">
        <v>1.0</v>
      </c>
      <c r="E8" s="127">
        <v>60.0</v>
      </c>
      <c r="F8" s="127"/>
    </row>
    <row r="9" ht="14.25" customHeight="1">
      <c r="A9" s="149" t="s">
        <v>271</v>
      </c>
      <c r="B9" s="127"/>
      <c r="C9" s="150"/>
      <c r="D9" s="150"/>
      <c r="E9" s="127">
        <v>102.0</v>
      </c>
      <c r="F9" s="127">
        <v>3.0</v>
      </c>
    </row>
    <row r="10" ht="14.25" customHeight="1">
      <c r="A10" s="149" t="s">
        <v>668</v>
      </c>
      <c r="B10" s="127"/>
      <c r="C10" s="150"/>
      <c r="D10" s="150"/>
      <c r="E10" s="127">
        <v>50.0</v>
      </c>
      <c r="F10" s="127">
        <v>4.0</v>
      </c>
    </row>
    <row r="11" ht="14.25" customHeight="1">
      <c r="A11" s="149" t="s">
        <v>669</v>
      </c>
      <c r="B11" s="150"/>
      <c r="C11" s="150"/>
      <c r="D11" s="150"/>
      <c r="E11" s="127">
        <v>180.0</v>
      </c>
      <c r="F11" s="150"/>
    </row>
    <row r="12" ht="14.25" customHeight="1">
      <c r="A12" s="149" t="s">
        <v>670</v>
      </c>
      <c r="B12" s="150"/>
      <c r="C12" s="150"/>
      <c r="D12" s="150"/>
      <c r="E12" s="150"/>
      <c r="F12" s="127">
        <v>2.0</v>
      </c>
    </row>
    <row r="13" ht="14.25" customHeight="1">
      <c r="A13" s="149" t="s">
        <v>672</v>
      </c>
      <c r="B13" s="150"/>
      <c r="C13" s="150"/>
      <c r="D13" s="150"/>
      <c r="E13" s="127">
        <v>200.0</v>
      </c>
      <c r="F13" s="127">
        <v>4.0</v>
      </c>
    </row>
    <row r="14" ht="14.25" customHeight="1">
      <c r="A14" s="149" t="s">
        <v>673</v>
      </c>
      <c r="B14" s="150"/>
      <c r="C14" s="127"/>
      <c r="D14" s="127">
        <v>1.0</v>
      </c>
      <c r="E14" s="127">
        <v>15.0</v>
      </c>
      <c r="F14" s="127"/>
    </row>
    <row r="15" ht="14.25" customHeight="1">
      <c r="A15" s="149" t="s">
        <v>674</v>
      </c>
      <c r="B15" s="150"/>
      <c r="C15" s="127"/>
      <c r="D15" s="127">
        <v>1.0</v>
      </c>
      <c r="E15" s="127">
        <v>15.0</v>
      </c>
      <c r="F15" s="127"/>
    </row>
    <row r="16" ht="14.25" customHeight="1">
      <c r="A16" s="149" t="s">
        <v>675</v>
      </c>
      <c r="B16" s="150"/>
      <c r="C16" s="150"/>
      <c r="D16" s="150"/>
      <c r="E16" s="127">
        <v>19.0</v>
      </c>
      <c r="F16" s="150"/>
    </row>
    <row r="17" ht="14.25" customHeight="1">
      <c r="A17" s="149" t="s">
        <v>676</v>
      </c>
      <c r="B17" s="150"/>
      <c r="C17" s="150"/>
      <c r="D17" s="150"/>
      <c r="E17" s="127">
        <v>250.0</v>
      </c>
      <c r="F17" s="150"/>
    </row>
    <row r="18" ht="14.25" customHeight="1">
      <c r="A18" s="149" t="s">
        <v>678</v>
      </c>
      <c r="B18" s="150"/>
      <c r="C18" s="150"/>
      <c r="D18" s="150"/>
      <c r="E18" s="150"/>
      <c r="F18" s="150"/>
    </row>
    <row r="19" ht="14.25" customHeight="1">
      <c r="A19" s="149" t="s">
        <v>680</v>
      </c>
      <c r="B19" s="150"/>
      <c r="C19" s="150"/>
      <c r="D19" s="150"/>
      <c r="E19" s="127">
        <v>20.0</v>
      </c>
      <c r="F19" s="152"/>
    </row>
    <row r="20" ht="14.25" customHeight="1">
      <c r="A20" s="149" t="s">
        <v>681</v>
      </c>
      <c r="B20" s="127">
        <v>1.0</v>
      </c>
      <c r="C20" s="127">
        <v>1.0</v>
      </c>
      <c r="D20" s="150"/>
      <c r="E20" s="127">
        <v>55.0</v>
      </c>
      <c r="F20" s="152"/>
    </row>
    <row r="21" ht="14.25" customHeight="1">
      <c r="A21" s="149" t="s">
        <v>682</v>
      </c>
      <c r="B21" s="127">
        <v>1.0</v>
      </c>
      <c r="C21" s="127"/>
      <c r="D21" s="150"/>
      <c r="E21" s="127">
        <v>22.0</v>
      </c>
      <c r="F21" s="152"/>
    </row>
    <row r="22" ht="14.25" customHeight="1">
      <c r="A22" s="149" t="s">
        <v>683</v>
      </c>
      <c r="B22" s="127">
        <v>1.0</v>
      </c>
      <c r="C22" s="127">
        <v>2.0</v>
      </c>
      <c r="D22" s="150"/>
      <c r="E22" s="127">
        <v>14.0</v>
      </c>
      <c r="F22" s="152"/>
    </row>
    <row r="23" ht="14.25" customHeight="1">
      <c r="A23" s="52" t="s">
        <v>686</v>
      </c>
      <c r="B23" s="153">
        <v>1.0</v>
      </c>
      <c r="C23" s="50"/>
      <c r="D23" s="50"/>
      <c r="E23" s="153">
        <v>30.0</v>
      </c>
    </row>
    <row r="24" ht="14.25" customHeight="1">
      <c r="A24" s="52" t="s">
        <v>687</v>
      </c>
      <c r="B24" s="50"/>
      <c r="C24" s="50"/>
      <c r="D24" s="50"/>
      <c r="E24" s="153">
        <v>20.0</v>
      </c>
      <c r="F24" s="50"/>
      <c r="L24" s="52">
        <v>3.0</v>
      </c>
    </row>
    <row r="25" ht="14.25" customHeight="1">
      <c r="A25" s="52" t="s">
        <v>688</v>
      </c>
      <c r="B25" s="50"/>
      <c r="C25" s="50"/>
      <c r="D25" s="50"/>
      <c r="E25" s="153">
        <v>5.0</v>
      </c>
    </row>
    <row r="26" ht="14.25" customHeight="1">
      <c r="B26" s="50"/>
      <c r="C26" s="50"/>
      <c r="D26" s="50"/>
      <c r="E26" s="50">
        <f>SUM(E2:E25)</f>
        <v>1392</v>
      </c>
    </row>
    <row r="27" ht="14.25" customHeight="1">
      <c r="B27" s="50"/>
      <c r="C27" s="50"/>
      <c r="D27" s="50"/>
    </row>
    <row r="28" ht="14.25" customHeight="1">
      <c r="B28" s="50"/>
      <c r="C28" s="50"/>
      <c r="D28" s="50"/>
      <c r="E28" s="50"/>
    </row>
    <row r="29" ht="14.25" customHeight="1">
      <c r="A29" s="52" t="s">
        <v>690</v>
      </c>
      <c r="B29" s="153" t="s">
        <v>688</v>
      </c>
      <c r="C29" s="153">
        <v>3.192338267E9</v>
      </c>
      <c r="D29" s="153" t="s">
        <v>691</v>
      </c>
      <c r="E29" s="50"/>
    </row>
    <row r="30" ht="14.25" customHeight="1">
      <c r="B30" s="50"/>
      <c r="C30" s="50"/>
      <c r="D30" s="50"/>
      <c r="E30" s="50"/>
    </row>
    <row r="31" ht="14.25" customHeight="1">
      <c r="B31" s="50"/>
      <c r="C31" s="50"/>
      <c r="D31" s="50"/>
      <c r="E31" s="50"/>
    </row>
    <row r="32" ht="14.25" customHeight="1">
      <c r="B32" s="50"/>
      <c r="C32" s="50"/>
      <c r="D32" s="50"/>
      <c r="E32" s="50"/>
    </row>
    <row r="33" ht="14.25" customHeight="1">
      <c r="B33" s="50"/>
      <c r="C33" s="50"/>
      <c r="D33" s="50"/>
      <c r="E33" s="50"/>
    </row>
    <row r="34" ht="14.25" customHeight="1">
      <c r="B34" s="50"/>
      <c r="C34" s="50"/>
      <c r="D34" s="50"/>
      <c r="E34" s="50"/>
    </row>
    <row r="35" ht="14.25" customHeight="1">
      <c r="B35" s="50"/>
      <c r="C35" s="50"/>
      <c r="D35" s="50"/>
      <c r="E35" s="50"/>
    </row>
    <row r="36" ht="14.25" customHeight="1">
      <c r="B36" s="50"/>
      <c r="C36" s="50"/>
      <c r="D36" s="50"/>
      <c r="E36" s="50"/>
    </row>
    <row r="37" ht="14.25" customHeight="1">
      <c r="B37" s="50"/>
      <c r="C37" s="50"/>
      <c r="D37" s="50"/>
      <c r="E37" s="50"/>
    </row>
    <row r="38" ht="14.25" customHeight="1">
      <c r="B38" s="50"/>
      <c r="C38" s="50"/>
      <c r="D38" s="50"/>
      <c r="E38" s="50"/>
    </row>
    <row r="39" ht="14.25" customHeight="1">
      <c r="B39" s="50"/>
      <c r="C39" s="50"/>
      <c r="D39" s="50"/>
      <c r="E39" s="50"/>
    </row>
    <row r="40" ht="14.25" customHeight="1">
      <c r="B40" s="50"/>
      <c r="C40" s="50"/>
      <c r="D40" s="50"/>
      <c r="E40" s="50"/>
    </row>
    <row r="41" ht="14.25" customHeight="1">
      <c r="B41" s="50"/>
      <c r="C41" s="50"/>
      <c r="D41" s="50"/>
      <c r="E41" s="50"/>
    </row>
    <row r="42" ht="14.25" customHeight="1">
      <c r="B42" s="50"/>
      <c r="C42" s="50"/>
      <c r="D42" s="50"/>
      <c r="E42" s="50"/>
    </row>
    <row r="43" ht="14.25" customHeight="1">
      <c r="B43" s="50"/>
      <c r="C43" s="50"/>
      <c r="D43" s="50"/>
      <c r="E43" s="50"/>
    </row>
    <row r="44" ht="14.25" customHeight="1">
      <c r="B44" s="50"/>
      <c r="C44" s="50"/>
      <c r="D44" s="50"/>
      <c r="E44" s="50"/>
    </row>
    <row r="45" ht="14.25" customHeight="1">
      <c r="B45" s="50"/>
      <c r="C45" s="50"/>
      <c r="D45" s="50"/>
      <c r="E45" s="50"/>
    </row>
    <row r="46" ht="14.25" customHeight="1">
      <c r="B46" s="50"/>
      <c r="C46" s="50"/>
      <c r="D46" s="50"/>
      <c r="E46" s="50"/>
    </row>
    <row r="47" ht="14.25" customHeight="1">
      <c r="B47" s="50"/>
      <c r="C47" s="50"/>
      <c r="D47" s="50"/>
      <c r="E47" s="50"/>
    </row>
    <row r="48" ht="14.25" customHeight="1">
      <c r="B48" s="50"/>
      <c r="C48" s="50"/>
      <c r="D48" s="50"/>
      <c r="E48" s="50"/>
    </row>
    <row r="49" ht="14.25" customHeight="1">
      <c r="B49" s="50"/>
      <c r="C49" s="50"/>
      <c r="D49" s="50"/>
      <c r="E49" s="50"/>
    </row>
    <row r="50" ht="14.25" customHeight="1">
      <c r="B50" s="50"/>
      <c r="C50" s="50"/>
      <c r="D50" s="50"/>
      <c r="E50" s="50"/>
    </row>
    <row r="51" ht="14.25" customHeight="1">
      <c r="B51" s="50"/>
      <c r="C51" s="50"/>
      <c r="D51" s="50"/>
      <c r="E51" s="50"/>
    </row>
    <row r="52" ht="14.25" customHeight="1">
      <c r="B52" s="50"/>
      <c r="C52" s="50"/>
      <c r="D52" s="50"/>
      <c r="E52" s="50"/>
    </row>
    <row r="53" ht="14.25" customHeight="1">
      <c r="B53" s="50"/>
      <c r="C53" s="50"/>
      <c r="D53" s="50"/>
      <c r="E53" s="50"/>
    </row>
    <row r="54" ht="14.25" customHeight="1">
      <c r="B54" s="50"/>
      <c r="C54" s="50"/>
      <c r="D54" s="50"/>
      <c r="E54" s="50"/>
    </row>
    <row r="55" ht="14.25" customHeight="1">
      <c r="B55" s="50"/>
      <c r="C55" s="50"/>
      <c r="D55" s="50"/>
      <c r="E55" s="50"/>
    </row>
    <row r="56" ht="14.25" customHeight="1">
      <c r="B56" s="50"/>
      <c r="C56" s="50"/>
      <c r="D56" s="50"/>
      <c r="E56" s="50"/>
    </row>
    <row r="57" ht="14.25" customHeight="1">
      <c r="B57" s="50"/>
      <c r="C57" s="50"/>
      <c r="D57" s="50"/>
      <c r="E57" s="50"/>
    </row>
    <row r="58" ht="14.25" customHeight="1">
      <c r="B58" s="50"/>
      <c r="C58" s="50"/>
      <c r="D58" s="50"/>
      <c r="E58" s="50"/>
    </row>
    <row r="59" ht="14.25" customHeight="1">
      <c r="B59" s="50"/>
      <c r="C59" s="50"/>
      <c r="D59" s="50"/>
      <c r="E59" s="50"/>
    </row>
    <row r="60" ht="14.25" customHeight="1">
      <c r="B60" s="50"/>
      <c r="C60" s="50"/>
      <c r="D60" s="50"/>
      <c r="E60" s="50"/>
    </row>
    <row r="61" ht="14.25" customHeight="1">
      <c r="B61" s="50"/>
      <c r="C61" s="50"/>
      <c r="D61" s="50"/>
      <c r="E61" s="50"/>
    </row>
    <row r="62" ht="14.25" customHeight="1">
      <c r="B62" s="50"/>
      <c r="C62" s="50"/>
      <c r="D62" s="50"/>
      <c r="E62" s="50"/>
    </row>
    <row r="63" ht="14.25" customHeight="1">
      <c r="B63" s="50"/>
      <c r="C63" s="50"/>
      <c r="D63" s="50"/>
      <c r="E63" s="50"/>
    </row>
    <row r="64" ht="14.25" customHeight="1">
      <c r="B64" s="50"/>
      <c r="C64" s="50"/>
      <c r="D64" s="50"/>
      <c r="E64" s="50"/>
    </row>
    <row r="65" ht="14.25" customHeight="1">
      <c r="B65" s="50"/>
      <c r="C65" s="50"/>
      <c r="D65" s="50"/>
      <c r="E65" s="50"/>
    </row>
    <row r="66" ht="14.25" customHeight="1">
      <c r="B66" s="50"/>
      <c r="C66" s="50"/>
      <c r="D66" s="50"/>
      <c r="E66" s="50"/>
    </row>
    <row r="67" ht="14.25" customHeight="1">
      <c r="B67" s="50"/>
      <c r="C67" s="50"/>
      <c r="D67" s="50"/>
      <c r="E67" s="50"/>
    </row>
    <row r="68" ht="14.25" customHeight="1">
      <c r="B68" s="50"/>
      <c r="C68" s="50"/>
      <c r="D68" s="50"/>
      <c r="E68" s="50"/>
    </row>
    <row r="69" ht="14.25" customHeight="1">
      <c r="B69" s="50"/>
      <c r="C69" s="50"/>
      <c r="D69" s="50"/>
      <c r="E69" s="50"/>
    </row>
    <row r="70" ht="14.25" customHeight="1">
      <c r="B70" s="50"/>
      <c r="C70" s="50"/>
      <c r="D70" s="50"/>
      <c r="E70" s="50"/>
    </row>
    <row r="71" ht="14.25" customHeight="1">
      <c r="B71" s="50"/>
      <c r="C71" s="50"/>
      <c r="D71" s="50"/>
      <c r="E71" s="50"/>
    </row>
    <row r="72" ht="14.25" customHeight="1">
      <c r="B72" s="50"/>
      <c r="C72" s="50"/>
      <c r="D72" s="50"/>
      <c r="E72" s="50"/>
    </row>
    <row r="73" ht="14.25" customHeight="1">
      <c r="B73" s="50"/>
      <c r="C73" s="50"/>
      <c r="D73" s="50"/>
      <c r="E73" s="50"/>
    </row>
    <row r="74" ht="14.25" customHeight="1">
      <c r="B74" s="50"/>
      <c r="C74" s="50"/>
      <c r="D74" s="50"/>
      <c r="E74" s="50"/>
    </row>
    <row r="75" ht="14.25" customHeight="1">
      <c r="B75" s="50"/>
      <c r="C75" s="50"/>
      <c r="D75" s="50"/>
      <c r="E75" s="50"/>
    </row>
    <row r="76" ht="14.25" customHeight="1">
      <c r="B76" s="50"/>
      <c r="C76" s="50"/>
      <c r="D76" s="50"/>
      <c r="E76" s="50"/>
    </row>
    <row r="77" ht="14.25" customHeight="1">
      <c r="B77" s="50"/>
      <c r="C77" s="50"/>
      <c r="D77" s="50"/>
      <c r="E77" s="50"/>
    </row>
    <row r="78" ht="14.25" customHeight="1">
      <c r="B78" s="50"/>
      <c r="C78" s="50"/>
      <c r="D78" s="50"/>
      <c r="E78" s="50"/>
    </row>
    <row r="79" ht="14.25" customHeight="1">
      <c r="B79" s="50"/>
      <c r="C79" s="50"/>
      <c r="D79" s="50"/>
      <c r="E79" s="50"/>
    </row>
    <row r="80" ht="14.25" customHeight="1">
      <c r="B80" s="50"/>
      <c r="C80" s="50"/>
      <c r="D80" s="50"/>
      <c r="E80" s="50"/>
    </row>
    <row r="81" ht="14.25" customHeight="1">
      <c r="B81" s="50"/>
      <c r="C81" s="50"/>
      <c r="D81" s="50"/>
      <c r="E81" s="50"/>
    </row>
    <row r="82" ht="14.25" customHeight="1">
      <c r="B82" s="50"/>
      <c r="C82" s="50"/>
      <c r="D82" s="50"/>
      <c r="E82" s="50"/>
    </row>
    <row r="83" ht="14.25" customHeight="1">
      <c r="B83" s="50"/>
      <c r="C83" s="50"/>
      <c r="D83" s="50"/>
      <c r="E83" s="50"/>
    </row>
    <row r="84" ht="14.25" customHeight="1">
      <c r="B84" s="50"/>
      <c r="C84" s="50"/>
      <c r="D84" s="50"/>
      <c r="E84" s="50"/>
    </row>
    <row r="85" ht="14.25" customHeight="1">
      <c r="B85" s="50"/>
      <c r="C85" s="50"/>
      <c r="D85" s="50"/>
      <c r="E85" s="50"/>
    </row>
    <row r="86" ht="14.25" customHeight="1">
      <c r="B86" s="50"/>
      <c r="C86" s="50"/>
      <c r="D86" s="50"/>
      <c r="E86" s="50"/>
    </row>
    <row r="87" ht="14.25" customHeight="1">
      <c r="B87" s="50"/>
      <c r="C87" s="50"/>
      <c r="D87" s="50"/>
      <c r="E87" s="50"/>
    </row>
    <row r="88" ht="14.25" customHeight="1">
      <c r="B88" s="50"/>
      <c r="C88" s="50"/>
      <c r="D88" s="50"/>
      <c r="E88" s="50"/>
    </row>
    <row r="89" ht="14.25" customHeight="1">
      <c r="B89" s="50"/>
      <c r="C89" s="50"/>
      <c r="D89" s="50"/>
      <c r="E89" s="50"/>
    </row>
    <row r="90" ht="14.25" customHeight="1">
      <c r="B90" s="50"/>
      <c r="C90" s="50"/>
      <c r="D90" s="50"/>
      <c r="E90" s="50"/>
    </row>
    <row r="91" ht="14.25" customHeight="1">
      <c r="B91" s="50"/>
      <c r="C91" s="50"/>
      <c r="D91" s="50"/>
      <c r="E91" s="50"/>
    </row>
    <row r="92" ht="14.25" customHeight="1">
      <c r="B92" s="50"/>
      <c r="C92" s="50"/>
      <c r="D92" s="50"/>
      <c r="E92" s="50"/>
    </row>
    <row r="93" ht="14.25" customHeight="1">
      <c r="B93" s="50"/>
      <c r="C93" s="50"/>
      <c r="D93" s="50"/>
      <c r="E93" s="50"/>
    </row>
    <row r="94" ht="14.25" customHeight="1">
      <c r="B94" s="50"/>
      <c r="C94" s="50"/>
      <c r="D94" s="50"/>
      <c r="E94" s="50"/>
    </row>
    <row r="95" ht="14.25" customHeight="1">
      <c r="B95" s="50"/>
      <c r="C95" s="50"/>
      <c r="D95" s="50"/>
      <c r="E95" s="50"/>
    </row>
    <row r="96" ht="14.25" customHeight="1">
      <c r="B96" s="50"/>
      <c r="C96" s="50"/>
      <c r="D96" s="50"/>
      <c r="E96" s="50"/>
    </row>
    <row r="97" ht="14.25" customHeight="1">
      <c r="B97" s="50"/>
      <c r="C97" s="50"/>
      <c r="D97" s="50"/>
      <c r="E97" s="50"/>
    </row>
    <row r="98" ht="14.25" customHeight="1">
      <c r="B98" s="50"/>
      <c r="C98" s="50"/>
      <c r="D98" s="50"/>
      <c r="E98" s="50"/>
    </row>
    <row r="99" ht="14.25" customHeight="1">
      <c r="B99" s="50"/>
      <c r="C99" s="50"/>
      <c r="D99" s="50"/>
      <c r="E99" s="50"/>
    </row>
    <row r="100" ht="14.25" customHeight="1">
      <c r="B100" s="50"/>
      <c r="C100" s="50"/>
      <c r="D100" s="50"/>
      <c r="E100" s="50"/>
    </row>
    <row r="101" ht="14.25" customHeight="1">
      <c r="B101" s="50"/>
      <c r="C101" s="50"/>
      <c r="D101" s="50"/>
      <c r="E101" s="50"/>
    </row>
    <row r="102" ht="14.25" customHeight="1">
      <c r="B102" s="50"/>
      <c r="C102" s="50"/>
      <c r="D102" s="50"/>
      <c r="E102" s="50"/>
    </row>
    <row r="103" ht="14.25" customHeight="1">
      <c r="B103" s="50"/>
      <c r="C103" s="50"/>
      <c r="D103" s="50"/>
      <c r="E103" s="50"/>
    </row>
    <row r="104" ht="14.25" customHeight="1">
      <c r="B104" s="50"/>
      <c r="C104" s="50"/>
      <c r="D104" s="50"/>
      <c r="E104" s="50"/>
    </row>
    <row r="105" ht="14.25" customHeight="1">
      <c r="B105" s="50"/>
      <c r="C105" s="50"/>
      <c r="D105" s="50"/>
      <c r="E105" s="50"/>
    </row>
    <row r="106" ht="14.25" customHeight="1">
      <c r="B106" s="50"/>
      <c r="C106" s="50"/>
      <c r="D106" s="50"/>
      <c r="E106" s="50"/>
    </row>
    <row r="107" ht="14.25" customHeight="1">
      <c r="B107" s="50"/>
      <c r="C107" s="50"/>
      <c r="D107" s="50"/>
      <c r="E107" s="50"/>
    </row>
    <row r="108" ht="14.25" customHeight="1">
      <c r="B108" s="50"/>
      <c r="C108" s="50"/>
      <c r="D108" s="50"/>
      <c r="E108" s="50"/>
    </row>
    <row r="109" ht="14.25" customHeight="1">
      <c r="B109" s="50"/>
      <c r="C109" s="50"/>
      <c r="D109" s="50"/>
      <c r="E109" s="50"/>
    </row>
    <row r="110" ht="14.25" customHeight="1">
      <c r="B110" s="50"/>
      <c r="C110" s="50"/>
      <c r="D110" s="50"/>
      <c r="E110" s="50"/>
    </row>
    <row r="111" ht="14.25" customHeight="1">
      <c r="B111" s="50"/>
      <c r="C111" s="50"/>
      <c r="D111" s="50"/>
      <c r="E111" s="50"/>
    </row>
    <row r="112" ht="14.25" customHeight="1">
      <c r="B112" s="50"/>
      <c r="C112" s="50"/>
      <c r="D112" s="50"/>
      <c r="E112" s="50"/>
    </row>
    <row r="113" ht="14.25" customHeight="1">
      <c r="B113" s="50"/>
      <c r="C113" s="50"/>
      <c r="D113" s="50"/>
      <c r="E113" s="50"/>
    </row>
    <row r="114" ht="14.25" customHeight="1">
      <c r="B114" s="50"/>
      <c r="C114" s="50"/>
      <c r="D114" s="50"/>
      <c r="E114" s="50"/>
    </row>
    <row r="115" ht="14.25" customHeight="1">
      <c r="B115" s="50"/>
      <c r="C115" s="50"/>
      <c r="D115" s="50"/>
      <c r="E115" s="50"/>
    </row>
    <row r="116" ht="14.25" customHeight="1">
      <c r="B116" s="50"/>
      <c r="C116" s="50"/>
      <c r="D116" s="50"/>
      <c r="E116" s="50"/>
    </row>
    <row r="117" ht="14.25" customHeight="1">
      <c r="B117" s="50"/>
      <c r="C117" s="50"/>
      <c r="D117" s="50"/>
      <c r="E117" s="50"/>
    </row>
    <row r="118" ht="14.25" customHeight="1">
      <c r="B118" s="50"/>
      <c r="C118" s="50"/>
      <c r="D118" s="50"/>
      <c r="E118" s="50"/>
    </row>
    <row r="119" ht="14.25" customHeight="1">
      <c r="B119" s="50"/>
      <c r="C119" s="50"/>
      <c r="D119" s="50"/>
      <c r="E119" s="50"/>
    </row>
    <row r="120" ht="14.25" customHeight="1">
      <c r="B120" s="50"/>
      <c r="C120" s="50"/>
      <c r="D120" s="50"/>
      <c r="E120" s="50"/>
    </row>
    <row r="121" ht="14.25" customHeight="1">
      <c r="B121" s="50"/>
      <c r="C121" s="50"/>
      <c r="D121" s="50"/>
      <c r="E121" s="50"/>
    </row>
    <row r="122" ht="14.25" customHeight="1">
      <c r="B122" s="50"/>
      <c r="C122" s="50"/>
      <c r="D122" s="50"/>
      <c r="E122" s="50"/>
    </row>
    <row r="123" ht="14.25" customHeight="1">
      <c r="B123" s="50"/>
      <c r="C123" s="50"/>
      <c r="D123" s="50"/>
      <c r="E123" s="50"/>
    </row>
    <row r="124" ht="14.25" customHeight="1">
      <c r="B124" s="50"/>
      <c r="C124" s="50"/>
      <c r="D124" s="50"/>
      <c r="E124" s="50"/>
    </row>
    <row r="125" ht="14.25" customHeight="1">
      <c r="B125" s="50"/>
      <c r="C125" s="50"/>
      <c r="D125" s="50"/>
      <c r="E125" s="50"/>
    </row>
    <row r="126" ht="14.25" customHeight="1">
      <c r="B126" s="50"/>
      <c r="C126" s="50"/>
      <c r="D126" s="50"/>
      <c r="E126" s="50"/>
    </row>
    <row r="127" ht="14.25" customHeight="1">
      <c r="B127" s="50"/>
      <c r="C127" s="50"/>
      <c r="D127" s="50"/>
      <c r="E127" s="50"/>
    </row>
    <row r="128" ht="14.25" customHeight="1">
      <c r="B128" s="50"/>
      <c r="C128" s="50"/>
      <c r="D128" s="50"/>
      <c r="E128" s="50"/>
    </row>
    <row r="129" ht="14.25" customHeight="1">
      <c r="B129" s="50"/>
      <c r="C129" s="50"/>
      <c r="D129" s="50"/>
      <c r="E129" s="50"/>
    </row>
    <row r="130" ht="14.25" customHeight="1">
      <c r="B130" s="50"/>
      <c r="C130" s="50"/>
      <c r="D130" s="50"/>
      <c r="E130" s="50"/>
    </row>
    <row r="131" ht="14.25" customHeight="1">
      <c r="B131" s="50"/>
      <c r="C131" s="50"/>
      <c r="D131" s="50"/>
      <c r="E131" s="50"/>
    </row>
    <row r="132" ht="14.25" customHeight="1">
      <c r="B132" s="50"/>
      <c r="C132" s="50"/>
      <c r="D132" s="50"/>
      <c r="E132" s="50"/>
    </row>
    <row r="133" ht="14.25" customHeight="1">
      <c r="B133" s="50"/>
      <c r="C133" s="50"/>
      <c r="D133" s="50"/>
      <c r="E133" s="50"/>
    </row>
    <row r="134" ht="14.25" customHeight="1">
      <c r="B134" s="50"/>
      <c r="C134" s="50"/>
      <c r="D134" s="50"/>
      <c r="E134" s="50"/>
    </row>
    <row r="135" ht="14.25" customHeight="1">
      <c r="B135" s="50"/>
      <c r="C135" s="50"/>
      <c r="D135" s="50"/>
      <c r="E135" s="50"/>
    </row>
    <row r="136" ht="14.25" customHeight="1">
      <c r="B136" s="50"/>
      <c r="C136" s="50"/>
      <c r="D136" s="50"/>
      <c r="E136" s="50"/>
    </row>
    <row r="137" ht="14.25" customHeight="1">
      <c r="B137" s="50"/>
      <c r="C137" s="50"/>
      <c r="D137" s="50"/>
      <c r="E137" s="50"/>
    </row>
    <row r="138" ht="14.25" customHeight="1">
      <c r="B138" s="50"/>
      <c r="C138" s="50"/>
      <c r="D138" s="50"/>
      <c r="E138" s="50"/>
    </row>
    <row r="139" ht="14.25" customHeight="1">
      <c r="B139" s="50"/>
      <c r="C139" s="50"/>
      <c r="D139" s="50"/>
      <c r="E139" s="50"/>
    </row>
    <row r="140" ht="14.25" customHeight="1">
      <c r="B140" s="50"/>
      <c r="C140" s="50"/>
      <c r="D140" s="50"/>
      <c r="E140" s="50"/>
    </row>
    <row r="141" ht="14.25" customHeight="1">
      <c r="B141" s="50"/>
      <c r="C141" s="50"/>
      <c r="D141" s="50"/>
      <c r="E141" s="50"/>
    </row>
    <row r="142" ht="14.25" customHeight="1">
      <c r="B142" s="50"/>
      <c r="C142" s="50"/>
      <c r="D142" s="50"/>
      <c r="E142" s="50"/>
    </row>
    <row r="143" ht="14.25" customHeight="1">
      <c r="B143" s="50"/>
      <c r="C143" s="50"/>
      <c r="D143" s="50"/>
      <c r="E143" s="50"/>
    </row>
    <row r="144" ht="14.25" customHeight="1">
      <c r="B144" s="50"/>
      <c r="C144" s="50"/>
      <c r="D144" s="50"/>
      <c r="E144" s="50"/>
    </row>
    <row r="145" ht="14.25" customHeight="1">
      <c r="B145" s="50"/>
      <c r="C145" s="50"/>
      <c r="D145" s="50"/>
      <c r="E145" s="50"/>
    </row>
    <row r="146" ht="14.25" customHeight="1">
      <c r="B146" s="50"/>
      <c r="C146" s="50"/>
      <c r="D146" s="50"/>
      <c r="E146" s="50"/>
    </row>
    <row r="147" ht="14.25" customHeight="1">
      <c r="B147" s="50"/>
      <c r="C147" s="50"/>
      <c r="D147" s="50"/>
      <c r="E147" s="50"/>
    </row>
    <row r="148" ht="14.25" customHeight="1">
      <c r="B148" s="50"/>
      <c r="C148" s="50"/>
      <c r="D148" s="50"/>
      <c r="E148" s="50"/>
    </row>
    <row r="149" ht="14.25" customHeight="1">
      <c r="B149" s="50"/>
      <c r="C149" s="50"/>
      <c r="D149" s="50"/>
      <c r="E149" s="50"/>
    </row>
    <row r="150" ht="14.25" customHeight="1">
      <c r="B150" s="50"/>
      <c r="C150" s="50"/>
      <c r="D150" s="50"/>
      <c r="E150" s="50"/>
    </row>
    <row r="151" ht="14.25" customHeight="1">
      <c r="B151" s="50"/>
      <c r="C151" s="50"/>
      <c r="D151" s="50"/>
      <c r="E151" s="50"/>
    </row>
    <row r="152" ht="14.25" customHeight="1">
      <c r="B152" s="50"/>
      <c r="C152" s="50"/>
      <c r="D152" s="50"/>
      <c r="E152" s="50"/>
    </row>
    <row r="153" ht="14.25" customHeight="1">
      <c r="B153" s="50"/>
      <c r="C153" s="50"/>
      <c r="D153" s="50"/>
      <c r="E153" s="50"/>
    </row>
    <row r="154" ht="14.25" customHeight="1">
      <c r="B154" s="50"/>
      <c r="C154" s="50"/>
      <c r="D154" s="50"/>
      <c r="E154" s="50"/>
    </row>
    <row r="155" ht="14.25" customHeight="1">
      <c r="B155" s="50"/>
      <c r="C155" s="50"/>
      <c r="D155" s="50"/>
      <c r="E155" s="50"/>
    </row>
    <row r="156" ht="14.25" customHeight="1">
      <c r="B156" s="50"/>
      <c r="C156" s="50"/>
      <c r="D156" s="50"/>
      <c r="E156" s="50"/>
    </row>
    <row r="157" ht="14.25" customHeight="1">
      <c r="B157" s="50"/>
      <c r="C157" s="50"/>
      <c r="D157" s="50"/>
      <c r="E157" s="50"/>
    </row>
    <row r="158" ht="14.25" customHeight="1">
      <c r="B158" s="50"/>
      <c r="C158" s="50"/>
      <c r="D158" s="50"/>
      <c r="E158" s="50"/>
    </row>
    <row r="159" ht="14.25" customHeight="1">
      <c r="B159" s="50"/>
      <c r="C159" s="50"/>
      <c r="D159" s="50"/>
      <c r="E159" s="50"/>
    </row>
    <row r="160" ht="14.25" customHeight="1">
      <c r="B160" s="50"/>
      <c r="C160" s="50"/>
      <c r="D160" s="50"/>
      <c r="E160" s="50"/>
    </row>
    <row r="161" ht="14.25" customHeight="1">
      <c r="B161" s="50"/>
      <c r="C161" s="50"/>
      <c r="D161" s="50"/>
      <c r="E161" s="50"/>
    </row>
    <row r="162" ht="14.25" customHeight="1">
      <c r="B162" s="50"/>
      <c r="C162" s="50"/>
      <c r="D162" s="50"/>
      <c r="E162" s="50"/>
    </row>
    <row r="163" ht="14.25" customHeight="1">
      <c r="B163" s="50"/>
      <c r="C163" s="50"/>
      <c r="D163" s="50"/>
      <c r="E163" s="50"/>
    </row>
    <row r="164" ht="14.25" customHeight="1">
      <c r="B164" s="50"/>
      <c r="C164" s="50"/>
      <c r="D164" s="50"/>
      <c r="E164" s="50"/>
    </row>
    <row r="165" ht="14.25" customHeight="1">
      <c r="B165" s="50"/>
      <c r="C165" s="50"/>
      <c r="D165" s="50"/>
      <c r="E165" s="50"/>
    </row>
    <row r="166" ht="14.25" customHeight="1">
      <c r="B166" s="50"/>
      <c r="C166" s="50"/>
      <c r="D166" s="50"/>
      <c r="E166" s="50"/>
    </row>
    <row r="167" ht="14.25" customHeight="1">
      <c r="B167" s="50"/>
      <c r="C167" s="50"/>
      <c r="D167" s="50"/>
      <c r="E167" s="50"/>
    </row>
    <row r="168" ht="14.25" customHeight="1">
      <c r="B168" s="50"/>
      <c r="C168" s="50"/>
      <c r="D168" s="50"/>
      <c r="E168" s="50"/>
    </row>
    <row r="169" ht="14.25" customHeight="1">
      <c r="B169" s="50"/>
      <c r="C169" s="50"/>
      <c r="D169" s="50"/>
      <c r="E169" s="50"/>
    </row>
    <row r="170" ht="14.25" customHeight="1">
      <c r="B170" s="50"/>
      <c r="C170" s="50"/>
      <c r="D170" s="50"/>
      <c r="E170" s="50"/>
    </row>
    <row r="171" ht="14.25" customHeight="1">
      <c r="B171" s="50"/>
      <c r="C171" s="50"/>
      <c r="D171" s="50"/>
      <c r="E171" s="50"/>
    </row>
    <row r="172" ht="14.25" customHeight="1">
      <c r="B172" s="50"/>
      <c r="C172" s="50"/>
      <c r="D172" s="50"/>
      <c r="E172" s="50"/>
    </row>
    <row r="173" ht="14.25" customHeight="1">
      <c r="B173" s="50"/>
      <c r="C173" s="50"/>
      <c r="D173" s="50"/>
      <c r="E173" s="50"/>
    </row>
    <row r="174" ht="14.25" customHeight="1">
      <c r="B174" s="50"/>
      <c r="C174" s="50"/>
      <c r="D174" s="50"/>
      <c r="E174" s="50"/>
    </row>
    <row r="175" ht="14.25" customHeight="1">
      <c r="B175" s="50"/>
      <c r="C175" s="50"/>
      <c r="D175" s="50"/>
      <c r="E175" s="50"/>
    </row>
    <row r="176" ht="14.25" customHeight="1">
      <c r="B176" s="50"/>
      <c r="C176" s="50"/>
      <c r="D176" s="50"/>
      <c r="E176" s="50"/>
    </row>
    <row r="177" ht="14.25" customHeight="1">
      <c r="B177" s="50"/>
      <c r="C177" s="50"/>
      <c r="D177" s="50"/>
      <c r="E177" s="50"/>
    </row>
    <row r="178" ht="14.25" customHeight="1">
      <c r="B178" s="50"/>
      <c r="C178" s="50"/>
      <c r="D178" s="50"/>
      <c r="E178" s="50"/>
    </row>
    <row r="179" ht="14.25" customHeight="1">
      <c r="B179" s="50"/>
      <c r="C179" s="50"/>
      <c r="D179" s="50"/>
      <c r="E179" s="50"/>
    </row>
    <row r="180" ht="14.25" customHeight="1">
      <c r="B180" s="50"/>
      <c r="C180" s="50"/>
      <c r="D180" s="50"/>
      <c r="E180" s="50"/>
    </row>
    <row r="181" ht="14.25" customHeight="1">
      <c r="B181" s="50"/>
      <c r="C181" s="50"/>
      <c r="D181" s="50"/>
      <c r="E181" s="50"/>
    </row>
    <row r="182" ht="14.25" customHeight="1">
      <c r="B182" s="50"/>
      <c r="C182" s="50"/>
      <c r="D182" s="50"/>
      <c r="E182" s="50"/>
    </row>
    <row r="183" ht="14.25" customHeight="1">
      <c r="B183" s="50"/>
      <c r="C183" s="50"/>
      <c r="D183" s="50"/>
      <c r="E183" s="50"/>
    </row>
    <row r="184" ht="14.25" customHeight="1">
      <c r="B184" s="50"/>
      <c r="C184" s="50"/>
      <c r="D184" s="50"/>
      <c r="E184" s="50"/>
    </row>
    <row r="185" ht="14.25" customHeight="1">
      <c r="B185" s="50"/>
      <c r="C185" s="50"/>
      <c r="D185" s="50"/>
      <c r="E185" s="50"/>
    </row>
    <row r="186" ht="14.25" customHeight="1">
      <c r="B186" s="50"/>
      <c r="C186" s="50"/>
      <c r="D186" s="50"/>
      <c r="E186" s="50"/>
    </row>
    <row r="187" ht="14.25" customHeight="1">
      <c r="B187" s="50"/>
      <c r="C187" s="50"/>
      <c r="D187" s="50"/>
      <c r="E187" s="50"/>
    </row>
    <row r="188" ht="14.25" customHeight="1">
      <c r="B188" s="50"/>
      <c r="C188" s="50"/>
      <c r="D188" s="50"/>
      <c r="E188" s="50"/>
    </row>
    <row r="189" ht="14.25" customHeight="1">
      <c r="B189" s="50"/>
      <c r="C189" s="50"/>
      <c r="D189" s="50"/>
      <c r="E189" s="50"/>
    </row>
    <row r="190" ht="14.25" customHeight="1">
      <c r="B190" s="50"/>
      <c r="C190" s="50"/>
      <c r="D190" s="50"/>
      <c r="E190" s="50"/>
    </row>
    <row r="191" ht="14.25" customHeight="1">
      <c r="B191" s="50"/>
      <c r="C191" s="50"/>
      <c r="D191" s="50"/>
      <c r="E191" s="50"/>
    </row>
    <row r="192" ht="14.25" customHeight="1">
      <c r="B192" s="50"/>
      <c r="C192" s="50"/>
      <c r="D192" s="50"/>
      <c r="E192" s="50"/>
    </row>
    <row r="193" ht="14.25" customHeight="1">
      <c r="B193" s="50"/>
      <c r="C193" s="50"/>
      <c r="D193" s="50"/>
      <c r="E193" s="50"/>
    </row>
    <row r="194" ht="14.25" customHeight="1">
      <c r="B194" s="50"/>
      <c r="C194" s="50"/>
      <c r="D194" s="50"/>
      <c r="E194" s="50"/>
    </row>
    <row r="195" ht="14.25" customHeight="1">
      <c r="B195" s="50"/>
      <c r="C195" s="50"/>
      <c r="D195" s="50"/>
      <c r="E195" s="50"/>
    </row>
    <row r="196" ht="14.25" customHeight="1">
      <c r="B196" s="50"/>
      <c r="C196" s="50"/>
      <c r="D196" s="50"/>
      <c r="E196" s="50"/>
    </row>
    <row r="197" ht="14.25" customHeight="1">
      <c r="B197" s="50"/>
      <c r="C197" s="50"/>
      <c r="D197" s="50"/>
      <c r="E197" s="50"/>
    </row>
    <row r="198" ht="14.25" customHeight="1">
      <c r="B198" s="50"/>
      <c r="C198" s="50"/>
      <c r="D198" s="50"/>
      <c r="E198" s="50"/>
    </row>
    <row r="199" ht="14.25" customHeight="1">
      <c r="B199" s="50"/>
      <c r="C199" s="50"/>
      <c r="D199" s="50"/>
      <c r="E199" s="50"/>
    </row>
    <row r="200" ht="14.25" customHeight="1">
      <c r="B200" s="50"/>
      <c r="C200" s="50"/>
      <c r="D200" s="50"/>
      <c r="E200" s="50"/>
    </row>
    <row r="201" ht="14.25" customHeight="1">
      <c r="B201" s="50"/>
      <c r="C201" s="50"/>
      <c r="D201" s="50"/>
      <c r="E201" s="50"/>
    </row>
    <row r="202" ht="14.25" customHeight="1">
      <c r="B202" s="50"/>
      <c r="C202" s="50"/>
      <c r="D202" s="50"/>
      <c r="E202" s="50"/>
    </row>
    <row r="203" ht="14.25" customHeight="1">
      <c r="B203" s="50"/>
      <c r="C203" s="50"/>
      <c r="D203" s="50"/>
      <c r="E203" s="50"/>
    </row>
    <row r="204" ht="14.25" customHeight="1">
      <c r="B204" s="50"/>
      <c r="C204" s="50"/>
      <c r="D204" s="50"/>
      <c r="E204" s="50"/>
    </row>
    <row r="205" ht="14.25" customHeight="1">
      <c r="B205" s="50"/>
      <c r="C205" s="50"/>
      <c r="D205" s="50"/>
      <c r="E205" s="50"/>
    </row>
    <row r="206" ht="14.25" customHeight="1">
      <c r="B206" s="50"/>
      <c r="C206" s="50"/>
      <c r="D206" s="50"/>
      <c r="E206" s="50"/>
    </row>
    <row r="207" ht="14.25" customHeight="1">
      <c r="B207" s="50"/>
      <c r="C207" s="50"/>
      <c r="D207" s="50"/>
      <c r="E207" s="50"/>
    </row>
    <row r="208" ht="14.25" customHeight="1">
      <c r="B208" s="50"/>
      <c r="C208" s="50"/>
      <c r="D208" s="50"/>
      <c r="E208" s="50"/>
    </row>
    <row r="209" ht="14.25" customHeight="1">
      <c r="B209" s="50"/>
      <c r="C209" s="50"/>
      <c r="D209" s="50"/>
      <c r="E209" s="50"/>
    </row>
    <row r="210" ht="14.25" customHeight="1">
      <c r="B210" s="50"/>
      <c r="C210" s="50"/>
      <c r="D210" s="50"/>
      <c r="E210" s="50"/>
    </row>
    <row r="211" ht="14.25" customHeight="1">
      <c r="B211" s="50"/>
      <c r="C211" s="50"/>
      <c r="D211" s="50"/>
      <c r="E211" s="50"/>
    </row>
    <row r="212" ht="14.25" customHeight="1">
      <c r="B212" s="50"/>
      <c r="C212" s="50"/>
      <c r="D212" s="50"/>
      <c r="E212" s="50"/>
    </row>
    <row r="213" ht="14.25" customHeight="1">
      <c r="B213" s="50"/>
      <c r="C213" s="50"/>
      <c r="D213" s="50"/>
      <c r="E213" s="50"/>
    </row>
    <row r="214" ht="14.25" customHeight="1">
      <c r="B214" s="50"/>
      <c r="C214" s="50"/>
      <c r="D214" s="50"/>
      <c r="E214" s="50"/>
    </row>
    <row r="215" ht="14.25" customHeight="1">
      <c r="B215" s="50"/>
      <c r="C215" s="50"/>
      <c r="D215" s="50"/>
      <c r="E215" s="50"/>
    </row>
    <row r="216" ht="14.25" customHeight="1">
      <c r="B216" s="50"/>
      <c r="C216" s="50"/>
      <c r="D216" s="50"/>
      <c r="E216" s="50"/>
    </row>
    <row r="217" ht="14.25" customHeight="1">
      <c r="B217" s="50"/>
      <c r="C217" s="50"/>
      <c r="D217" s="50"/>
      <c r="E217" s="50"/>
    </row>
    <row r="218" ht="14.25" customHeight="1">
      <c r="B218" s="50"/>
      <c r="C218" s="50"/>
      <c r="D218" s="50"/>
      <c r="E218" s="50"/>
    </row>
    <row r="219" ht="14.25" customHeight="1">
      <c r="B219" s="50"/>
      <c r="C219" s="50"/>
      <c r="D219" s="50"/>
      <c r="E219" s="50"/>
    </row>
    <row r="220" ht="14.25" customHeight="1">
      <c r="B220" s="50"/>
      <c r="C220" s="50"/>
      <c r="D220" s="50"/>
      <c r="E220" s="50"/>
    </row>
    <row r="221" ht="14.25" customHeight="1">
      <c r="B221" s="50"/>
      <c r="C221" s="50"/>
      <c r="D221" s="50"/>
      <c r="E221" s="50"/>
    </row>
    <row r="222" ht="14.25" customHeight="1">
      <c r="B222" s="50"/>
      <c r="C222" s="50"/>
      <c r="D222" s="50"/>
      <c r="E222" s="50"/>
    </row>
    <row r="223" ht="14.25" customHeight="1">
      <c r="B223" s="50"/>
      <c r="C223" s="50"/>
      <c r="D223" s="50"/>
      <c r="E223" s="50"/>
    </row>
    <row r="224" ht="14.25" customHeight="1">
      <c r="B224" s="50"/>
      <c r="C224" s="50"/>
      <c r="D224" s="50"/>
      <c r="E224" s="50"/>
    </row>
    <row r="225" ht="14.25" customHeight="1">
      <c r="B225" s="50"/>
      <c r="C225" s="50"/>
      <c r="D225" s="50"/>
      <c r="E225" s="50"/>
    </row>
    <row r="226" ht="14.25" customHeight="1">
      <c r="B226" s="50"/>
      <c r="C226" s="50"/>
      <c r="D226" s="50"/>
      <c r="E226" s="50"/>
    </row>
    <row r="227" ht="14.25" customHeight="1">
      <c r="B227" s="50"/>
      <c r="C227" s="50"/>
      <c r="D227" s="50"/>
      <c r="E227" s="50"/>
    </row>
    <row r="228" ht="14.25" customHeight="1">
      <c r="B228" s="50"/>
      <c r="C228" s="50"/>
      <c r="D228" s="50"/>
      <c r="E228" s="50"/>
    </row>
    <row r="229" ht="14.25" customHeight="1">
      <c r="B229" s="50"/>
      <c r="C229" s="50"/>
      <c r="D229" s="50"/>
      <c r="E229" s="50"/>
    </row>
    <row r="230" ht="14.25" customHeight="1">
      <c r="B230" s="50"/>
      <c r="C230" s="50"/>
      <c r="D230" s="50"/>
      <c r="E230" s="50"/>
    </row>
    <row r="231" ht="14.25" customHeight="1">
      <c r="B231" s="50"/>
      <c r="C231" s="50"/>
      <c r="D231" s="50"/>
      <c r="E231" s="50"/>
    </row>
    <row r="232" ht="14.25" customHeight="1">
      <c r="B232" s="50"/>
      <c r="C232" s="50"/>
      <c r="D232" s="50"/>
      <c r="E232" s="50"/>
    </row>
    <row r="233" ht="14.25" customHeight="1">
      <c r="B233" s="50"/>
      <c r="C233" s="50"/>
      <c r="D233" s="50"/>
      <c r="E233" s="50"/>
    </row>
    <row r="234" ht="14.25" customHeight="1">
      <c r="B234" s="50"/>
      <c r="C234" s="50"/>
      <c r="D234" s="50"/>
      <c r="E234" s="50"/>
    </row>
    <row r="235" ht="14.25" customHeight="1">
      <c r="B235" s="50"/>
      <c r="C235" s="50"/>
      <c r="D235" s="50"/>
      <c r="E235" s="50"/>
    </row>
    <row r="236" ht="14.25" customHeight="1">
      <c r="B236" s="50"/>
      <c r="C236" s="50"/>
      <c r="D236" s="50"/>
      <c r="E236" s="50"/>
    </row>
    <row r="237" ht="14.25" customHeight="1">
      <c r="B237" s="50"/>
      <c r="C237" s="50"/>
      <c r="D237" s="50"/>
      <c r="E237" s="50"/>
    </row>
    <row r="238" ht="14.25" customHeight="1">
      <c r="B238" s="50"/>
      <c r="C238" s="50"/>
      <c r="D238" s="50"/>
      <c r="E238" s="50"/>
    </row>
    <row r="239" ht="14.25" customHeight="1">
      <c r="B239" s="50"/>
      <c r="C239" s="50"/>
      <c r="D239" s="50"/>
      <c r="E239" s="50"/>
    </row>
    <row r="240" ht="14.25" customHeight="1">
      <c r="B240" s="50"/>
      <c r="C240" s="50"/>
      <c r="D240" s="50"/>
      <c r="E240" s="50"/>
    </row>
    <row r="241" ht="14.25" customHeight="1">
      <c r="B241" s="50"/>
      <c r="C241" s="50"/>
      <c r="D241" s="50"/>
      <c r="E241" s="50"/>
    </row>
    <row r="242" ht="14.25" customHeight="1">
      <c r="B242" s="50"/>
      <c r="C242" s="50"/>
      <c r="D242" s="50"/>
      <c r="E242" s="50"/>
    </row>
    <row r="243" ht="14.25" customHeight="1">
      <c r="B243" s="50"/>
      <c r="C243" s="50"/>
      <c r="D243" s="50"/>
      <c r="E243" s="50"/>
    </row>
    <row r="244" ht="14.25" customHeight="1">
      <c r="B244" s="50"/>
      <c r="C244" s="50"/>
      <c r="D244" s="50"/>
      <c r="E244" s="50"/>
    </row>
    <row r="245" ht="14.25" customHeight="1">
      <c r="B245" s="50"/>
      <c r="C245" s="50"/>
      <c r="D245" s="50"/>
      <c r="E245" s="50"/>
    </row>
    <row r="246" ht="14.25" customHeight="1">
      <c r="B246" s="50"/>
      <c r="C246" s="50"/>
      <c r="D246" s="50"/>
      <c r="E246" s="50"/>
    </row>
    <row r="247" ht="14.25" customHeight="1">
      <c r="B247" s="50"/>
      <c r="C247" s="50"/>
      <c r="D247" s="50"/>
      <c r="E247" s="50"/>
    </row>
    <row r="248" ht="14.25" customHeight="1">
      <c r="B248" s="50"/>
      <c r="C248" s="50"/>
      <c r="D248" s="50"/>
      <c r="E248" s="50"/>
    </row>
    <row r="249" ht="14.25" customHeight="1">
      <c r="B249" s="50"/>
      <c r="C249" s="50"/>
      <c r="D249" s="50"/>
      <c r="E249" s="50"/>
    </row>
    <row r="250" ht="14.25" customHeight="1">
      <c r="B250" s="50"/>
      <c r="C250" s="50"/>
      <c r="D250" s="50"/>
      <c r="E250" s="50"/>
    </row>
    <row r="251" ht="14.25" customHeight="1">
      <c r="B251" s="50"/>
      <c r="C251" s="50"/>
      <c r="D251" s="50"/>
      <c r="E251" s="50"/>
    </row>
    <row r="252" ht="14.25" customHeight="1">
      <c r="B252" s="50"/>
      <c r="C252" s="50"/>
      <c r="D252" s="50"/>
      <c r="E252" s="50"/>
    </row>
    <row r="253" ht="14.25" customHeight="1">
      <c r="B253" s="50"/>
      <c r="C253" s="50"/>
      <c r="D253" s="50"/>
      <c r="E253" s="50"/>
    </row>
    <row r="254" ht="14.25" customHeight="1">
      <c r="B254" s="50"/>
      <c r="C254" s="50"/>
      <c r="D254" s="50"/>
      <c r="E254" s="50"/>
    </row>
    <row r="255" ht="14.25" customHeight="1">
      <c r="B255" s="50"/>
      <c r="C255" s="50"/>
      <c r="D255" s="50"/>
      <c r="E255" s="50"/>
    </row>
    <row r="256" ht="14.25" customHeight="1">
      <c r="B256" s="50"/>
      <c r="C256" s="50"/>
      <c r="D256" s="50"/>
      <c r="E256" s="50"/>
    </row>
    <row r="257" ht="14.25" customHeight="1">
      <c r="B257" s="50"/>
      <c r="C257" s="50"/>
      <c r="D257" s="50"/>
      <c r="E257" s="50"/>
    </row>
    <row r="258" ht="14.25" customHeight="1">
      <c r="B258" s="50"/>
      <c r="C258" s="50"/>
      <c r="D258" s="50"/>
      <c r="E258" s="50"/>
    </row>
    <row r="259" ht="14.25" customHeight="1">
      <c r="B259" s="50"/>
      <c r="C259" s="50"/>
      <c r="D259" s="50"/>
      <c r="E259" s="50"/>
    </row>
    <row r="260" ht="14.25" customHeight="1">
      <c r="B260" s="50"/>
      <c r="C260" s="50"/>
      <c r="D260" s="50"/>
      <c r="E260" s="50"/>
    </row>
    <row r="261" ht="14.25" customHeight="1">
      <c r="B261" s="50"/>
      <c r="C261" s="50"/>
      <c r="D261" s="50"/>
      <c r="E261" s="50"/>
    </row>
    <row r="262" ht="14.25" customHeight="1">
      <c r="B262" s="50"/>
      <c r="C262" s="50"/>
      <c r="D262" s="50"/>
      <c r="E262" s="50"/>
    </row>
    <row r="263" ht="14.25" customHeight="1">
      <c r="B263" s="50"/>
      <c r="C263" s="50"/>
      <c r="D263" s="50"/>
      <c r="E263" s="50"/>
    </row>
    <row r="264" ht="14.25" customHeight="1">
      <c r="B264" s="50"/>
      <c r="C264" s="50"/>
      <c r="D264" s="50"/>
      <c r="E264" s="50"/>
    </row>
    <row r="265" ht="14.25" customHeight="1">
      <c r="B265" s="50"/>
      <c r="C265" s="50"/>
      <c r="D265" s="50"/>
      <c r="E265" s="50"/>
    </row>
    <row r="266" ht="14.25" customHeight="1">
      <c r="B266" s="50"/>
      <c r="C266" s="50"/>
      <c r="D266" s="50"/>
      <c r="E266" s="50"/>
    </row>
    <row r="267" ht="14.25" customHeight="1">
      <c r="B267" s="50"/>
      <c r="C267" s="50"/>
      <c r="D267" s="50"/>
      <c r="E267" s="50"/>
    </row>
    <row r="268" ht="14.25" customHeight="1">
      <c r="B268" s="50"/>
      <c r="C268" s="50"/>
      <c r="D268" s="50"/>
      <c r="E268" s="50"/>
    </row>
    <row r="269" ht="14.25" customHeight="1">
      <c r="B269" s="50"/>
      <c r="C269" s="50"/>
      <c r="D269" s="50"/>
      <c r="E269" s="50"/>
    </row>
    <row r="270" ht="14.25" customHeight="1">
      <c r="B270" s="50"/>
      <c r="C270" s="50"/>
      <c r="D270" s="50"/>
      <c r="E270" s="50"/>
    </row>
    <row r="271" ht="14.25" customHeight="1">
      <c r="B271" s="50"/>
      <c r="C271" s="50"/>
      <c r="D271" s="50"/>
      <c r="E271" s="50"/>
    </row>
    <row r="272" ht="14.25" customHeight="1">
      <c r="B272" s="50"/>
      <c r="C272" s="50"/>
      <c r="D272" s="50"/>
      <c r="E272" s="50"/>
    </row>
    <row r="273" ht="14.25" customHeight="1">
      <c r="B273" s="50"/>
      <c r="C273" s="50"/>
      <c r="D273" s="50"/>
      <c r="E273" s="50"/>
    </row>
    <row r="274" ht="14.25" customHeight="1">
      <c r="B274" s="50"/>
      <c r="C274" s="50"/>
      <c r="D274" s="50"/>
      <c r="E274" s="50"/>
    </row>
    <row r="275" ht="14.25" customHeight="1">
      <c r="B275" s="50"/>
      <c r="C275" s="50"/>
      <c r="D275" s="50"/>
      <c r="E275" s="50"/>
    </row>
    <row r="276" ht="14.25" customHeight="1">
      <c r="B276" s="50"/>
      <c r="C276" s="50"/>
      <c r="D276" s="50"/>
      <c r="E276" s="50"/>
    </row>
    <row r="277" ht="14.25" customHeight="1">
      <c r="B277" s="50"/>
      <c r="C277" s="50"/>
      <c r="D277" s="50"/>
      <c r="E277" s="50"/>
    </row>
    <row r="278" ht="14.25" customHeight="1">
      <c r="B278" s="50"/>
      <c r="C278" s="50"/>
      <c r="D278" s="50"/>
      <c r="E278" s="50"/>
    </row>
    <row r="279" ht="14.25" customHeight="1">
      <c r="B279" s="50"/>
      <c r="C279" s="50"/>
      <c r="D279" s="50"/>
      <c r="E279" s="50"/>
    </row>
    <row r="280" ht="14.25" customHeight="1">
      <c r="B280" s="50"/>
      <c r="C280" s="50"/>
      <c r="D280" s="50"/>
      <c r="E280" s="50"/>
    </row>
    <row r="281" ht="14.25" customHeight="1">
      <c r="B281" s="50"/>
      <c r="C281" s="50"/>
      <c r="D281" s="50"/>
      <c r="E281" s="50"/>
    </row>
    <row r="282" ht="14.25" customHeight="1">
      <c r="B282" s="50"/>
      <c r="C282" s="50"/>
      <c r="D282" s="50"/>
      <c r="E282" s="50"/>
    </row>
    <row r="283" ht="14.25" customHeight="1">
      <c r="B283" s="50"/>
      <c r="C283" s="50"/>
      <c r="D283" s="50"/>
      <c r="E283" s="50"/>
    </row>
    <row r="284" ht="14.25" customHeight="1">
      <c r="B284" s="50"/>
      <c r="C284" s="50"/>
      <c r="D284" s="50"/>
      <c r="E284" s="50"/>
    </row>
    <row r="285" ht="14.25" customHeight="1">
      <c r="B285" s="50"/>
      <c r="C285" s="50"/>
      <c r="D285" s="50"/>
      <c r="E285" s="50"/>
    </row>
    <row r="286" ht="14.25" customHeight="1">
      <c r="B286" s="50"/>
      <c r="C286" s="50"/>
      <c r="D286" s="50"/>
      <c r="E286" s="50"/>
    </row>
    <row r="287" ht="14.25" customHeight="1">
      <c r="B287" s="50"/>
      <c r="C287" s="50"/>
      <c r="D287" s="50"/>
      <c r="E287" s="50"/>
    </row>
    <row r="288" ht="14.25" customHeight="1">
      <c r="B288" s="50"/>
      <c r="C288" s="50"/>
      <c r="D288" s="50"/>
      <c r="E288" s="50"/>
    </row>
    <row r="289" ht="14.25" customHeight="1">
      <c r="B289" s="50"/>
      <c r="C289" s="50"/>
      <c r="D289" s="50"/>
      <c r="E289" s="50"/>
    </row>
    <row r="290" ht="14.25" customHeight="1">
      <c r="B290" s="50"/>
      <c r="C290" s="50"/>
      <c r="D290" s="50"/>
      <c r="E290" s="50"/>
    </row>
    <row r="291" ht="14.25" customHeight="1">
      <c r="B291" s="50"/>
      <c r="C291" s="50"/>
      <c r="D291" s="50"/>
      <c r="E291" s="50"/>
    </row>
    <row r="292" ht="14.25" customHeight="1">
      <c r="B292" s="50"/>
      <c r="C292" s="50"/>
      <c r="D292" s="50"/>
      <c r="E292" s="50"/>
    </row>
    <row r="293" ht="14.25" customHeight="1">
      <c r="B293" s="50"/>
      <c r="C293" s="50"/>
      <c r="D293" s="50"/>
      <c r="E293" s="50"/>
    </row>
    <row r="294" ht="14.25" customHeight="1">
      <c r="B294" s="50"/>
      <c r="C294" s="50"/>
      <c r="D294" s="50"/>
      <c r="E294" s="50"/>
    </row>
    <row r="295" ht="14.25" customHeight="1">
      <c r="B295" s="50"/>
      <c r="C295" s="50"/>
      <c r="D295" s="50"/>
      <c r="E295" s="50"/>
    </row>
    <row r="296" ht="14.25" customHeight="1">
      <c r="B296" s="50"/>
      <c r="C296" s="50"/>
      <c r="D296" s="50"/>
      <c r="E296" s="50"/>
    </row>
    <row r="297" ht="14.25" customHeight="1">
      <c r="B297" s="50"/>
      <c r="C297" s="50"/>
      <c r="D297" s="50"/>
      <c r="E297" s="50"/>
    </row>
    <row r="298" ht="14.25" customHeight="1">
      <c r="B298" s="50"/>
      <c r="C298" s="50"/>
      <c r="D298" s="50"/>
      <c r="E298" s="50"/>
    </row>
    <row r="299" ht="14.25" customHeight="1">
      <c r="B299" s="50"/>
      <c r="C299" s="50"/>
      <c r="D299" s="50"/>
      <c r="E299" s="50"/>
    </row>
    <row r="300" ht="14.25" customHeight="1">
      <c r="B300" s="50"/>
      <c r="C300" s="50"/>
      <c r="D300" s="50"/>
      <c r="E300" s="50"/>
    </row>
    <row r="301" ht="14.25" customHeight="1">
      <c r="B301" s="50"/>
      <c r="C301" s="50"/>
      <c r="D301" s="50"/>
      <c r="E301" s="50"/>
    </row>
    <row r="302" ht="14.25" customHeight="1">
      <c r="B302" s="50"/>
      <c r="C302" s="50"/>
      <c r="D302" s="50"/>
      <c r="E302" s="50"/>
    </row>
    <row r="303" ht="14.25" customHeight="1">
      <c r="B303" s="50"/>
      <c r="C303" s="50"/>
      <c r="D303" s="50"/>
      <c r="E303" s="50"/>
    </row>
    <row r="304" ht="14.25" customHeight="1">
      <c r="B304" s="50"/>
      <c r="C304" s="50"/>
      <c r="D304" s="50"/>
      <c r="E304" s="50"/>
    </row>
    <row r="305" ht="14.25" customHeight="1">
      <c r="B305" s="50"/>
      <c r="C305" s="50"/>
      <c r="D305" s="50"/>
      <c r="E305" s="50"/>
    </row>
    <row r="306" ht="14.25" customHeight="1">
      <c r="B306" s="50"/>
      <c r="C306" s="50"/>
      <c r="D306" s="50"/>
      <c r="E306" s="50"/>
    </row>
    <row r="307" ht="14.25" customHeight="1">
      <c r="B307" s="50"/>
      <c r="C307" s="50"/>
      <c r="D307" s="50"/>
      <c r="E307" s="50"/>
    </row>
    <row r="308" ht="14.25" customHeight="1">
      <c r="B308" s="50"/>
      <c r="C308" s="50"/>
      <c r="D308" s="50"/>
      <c r="E308" s="50"/>
    </row>
    <row r="309" ht="14.25" customHeight="1">
      <c r="B309" s="50"/>
      <c r="C309" s="50"/>
      <c r="D309" s="50"/>
      <c r="E309" s="50"/>
    </row>
    <row r="310" ht="14.25" customHeight="1">
      <c r="B310" s="50"/>
      <c r="C310" s="50"/>
      <c r="D310" s="50"/>
      <c r="E310" s="50"/>
    </row>
    <row r="311" ht="14.25" customHeight="1">
      <c r="B311" s="50"/>
      <c r="C311" s="50"/>
      <c r="D311" s="50"/>
      <c r="E311" s="50"/>
    </row>
    <row r="312" ht="14.25" customHeight="1">
      <c r="B312" s="50"/>
      <c r="C312" s="50"/>
      <c r="D312" s="50"/>
      <c r="E312" s="50"/>
    </row>
    <row r="313" ht="14.25" customHeight="1">
      <c r="B313" s="50"/>
      <c r="C313" s="50"/>
      <c r="D313" s="50"/>
      <c r="E313" s="50"/>
    </row>
    <row r="314" ht="14.25" customHeight="1">
      <c r="B314" s="50"/>
      <c r="C314" s="50"/>
      <c r="D314" s="50"/>
      <c r="E314" s="50"/>
    </row>
    <row r="315" ht="14.25" customHeight="1">
      <c r="B315" s="50"/>
      <c r="C315" s="50"/>
      <c r="D315" s="50"/>
      <c r="E315" s="50"/>
    </row>
    <row r="316" ht="14.25" customHeight="1">
      <c r="B316" s="50"/>
      <c r="C316" s="50"/>
      <c r="D316" s="50"/>
      <c r="E316" s="50"/>
    </row>
    <row r="317" ht="14.25" customHeight="1">
      <c r="B317" s="50"/>
      <c r="C317" s="50"/>
      <c r="D317" s="50"/>
      <c r="E317" s="50"/>
    </row>
    <row r="318" ht="14.25" customHeight="1">
      <c r="B318" s="50"/>
      <c r="C318" s="50"/>
      <c r="D318" s="50"/>
      <c r="E318" s="50"/>
    </row>
    <row r="319" ht="14.25" customHeight="1">
      <c r="B319" s="50"/>
      <c r="C319" s="50"/>
      <c r="D319" s="50"/>
      <c r="E319" s="50"/>
    </row>
    <row r="320" ht="14.25" customHeight="1">
      <c r="B320" s="50"/>
      <c r="C320" s="50"/>
      <c r="D320" s="50"/>
      <c r="E320" s="50"/>
    </row>
    <row r="321" ht="14.25" customHeight="1">
      <c r="B321" s="50"/>
      <c r="C321" s="50"/>
      <c r="D321" s="50"/>
      <c r="E321" s="50"/>
    </row>
    <row r="322" ht="14.25" customHeight="1">
      <c r="B322" s="50"/>
      <c r="C322" s="50"/>
      <c r="D322" s="50"/>
      <c r="E322" s="50"/>
    </row>
    <row r="323" ht="14.25" customHeight="1">
      <c r="B323" s="50"/>
      <c r="C323" s="50"/>
      <c r="D323" s="50"/>
      <c r="E323" s="50"/>
    </row>
    <row r="324" ht="14.25" customHeight="1">
      <c r="B324" s="50"/>
      <c r="C324" s="50"/>
      <c r="D324" s="50"/>
      <c r="E324" s="50"/>
    </row>
    <row r="325" ht="14.25" customHeight="1">
      <c r="B325" s="50"/>
      <c r="C325" s="50"/>
      <c r="D325" s="50"/>
      <c r="E325" s="50"/>
    </row>
    <row r="326" ht="14.25" customHeight="1">
      <c r="B326" s="50"/>
      <c r="C326" s="50"/>
      <c r="D326" s="50"/>
      <c r="E326" s="50"/>
    </row>
    <row r="327" ht="14.25" customHeight="1">
      <c r="B327" s="50"/>
      <c r="C327" s="50"/>
      <c r="D327" s="50"/>
      <c r="E327" s="50"/>
    </row>
    <row r="328" ht="14.25" customHeight="1">
      <c r="B328" s="50"/>
      <c r="C328" s="50"/>
      <c r="D328" s="50"/>
      <c r="E328" s="50"/>
    </row>
    <row r="329" ht="14.25" customHeight="1">
      <c r="B329" s="50"/>
      <c r="C329" s="50"/>
      <c r="D329" s="50"/>
      <c r="E329" s="50"/>
    </row>
    <row r="330" ht="14.25" customHeight="1">
      <c r="B330" s="50"/>
      <c r="C330" s="50"/>
      <c r="D330" s="50"/>
      <c r="E330" s="50"/>
    </row>
    <row r="331" ht="14.25" customHeight="1">
      <c r="B331" s="50"/>
      <c r="C331" s="50"/>
      <c r="D331" s="50"/>
      <c r="E331" s="50"/>
    </row>
    <row r="332" ht="14.25" customHeight="1">
      <c r="B332" s="50"/>
      <c r="C332" s="50"/>
      <c r="D332" s="50"/>
      <c r="E332" s="50"/>
    </row>
    <row r="333" ht="14.25" customHeight="1">
      <c r="B333" s="50"/>
      <c r="C333" s="50"/>
      <c r="D333" s="50"/>
      <c r="E333" s="50"/>
    </row>
    <row r="334" ht="14.25" customHeight="1">
      <c r="B334" s="50"/>
      <c r="C334" s="50"/>
      <c r="D334" s="50"/>
      <c r="E334" s="50"/>
    </row>
    <row r="335" ht="14.25" customHeight="1">
      <c r="B335" s="50"/>
      <c r="C335" s="50"/>
      <c r="D335" s="50"/>
      <c r="E335" s="50"/>
    </row>
    <row r="336" ht="14.25" customHeight="1">
      <c r="B336" s="50"/>
      <c r="C336" s="50"/>
      <c r="D336" s="50"/>
      <c r="E336" s="50"/>
    </row>
    <row r="337" ht="14.25" customHeight="1">
      <c r="B337" s="50"/>
      <c r="C337" s="50"/>
      <c r="D337" s="50"/>
      <c r="E337" s="50"/>
    </row>
    <row r="338" ht="14.25" customHeight="1">
      <c r="B338" s="50"/>
      <c r="C338" s="50"/>
      <c r="D338" s="50"/>
      <c r="E338" s="50"/>
    </row>
    <row r="339" ht="14.25" customHeight="1">
      <c r="B339" s="50"/>
      <c r="C339" s="50"/>
      <c r="D339" s="50"/>
      <c r="E339" s="50"/>
    </row>
    <row r="340" ht="14.25" customHeight="1">
      <c r="B340" s="50"/>
      <c r="C340" s="50"/>
      <c r="D340" s="50"/>
      <c r="E340" s="50"/>
    </row>
    <row r="341" ht="14.25" customHeight="1">
      <c r="B341" s="50"/>
      <c r="C341" s="50"/>
      <c r="D341" s="50"/>
      <c r="E341" s="50"/>
    </row>
    <row r="342" ht="14.25" customHeight="1">
      <c r="B342" s="50"/>
      <c r="C342" s="50"/>
      <c r="D342" s="50"/>
      <c r="E342" s="50"/>
    </row>
    <row r="343" ht="14.25" customHeight="1">
      <c r="B343" s="50"/>
      <c r="C343" s="50"/>
      <c r="D343" s="50"/>
      <c r="E343" s="50"/>
    </row>
    <row r="344" ht="14.25" customHeight="1">
      <c r="B344" s="50"/>
      <c r="C344" s="50"/>
      <c r="D344" s="50"/>
      <c r="E344" s="50"/>
    </row>
    <row r="345" ht="14.25" customHeight="1">
      <c r="B345" s="50"/>
      <c r="C345" s="50"/>
      <c r="D345" s="50"/>
      <c r="E345" s="50"/>
    </row>
    <row r="346" ht="14.25" customHeight="1">
      <c r="B346" s="50"/>
      <c r="C346" s="50"/>
      <c r="D346" s="50"/>
      <c r="E346" s="50"/>
    </row>
    <row r="347" ht="14.25" customHeight="1">
      <c r="B347" s="50"/>
      <c r="C347" s="50"/>
      <c r="D347" s="50"/>
      <c r="E347" s="50"/>
    </row>
    <row r="348" ht="14.25" customHeight="1">
      <c r="B348" s="50"/>
      <c r="C348" s="50"/>
      <c r="D348" s="50"/>
      <c r="E348" s="50"/>
    </row>
    <row r="349" ht="14.25" customHeight="1">
      <c r="B349" s="50"/>
      <c r="C349" s="50"/>
      <c r="D349" s="50"/>
      <c r="E349" s="50"/>
    </row>
    <row r="350" ht="14.25" customHeight="1">
      <c r="B350" s="50"/>
      <c r="C350" s="50"/>
      <c r="D350" s="50"/>
      <c r="E350" s="50"/>
    </row>
    <row r="351" ht="14.25" customHeight="1">
      <c r="B351" s="50"/>
      <c r="C351" s="50"/>
      <c r="D351" s="50"/>
      <c r="E351" s="50"/>
    </row>
    <row r="352" ht="14.25" customHeight="1">
      <c r="B352" s="50"/>
      <c r="C352" s="50"/>
      <c r="D352" s="50"/>
      <c r="E352" s="50"/>
    </row>
    <row r="353" ht="14.25" customHeight="1">
      <c r="B353" s="50"/>
      <c r="C353" s="50"/>
      <c r="D353" s="50"/>
      <c r="E353" s="50"/>
    </row>
    <row r="354" ht="14.25" customHeight="1">
      <c r="B354" s="50"/>
      <c r="C354" s="50"/>
      <c r="D354" s="50"/>
      <c r="E354" s="50"/>
    </row>
    <row r="355" ht="14.25" customHeight="1">
      <c r="B355" s="50"/>
      <c r="C355" s="50"/>
      <c r="D355" s="50"/>
      <c r="E355" s="50"/>
    </row>
    <row r="356" ht="14.25" customHeight="1">
      <c r="B356" s="50"/>
      <c r="C356" s="50"/>
      <c r="D356" s="50"/>
      <c r="E356" s="50"/>
    </row>
    <row r="357" ht="14.25" customHeight="1">
      <c r="B357" s="50"/>
      <c r="C357" s="50"/>
      <c r="D357" s="50"/>
      <c r="E357" s="50"/>
    </row>
    <row r="358" ht="14.25" customHeight="1">
      <c r="B358" s="50"/>
      <c r="C358" s="50"/>
      <c r="D358" s="50"/>
      <c r="E358" s="50"/>
    </row>
    <row r="359" ht="14.25" customHeight="1">
      <c r="B359" s="50"/>
      <c r="C359" s="50"/>
      <c r="D359" s="50"/>
      <c r="E359" s="50"/>
    </row>
    <row r="360" ht="14.25" customHeight="1">
      <c r="B360" s="50"/>
      <c r="C360" s="50"/>
      <c r="D360" s="50"/>
      <c r="E360" s="50"/>
    </row>
    <row r="361" ht="14.25" customHeight="1">
      <c r="B361" s="50"/>
      <c r="C361" s="50"/>
      <c r="D361" s="50"/>
      <c r="E361" s="50"/>
    </row>
    <row r="362" ht="14.25" customHeight="1">
      <c r="B362" s="50"/>
      <c r="C362" s="50"/>
      <c r="D362" s="50"/>
      <c r="E362" s="50"/>
    </row>
    <row r="363" ht="14.25" customHeight="1">
      <c r="B363" s="50"/>
      <c r="C363" s="50"/>
      <c r="D363" s="50"/>
      <c r="E363" s="50"/>
    </row>
    <row r="364" ht="14.25" customHeight="1">
      <c r="B364" s="50"/>
      <c r="C364" s="50"/>
      <c r="D364" s="50"/>
      <c r="E364" s="50"/>
    </row>
    <row r="365" ht="14.25" customHeight="1">
      <c r="B365" s="50"/>
      <c r="C365" s="50"/>
      <c r="D365" s="50"/>
      <c r="E365" s="50"/>
    </row>
    <row r="366" ht="14.25" customHeight="1">
      <c r="B366" s="50"/>
      <c r="C366" s="50"/>
      <c r="D366" s="50"/>
      <c r="E366" s="50"/>
    </row>
    <row r="367" ht="14.25" customHeight="1">
      <c r="B367" s="50"/>
      <c r="C367" s="50"/>
      <c r="D367" s="50"/>
      <c r="E367" s="50"/>
    </row>
    <row r="368" ht="14.25" customHeight="1">
      <c r="B368" s="50"/>
      <c r="C368" s="50"/>
      <c r="D368" s="50"/>
      <c r="E368" s="50"/>
    </row>
    <row r="369" ht="14.25" customHeight="1">
      <c r="B369" s="50"/>
      <c r="C369" s="50"/>
      <c r="D369" s="50"/>
      <c r="E369" s="50"/>
    </row>
    <row r="370" ht="14.25" customHeight="1">
      <c r="B370" s="50"/>
      <c r="C370" s="50"/>
      <c r="D370" s="50"/>
      <c r="E370" s="50"/>
    </row>
    <row r="371" ht="14.25" customHeight="1">
      <c r="B371" s="50"/>
      <c r="C371" s="50"/>
      <c r="D371" s="50"/>
      <c r="E371" s="50"/>
    </row>
    <row r="372" ht="14.25" customHeight="1">
      <c r="B372" s="50"/>
      <c r="C372" s="50"/>
      <c r="D372" s="50"/>
      <c r="E372" s="50"/>
    </row>
    <row r="373" ht="14.25" customHeight="1">
      <c r="B373" s="50"/>
      <c r="C373" s="50"/>
      <c r="D373" s="50"/>
      <c r="E373" s="50"/>
    </row>
    <row r="374" ht="14.25" customHeight="1">
      <c r="B374" s="50"/>
      <c r="C374" s="50"/>
      <c r="D374" s="50"/>
      <c r="E374" s="50"/>
    </row>
    <row r="375" ht="14.25" customHeight="1">
      <c r="B375" s="50"/>
      <c r="C375" s="50"/>
      <c r="D375" s="50"/>
      <c r="E375" s="50"/>
    </row>
    <row r="376" ht="14.25" customHeight="1">
      <c r="B376" s="50"/>
      <c r="C376" s="50"/>
      <c r="D376" s="50"/>
      <c r="E376" s="50"/>
    </row>
    <row r="377" ht="14.25" customHeight="1">
      <c r="B377" s="50"/>
      <c r="C377" s="50"/>
      <c r="D377" s="50"/>
      <c r="E377" s="50"/>
    </row>
    <row r="378" ht="14.25" customHeight="1">
      <c r="B378" s="50"/>
      <c r="C378" s="50"/>
      <c r="D378" s="50"/>
      <c r="E378" s="50"/>
    </row>
    <row r="379" ht="14.25" customHeight="1">
      <c r="B379" s="50"/>
      <c r="C379" s="50"/>
      <c r="D379" s="50"/>
      <c r="E379" s="50"/>
    </row>
    <row r="380" ht="14.25" customHeight="1">
      <c r="B380" s="50"/>
      <c r="C380" s="50"/>
      <c r="D380" s="50"/>
      <c r="E380" s="50"/>
    </row>
    <row r="381" ht="14.25" customHeight="1">
      <c r="B381" s="50"/>
      <c r="C381" s="50"/>
      <c r="D381" s="50"/>
      <c r="E381" s="50"/>
    </row>
    <row r="382" ht="14.25" customHeight="1">
      <c r="B382" s="50"/>
      <c r="C382" s="50"/>
      <c r="D382" s="50"/>
      <c r="E382" s="50"/>
    </row>
    <row r="383" ht="14.25" customHeight="1">
      <c r="B383" s="50"/>
      <c r="C383" s="50"/>
      <c r="D383" s="50"/>
      <c r="E383" s="50"/>
    </row>
    <row r="384" ht="14.25" customHeight="1">
      <c r="B384" s="50"/>
      <c r="C384" s="50"/>
      <c r="D384" s="50"/>
      <c r="E384" s="50"/>
    </row>
    <row r="385" ht="14.25" customHeight="1">
      <c r="B385" s="50"/>
      <c r="C385" s="50"/>
      <c r="D385" s="50"/>
      <c r="E385" s="50"/>
    </row>
    <row r="386" ht="14.25" customHeight="1">
      <c r="B386" s="50"/>
      <c r="C386" s="50"/>
      <c r="D386" s="50"/>
      <c r="E386" s="50"/>
    </row>
    <row r="387" ht="14.25" customHeight="1">
      <c r="B387" s="50"/>
      <c r="C387" s="50"/>
      <c r="D387" s="50"/>
      <c r="E387" s="50"/>
    </row>
    <row r="388" ht="14.25" customHeight="1">
      <c r="B388" s="50"/>
      <c r="C388" s="50"/>
      <c r="D388" s="50"/>
      <c r="E388" s="50"/>
    </row>
    <row r="389" ht="14.25" customHeight="1">
      <c r="B389" s="50"/>
      <c r="C389" s="50"/>
      <c r="D389" s="50"/>
      <c r="E389" s="50"/>
    </row>
    <row r="390" ht="14.25" customHeight="1">
      <c r="B390" s="50"/>
      <c r="C390" s="50"/>
      <c r="D390" s="50"/>
      <c r="E390" s="50"/>
    </row>
    <row r="391" ht="14.25" customHeight="1">
      <c r="B391" s="50"/>
      <c r="C391" s="50"/>
      <c r="D391" s="50"/>
      <c r="E391" s="50"/>
    </row>
    <row r="392" ht="14.25" customHeight="1">
      <c r="B392" s="50"/>
      <c r="C392" s="50"/>
      <c r="D392" s="50"/>
      <c r="E392" s="50"/>
    </row>
    <row r="393" ht="14.25" customHeight="1">
      <c r="B393" s="50"/>
      <c r="C393" s="50"/>
      <c r="D393" s="50"/>
      <c r="E393" s="50"/>
    </row>
    <row r="394" ht="14.25" customHeight="1">
      <c r="B394" s="50"/>
      <c r="C394" s="50"/>
      <c r="D394" s="50"/>
      <c r="E394" s="50"/>
    </row>
    <row r="395" ht="14.25" customHeight="1">
      <c r="B395" s="50"/>
      <c r="C395" s="50"/>
      <c r="D395" s="50"/>
      <c r="E395" s="50"/>
    </row>
    <row r="396" ht="14.25" customHeight="1">
      <c r="B396" s="50"/>
      <c r="C396" s="50"/>
      <c r="D396" s="50"/>
      <c r="E396" s="50"/>
    </row>
    <row r="397" ht="14.25" customHeight="1">
      <c r="B397" s="50"/>
      <c r="C397" s="50"/>
      <c r="D397" s="50"/>
      <c r="E397" s="50"/>
    </row>
    <row r="398" ht="14.25" customHeight="1">
      <c r="B398" s="50"/>
      <c r="C398" s="50"/>
      <c r="D398" s="50"/>
      <c r="E398" s="50"/>
    </row>
    <row r="399" ht="14.25" customHeight="1">
      <c r="B399" s="50"/>
      <c r="C399" s="50"/>
      <c r="D399" s="50"/>
      <c r="E399" s="50"/>
    </row>
    <row r="400" ht="14.25" customHeight="1">
      <c r="B400" s="50"/>
      <c r="C400" s="50"/>
      <c r="D400" s="50"/>
      <c r="E400" s="50"/>
    </row>
    <row r="401" ht="14.25" customHeight="1">
      <c r="B401" s="50"/>
      <c r="C401" s="50"/>
      <c r="D401" s="50"/>
      <c r="E401" s="50"/>
    </row>
    <row r="402" ht="14.25" customHeight="1">
      <c r="B402" s="50"/>
      <c r="C402" s="50"/>
      <c r="D402" s="50"/>
      <c r="E402" s="50"/>
    </row>
    <row r="403" ht="14.25" customHeight="1">
      <c r="B403" s="50"/>
      <c r="C403" s="50"/>
      <c r="D403" s="50"/>
      <c r="E403" s="50"/>
    </row>
    <row r="404" ht="14.25" customHeight="1">
      <c r="B404" s="50"/>
      <c r="C404" s="50"/>
      <c r="D404" s="50"/>
      <c r="E404" s="50"/>
    </row>
    <row r="405" ht="14.25" customHeight="1">
      <c r="B405" s="50"/>
      <c r="C405" s="50"/>
      <c r="D405" s="50"/>
      <c r="E405" s="50"/>
    </row>
    <row r="406" ht="14.25" customHeight="1">
      <c r="B406" s="50"/>
      <c r="C406" s="50"/>
      <c r="D406" s="50"/>
      <c r="E406" s="50"/>
    </row>
    <row r="407" ht="14.25" customHeight="1">
      <c r="B407" s="50"/>
      <c r="C407" s="50"/>
      <c r="D407" s="50"/>
      <c r="E407" s="50"/>
    </row>
    <row r="408" ht="14.25" customHeight="1">
      <c r="B408" s="50"/>
      <c r="C408" s="50"/>
      <c r="D408" s="50"/>
      <c r="E408" s="50"/>
    </row>
    <row r="409" ht="14.25" customHeight="1">
      <c r="B409" s="50"/>
      <c r="C409" s="50"/>
      <c r="D409" s="50"/>
      <c r="E409" s="50"/>
    </row>
    <row r="410" ht="14.25" customHeight="1">
      <c r="B410" s="50"/>
      <c r="C410" s="50"/>
      <c r="D410" s="50"/>
      <c r="E410" s="50"/>
    </row>
    <row r="411" ht="14.25" customHeight="1">
      <c r="B411" s="50"/>
      <c r="C411" s="50"/>
      <c r="D411" s="50"/>
      <c r="E411" s="50"/>
    </row>
    <row r="412" ht="14.25" customHeight="1">
      <c r="B412" s="50"/>
      <c r="C412" s="50"/>
      <c r="D412" s="50"/>
      <c r="E412" s="50"/>
    </row>
    <row r="413" ht="14.25" customHeight="1">
      <c r="B413" s="50"/>
      <c r="C413" s="50"/>
      <c r="D413" s="50"/>
      <c r="E413" s="50"/>
    </row>
    <row r="414" ht="14.25" customHeight="1">
      <c r="B414" s="50"/>
      <c r="C414" s="50"/>
      <c r="D414" s="50"/>
      <c r="E414" s="50"/>
    </row>
    <row r="415" ht="14.25" customHeight="1">
      <c r="B415" s="50"/>
      <c r="C415" s="50"/>
      <c r="D415" s="50"/>
      <c r="E415" s="50"/>
    </row>
    <row r="416" ht="14.25" customHeight="1">
      <c r="B416" s="50"/>
      <c r="C416" s="50"/>
      <c r="D416" s="50"/>
      <c r="E416" s="50"/>
    </row>
    <row r="417" ht="14.25" customHeight="1">
      <c r="B417" s="50"/>
      <c r="C417" s="50"/>
      <c r="D417" s="50"/>
      <c r="E417" s="50"/>
    </row>
    <row r="418" ht="14.25" customHeight="1">
      <c r="B418" s="50"/>
      <c r="C418" s="50"/>
      <c r="D418" s="50"/>
      <c r="E418" s="50"/>
    </row>
    <row r="419" ht="14.25" customHeight="1">
      <c r="B419" s="50"/>
      <c r="C419" s="50"/>
      <c r="D419" s="50"/>
      <c r="E419" s="50"/>
    </row>
    <row r="420" ht="14.25" customHeight="1">
      <c r="B420" s="50"/>
      <c r="C420" s="50"/>
      <c r="D420" s="50"/>
      <c r="E420" s="50"/>
    </row>
    <row r="421" ht="14.25" customHeight="1">
      <c r="B421" s="50"/>
      <c r="C421" s="50"/>
      <c r="D421" s="50"/>
      <c r="E421" s="50"/>
    </row>
    <row r="422" ht="14.25" customHeight="1">
      <c r="B422" s="50"/>
      <c r="C422" s="50"/>
      <c r="D422" s="50"/>
      <c r="E422" s="50"/>
    </row>
    <row r="423" ht="14.25" customHeight="1">
      <c r="B423" s="50"/>
      <c r="C423" s="50"/>
      <c r="D423" s="50"/>
      <c r="E423" s="50"/>
    </row>
    <row r="424" ht="14.25" customHeight="1">
      <c r="B424" s="50"/>
      <c r="C424" s="50"/>
      <c r="D424" s="50"/>
      <c r="E424" s="50"/>
    </row>
    <row r="425" ht="14.25" customHeight="1">
      <c r="B425" s="50"/>
      <c r="C425" s="50"/>
      <c r="D425" s="50"/>
      <c r="E425" s="50"/>
    </row>
    <row r="426" ht="14.25" customHeight="1">
      <c r="B426" s="50"/>
      <c r="C426" s="50"/>
      <c r="D426" s="50"/>
      <c r="E426" s="50"/>
    </row>
    <row r="427" ht="14.25" customHeight="1">
      <c r="B427" s="50"/>
      <c r="C427" s="50"/>
      <c r="D427" s="50"/>
      <c r="E427" s="50"/>
    </row>
    <row r="428" ht="14.25" customHeight="1">
      <c r="B428" s="50"/>
      <c r="C428" s="50"/>
      <c r="D428" s="50"/>
      <c r="E428" s="50"/>
    </row>
    <row r="429" ht="14.25" customHeight="1">
      <c r="B429" s="50"/>
      <c r="C429" s="50"/>
      <c r="D429" s="50"/>
      <c r="E429" s="50"/>
    </row>
    <row r="430" ht="14.25" customHeight="1">
      <c r="B430" s="50"/>
      <c r="C430" s="50"/>
      <c r="D430" s="50"/>
      <c r="E430" s="50"/>
    </row>
    <row r="431" ht="14.25" customHeight="1">
      <c r="B431" s="50"/>
      <c r="C431" s="50"/>
      <c r="D431" s="50"/>
      <c r="E431" s="50"/>
    </row>
    <row r="432" ht="14.25" customHeight="1">
      <c r="B432" s="50"/>
      <c r="C432" s="50"/>
      <c r="D432" s="50"/>
      <c r="E432" s="50"/>
    </row>
    <row r="433" ht="14.25" customHeight="1">
      <c r="B433" s="50"/>
      <c r="C433" s="50"/>
      <c r="D433" s="50"/>
      <c r="E433" s="50"/>
    </row>
    <row r="434" ht="14.25" customHeight="1">
      <c r="B434" s="50"/>
      <c r="C434" s="50"/>
      <c r="D434" s="50"/>
      <c r="E434" s="50"/>
    </row>
    <row r="435" ht="14.25" customHeight="1">
      <c r="B435" s="50"/>
      <c r="C435" s="50"/>
      <c r="D435" s="50"/>
      <c r="E435" s="50"/>
    </row>
    <row r="436" ht="14.25" customHeight="1">
      <c r="B436" s="50"/>
      <c r="C436" s="50"/>
      <c r="D436" s="50"/>
      <c r="E436" s="50"/>
    </row>
    <row r="437" ht="14.25" customHeight="1">
      <c r="B437" s="50"/>
      <c r="C437" s="50"/>
      <c r="D437" s="50"/>
      <c r="E437" s="50"/>
    </row>
    <row r="438" ht="14.25" customHeight="1">
      <c r="B438" s="50"/>
      <c r="C438" s="50"/>
      <c r="D438" s="50"/>
      <c r="E438" s="50"/>
    </row>
    <row r="439" ht="14.25" customHeight="1">
      <c r="B439" s="50"/>
      <c r="C439" s="50"/>
      <c r="D439" s="50"/>
      <c r="E439" s="50"/>
    </row>
    <row r="440" ht="14.25" customHeight="1">
      <c r="B440" s="50"/>
      <c r="C440" s="50"/>
      <c r="D440" s="50"/>
      <c r="E440" s="50"/>
    </row>
    <row r="441" ht="14.25" customHeight="1">
      <c r="B441" s="50"/>
      <c r="C441" s="50"/>
      <c r="D441" s="50"/>
      <c r="E441" s="50"/>
    </row>
    <row r="442" ht="14.25" customHeight="1">
      <c r="B442" s="50"/>
      <c r="C442" s="50"/>
      <c r="D442" s="50"/>
      <c r="E442" s="50"/>
    </row>
    <row r="443" ht="14.25" customHeight="1">
      <c r="B443" s="50"/>
      <c r="C443" s="50"/>
      <c r="D443" s="50"/>
      <c r="E443" s="50"/>
    </row>
    <row r="444" ht="14.25" customHeight="1">
      <c r="B444" s="50"/>
      <c r="C444" s="50"/>
      <c r="D444" s="50"/>
      <c r="E444" s="50"/>
    </row>
    <row r="445" ht="14.25" customHeight="1">
      <c r="B445" s="50"/>
      <c r="C445" s="50"/>
      <c r="D445" s="50"/>
      <c r="E445" s="50"/>
    </row>
    <row r="446" ht="14.25" customHeight="1">
      <c r="B446" s="50"/>
      <c r="C446" s="50"/>
      <c r="D446" s="50"/>
      <c r="E446" s="50"/>
    </row>
    <row r="447" ht="14.25" customHeight="1">
      <c r="B447" s="50"/>
      <c r="C447" s="50"/>
      <c r="D447" s="50"/>
      <c r="E447" s="50"/>
    </row>
    <row r="448" ht="14.25" customHeight="1">
      <c r="B448" s="50"/>
      <c r="C448" s="50"/>
      <c r="D448" s="50"/>
      <c r="E448" s="50"/>
    </row>
    <row r="449" ht="14.25" customHeight="1">
      <c r="B449" s="50"/>
      <c r="C449" s="50"/>
      <c r="D449" s="50"/>
      <c r="E449" s="50"/>
    </row>
    <row r="450" ht="14.25" customHeight="1">
      <c r="B450" s="50"/>
      <c r="C450" s="50"/>
      <c r="D450" s="50"/>
      <c r="E450" s="50"/>
    </row>
    <row r="451" ht="14.25" customHeight="1">
      <c r="B451" s="50"/>
      <c r="C451" s="50"/>
      <c r="D451" s="50"/>
      <c r="E451" s="50"/>
    </row>
    <row r="452" ht="14.25" customHeight="1">
      <c r="B452" s="50"/>
      <c r="C452" s="50"/>
      <c r="D452" s="50"/>
      <c r="E452" s="50"/>
    </row>
    <row r="453" ht="14.25" customHeight="1">
      <c r="B453" s="50"/>
      <c r="C453" s="50"/>
      <c r="D453" s="50"/>
      <c r="E453" s="50"/>
    </row>
    <row r="454" ht="14.25" customHeight="1">
      <c r="B454" s="50"/>
      <c r="C454" s="50"/>
      <c r="D454" s="50"/>
      <c r="E454" s="50"/>
    </row>
    <row r="455" ht="14.25" customHeight="1">
      <c r="B455" s="50"/>
      <c r="C455" s="50"/>
      <c r="D455" s="50"/>
      <c r="E455" s="50"/>
    </row>
    <row r="456" ht="14.25" customHeight="1">
      <c r="B456" s="50"/>
      <c r="C456" s="50"/>
      <c r="D456" s="50"/>
      <c r="E456" s="50"/>
    </row>
    <row r="457" ht="14.25" customHeight="1">
      <c r="B457" s="50"/>
      <c r="C457" s="50"/>
      <c r="D457" s="50"/>
      <c r="E457" s="50"/>
    </row>
    <row r="458" ht="14.25" customHeight="1">
      <c r="B458" s="50"/>
      <c r="C458" s="50"/>
      <c r="D458" s="50"/>
      <c r="E458" s="50"/>
    </row>
    <row r="459" ht="14.25" customHeight="1">
      <c r="B459" s="50"/>
      <c r="C459" s="50"/>
      <c r="D459" s="50"/>
      <c r="E459" s="50"/>
    </row>
    <row r="460" ht="14.25" customHeight="1">
      <c r="B460" s="50"/>
      <c r="C460" s="50"/>
      <c r="D460" s="50"/>
      <c r="E460" s="50"/>
    </row>
    <row r="461" ht="14.25" customHeight="1">
      <c r="B461" s="50"/>
      <c r="C461" s="50"/>
      <c r="D461" s="50"/>
      <c r="E461" s="50"/>
    </row>
    <row r="462" ht="14.25" customHeight="1">
      <c r="B462" s="50"/>
      <c r="C462" s="50"/>
      <c r="D462" s="50"/>
      <c r="E462" s="50"/>
    </row>
    <row r="463" ht="14.25" customHeight="1">
      <c r="B463" s="50"/>
      <c r="C463" s="50"/>
      <c r="D463" s="50"/>
      <c r="E463" s="50"/>
    </row>
    <row r="464" ht="14.25" customHeight="1">
      <c r="B464" s="50"/>
      <c r="C464" s="50"/>
      <c r="D464" s="50"/>
      <c r="E464" s="50"/>
    </row>
    <row r="465" ht="14.25" customHeight="1">
      <c r="B465" s="50"/>
      <c r="C465" s="50"/>
      <c r="D465" s="50"/>
      <c r="E465" s="50"/>
    </row>
    <row r="466" ht="14.25" customHeight="1">
      <c r="B466" s="50"/>
      <c r="C466" s="50"/>
      <c r="D466" s="50"/>
      <c r="E466" s="50"/>
    </row>
    <row r="467" ht="14.25" customHeight="1">
      <c r="B467" s="50"/>
      <c r="C467" s="50"/>
      <c r="D467" s="50"/>
      <c r="E467" s="50"/>
    </row>
    <row r="468" ht="14.25" customHeight="1">
      <c r="B468" s="50"/>
      <c r="C468" s="50"/>
      <c r="D468" s="50"/>
      <c r="E468" s="50"/>
    </row>
    <row r="469" ht="14.25" customHeight="1">
      <c r="B469" s="50"/>
      <c r="C469" s="50"/>
      <c r="D469" s="50"/>
      <c r="E469" s="50"/>
    </row>
    <row r="470" ht="14.25" customHeight="1">
      <c r="B470" s="50"/>
      <c r="C470" s="50"/>
      <c r="D470" s="50"/>
      <c r="E470" s="50"/>
    </row>
    <row r="471" ht="14.25" customHeight="1">
      <c r="B471" s="50"/>
      <c r="C471" s="50"/>
      <c r="D471" s="50"/>
      <c r="E471" s="50"/>
    </row>
    <row r="472" ht="14.25" customHeight="1">
      <c r="B472" s="50"/>
      <c r="C472" s="50"/>
      <c r="D472" s="50"/>
      <c r="E472" s="50"/>
    </row>
    <row r="473" ht="14.25" customHeight="1">
      <c r="B473" s="50"/>
      <c r="C473" s="50"/>
      <c r="D473" s="50"/>
      <c r="E473" s="50"/>
    </row>
    <row r="474" ht="14.25" customHeight="1">
      <c r="B474" s="50"/>
      <c r="C474" s="50"/>
      <c r="D474" s="50"/>
      <c r="E474" s="50"/>
    </row>
    <row r="475" ht="14.25" customHeight="1">
      <c r="B475" s="50"/>
      <c r="C475" s="50"/>
      <c r="D475" s="50"/>
      <c r="E475" s="50"/>
    </row>
    <row r="476" ht="14.25" customHeight="1">
      <c r="B476" s="50"/>
      <c r="C476" s="50"/>
      <c r="D476" s="50"/>
      <c r="E476" s="50"/>
    </row>
    <row r="477" ht="14.25" customHeight="1">
      <c r="B477" s="50"/>
      <c r="C477" s="50"/>
      <c r="D477" s="50"/>
      <c r="E477" s="50"/>
    </row>
    <row r="478" ht="14.25" customHeight="1">
      <c r="B478" s="50"/>
      <c r="C478" s="50"/>
      <c r="D478" s="50"/>
      <c r="E478" s="50"/>
    </row>
    <row r="479" ht="14.25" customHeight="1">
      <c r="B479" s="50"/>
      <c r="C479" s="50"/>
      <c r="D479" s="50"/>
      <c r="E479" s="50"/>
    </row>
    <row r="480" ht="14.25" customHeight="1">
      <c r="B480" s="50"/>
      <c r="C480" s="50"/>
      <c r="D480" s="50"/>
      <c r="E480" s="50"/>
    </row>
    <row r="481" ht="14.25" customHeight="1">
      <c r="B481" s="50"/>
      <c r="C481" s="50"/>
      <c r="D481" s="50"/>
      <c r="E481" s="50"/>
    </row>
    <row r="482" ht="14.25" customHeight="1">
      <c r="B482" s="50"/>
      <c r="C482" s="50"/>
      <c r="D482" s="50"/>
      <c r="E482" s="50"/>
    </row>
    <row r="483" ht="14.25" customHeight="1">
      <c r="B483" s="50"/>
      <c r="C483" s="50"/>
      <c r="D483" s="50"/>
      <c r="E483" s="50"/>
    </row>
    <row r="484" ht="14.25" customHeight="1">
      <c r="B484" s="50"/>
      <c r="C484" s="50"/>
      <c r="D484" s="50"/>
      <c r="E484" s="50"/>
    </row>
    <row r="485" ht="14.25" customHeight="1">
      <c r="B485" s="50"/>
      <c r="C485" s="50"/>
      <c r="D485" s="50"/>
      <c r="E485" s="50"/>
    </row>
    <row r="486" ht="14.25" customHeight="1">
      <c r="B486" s="50"/>
      <c r="C486" s="50"/>
      <c r="D486" s="50"/>
      <c r="E486" s="50"/>
    </row>
    <row r="487" ht="14.25" customHeight="1">
      <c r="B487" s="50"/>
      <c r="C487" s="50"/>
      <c r="D487" s="50"/>
      <c r="E487" s="50"/>
    </row>
    <row r="488" ht="14.25" customHeight="1">
      <c r="B488" s="50"/>
      <c r="C488" s="50"/>
      <c r="D488" s="50"/>
      <c r="E488" s="50"/>
    </row>
    <row r="489" ht="14.25" customHeight="1">
      <c r="B489" s="50"/>
      <c r="C489" s="50"/>
      <c r="D489" s="50"/>
      <c r="E489" s="50"/>
    </row>
    <row r="490" ht="14.25" customHeight="1">
      <c r="B490" s="50"/>
      <c r="C490" s="50"/>
      <c r="D490" s="50"/>
      <c r="E490" s="50"/>
    </row>
    <row r="491" ht="14.25" customHeight="1">
      <c r="B491" s="50"/>
      <c r="C491" s="50"/>
      <c r="D491" s="50"/>
      <c r="E491" s="50"/>
    </row>
    <row r="492" ht="14.25" customHeight="1">
      <c r="B492" s="50"/>
      <c r="C492" s="50"/>
      <c r="D492" s="50"/>
      <c r="E492" s="50"/>
    </row>
    <row r="493" ht="14.25" customHeight="1">
      <c r="B493" s="50"/>
      <c r="C493" s="50"/>
      <c r="D493" s="50"/>
      <c r="E493" s="50"/>
    </row>
    <row r="494" ht="14.25" customHeight="1">
      <c r="B494" s="50"/>
      <c r="C494" s="50"/>
      <c r="D494" s="50"/>
      <c r="E494" s="50"/>
    </row>
    <row r="495" ht="14.25" customHeight="1">
      <c r="B495" s="50"/>
      <c r="C495" s="50"/>
      <c r="D495" s="50"/>
      <c r="E495" s="50"/>
    </row>
    <row r="496" ht="14.25" customHeight="1">
      <c r="B496" s="50"/>
      <c r="C496" s="50"/>
      <c r="D496" s="50"/>
      <c r="E496" s="50"/>
    </row>
    <row r="497" ht="14.25" customHeight="1">
      <c r="B497" s="50"/>
      <c r="C497" s="50"/>
      <c r="D497" s="50"/>
      <c r="E497" s="50"/>
    </row>
    <row r="498" ht="14.25" customHeight="1">
      <c r="B498" s="50"/>
      <c r="C498" s="50"/>
      <c r="D498" s="50"/>
      <c r="E498" s="50"/>
    </row>
    <row r="499" ht="14.25" customHeight="1">
      <c r="B499" s="50"/>
      <c r="C499" s="50"/>
      <c r="D499" s="50"/>
      <c r="E499" s="50"/>
    </row>
    <row r="500" ht="14.25" customHeight="1">
      <c r="B500" s="50"/>
      <c r="C500" s="50"/>
      <c r="D500" s="50"/>
      <c r="E500" s="50"/>
    </row>
    <row r="501" ht="14.25" customHeight="1">
      <c r="B501" s="50"/>
      <c r="C501" s="50"/>
      <c r="D501" s="50"/>
      <c r="E501" s="50"/>
    </row>
    <row r="502" ht="14.25" customHeight="1">
      <c r="B502" s="50"/>
      <c r="C502" s="50"/>
      <c r="D502" s="50"/>
      <c r="E502" s="50"/>
    </row>
    <row r="503" ht="14.25" customHeight="1">
      <c r="B503" s="50"/>
      <c r="C503" s="50"/>
      <c r="D503" s="50"/>
      <c r="E503" s="50"/>
    </row>
    <row r="504" ht="14.25" customHeight="1">
      <c r="B504" s="50"/>
      <c r="C504" s="50"/>
      <c r="D504" s="50"/>
      <c r="E504" s="50"/>
    </row>
    <row r="505" ht="14.25" customHeight="1">
      <c r="B505" s="50"/>
      <c r="C505" s="50"/>
      <c r="D505" s="50"/>
      <c r="E505" s="50"/>
    </row>
    <row r="506" ht="14.25" customHeight="1">
      <c r="B506" s="50"/>
      <c r="C506" s="50"/>
      <c r="D506" s="50"/>
      <c r="E506" s="50"/>
    </row>
    <row r="507" ht="14.25" customHeight="1">
      <c r="B507" s="50"/>
      <c r="C507" s="50"/>
      <c r="D507" s="50"/>
      <c r="E507" s="50"/>
    </row>
    <row r="508" ht="14.25" customHeight="1">
      <c r="B508" s="50"/>
      <c r="C508" s="50"/>
      <c r="D508" s="50"/>
      <c r="E508" s="50"/>
    </row>
    <row r="509" ht="14.25" customHeight="1">
      <c r="B509" s="50"/>
      <c r="C509" s="50"/>
      <c r="D509" s="50"/>
      <c r="E509" s="50"/>
    </row>
    <row r="510" ht="14.25" customHeight="1">
      <c r="B510" s="50"/>
      <c r="C510" s="50"/>
      <c r="D510" s="50"/>
      <c r="E510" s="50"/>
    </row>
    <row r="511" ht="14.25" customHeight="1">
      <c r="B511" s="50"/>
      <c r="C511" s="50"/>
      <c r="D511" s="50"/>
      <c r="E511" s="50"/>
    </row>
    <row r="512" ht="14.25" customHeight="1">
      <c r="B512" s="50"/>
      <c r="C512" s="50"/>
      <c r="D512" s="50"/>
      <c r="E512" s="50"/>
    </row>
    <row r="513" ht="14.25" customHeight="1">
      <c r="B513" s="50"/>
      <c r="C513" s="50"/>
      <c r="D513" s="50"/>
      <c r="E513" s="50"/>
    </row>
    <row r="514" ht="14.25" customHeight="1">
      <c r="B514" s="50"/>
      <c r="C514" s="50"/>
      <c r="D514" s="50"/>
      <c r="E514" s="50"/>
    </row>
    <row r="515" ht="14.25" customHeight="1">
      <c r="B515" s="50"/>
      <c r="C515" s="50"/>
      <c r="D515" s="50"/>
      <c r="E515" s="50"/>
    </row>
    <row r="516" ht="14.25" customHeight="1">
      <c r="B516" s="50"/>
      <c r="C516" s="50"/>
      <c r="D516" s="50"/>
      <c r="E516" s="50"/>
    </row>
    <row r="517" ht="14.25" customHeight="1">
      <c r="B517" s="50"/>
      <c r="C517" s="50"/>
      <c r="D517" s="50"/>
      <c r="E517" s="50"/>
    </row>
    <row r="518" ht="14.25" customHeight="1">
      <c r="B518" s="50"/>
      <c r="C518" s="50"/>
      <c r="D518" s="50"/>
      <c r="E518" s="50"/>
    </row>
    <row r="519" ht="14.25" customHeight="1">
      <c r="B519" s="50"/>
      <c r="C519" s="50"/>
      <c r="D519" s="50"/>
      <c r="E519" s="50"/>
    </row>
    <row r="520" ht="14.25" customHeight="1">
      <c r="B520" s="50"/>
      <c r="C520" s="50"/>
      <c r="D520" s="50"/>
      <c r="E520" s="50"/>
    </row>
    <row r="521" ht="14.25" customHeight="1">
      <c r="B521" s="50"/>
      <c r="C521" s="50"/>
      <c r="D521" s="50"/>
      <c r="E521" s="50"/>
    </row>
    <row r="522" ht="14.25" customHeight="1">
      <c r="B522" s="50"/>
      <c r="C522" s="50"/>
      <c r="D522" s="50"/>
      <c r="E522" s="50"/>
    </row>
    <row r="523" ht="14.25" customHeight="1">
      <c r="B523" s="50"/>
      <c r="C523" s="50"/>
      <c r="D523" s="50"/>
      <c r="E523" s="50"/>
    </row>
    <row r="524" ht="14.25" customHeight="1">
      <c r="B524" s="50"/>
      <c r="C524" s="50"/>
      <c r="D524" s="50"/>
      <c r="E524" s="50"/>
    </row>
    <row r="525" ht="14.25" customHeight="1">
      <c r="B525" s="50"/>
      <c r="C525" s="50"/>
      <c r="D525" s="50"/>
      <c r="E525" s="50"/>
    </row>
    <row r="526" ht="14.25" customHeight="1">
      <c r="B526" s="50"/>
      <c r="C526" s="50"/>
      <c r="D526" s="50"/>
      <c r="E526" s="50"/>
    </row>
    <row r="527" ht="14.25" customHeight="1">
      <c r="B527" s="50"/>
      <c r="C527" s="50"/>
      <c r="D527" s="50"/>
      <c r="E527" s="50"/>
    </row>
    <row r="528" ht="14.25" customHeight="1">
      <c r="B528" s="50"/>
      <c r="C528" s="50"/>
      <c r="D528" s="50"/>
      <c r="E528" s="50"/>
    </row>
    <row r="529" ht="14.25" customHeight="1">
      <c r="B529" s="50"/>
      <c r="C529" s="50"/>
      <c r="D529" s="50"/>
      <c r="E529" s="50"/>
    </row>
    <row r="530" ht="14.25" customHeight="1">
      <c r="B530" s="50"/>
      <c r="C530" s="50"/>
      <c r="D530" s="50"/>
      <c r="E530" s="50"/>
    </row>
    <row r="531" ht="14.25" customHeight="1">
      <c r="B531" s="50"/>
      <c r="C531" s="50"/>
      <c r="D531" s="50"/>
      <c r="E531" s="50"/>
    </row>
    <row r="532" ht="14.25" customHeight="1">
      <c r="B532" s="50"/>
      <c r="C532" s="50"/>
      <c r="D532" s="50"/>
      <c r="E532" s="50"/>
    </row>
    <row r="533" ht="14.25" customHeight="1">
      <c r="B533" s="50"/>
      <c r="C533" s="50"/>
      <c r="D533" s="50"/>
      <c r="E533" s="50"/>
    </row>
    <row r="534" ht="14.25" customHeight="1">
      <c r="B534" s="50"/>
      <c r="C534" s="50"/>
      <c r="D534" s="50"/>
      <c r="E534" s="50"/>
    </row>
    <row r="535" ht="14.25" customHeight="1">
      <c r="B535" s="50"/>
      <c r="C535" s="50"/>
      <c r="D535" s="50"/>
      <c r="E535" s="50"/>
    </row>
    <row r="536" ht="14.25" customHeight="1">
      <c r="B536" s="50"/>
      <c r="C536" s="50"/>
      <c r="D536" s="50"/>
      <c r="E536" s="50"/>
    </row>
    <row r="537" ht="14.25" customHeight="1">
      <c r="B537" s="50"/>
      <c r="C537" s="50"/>
      <c r="D537" s="50"/>
      <c r="E537" s="50"/>
    </row>
    <row r="538" ht="14.25" customHeight="1">
      <c r="B538" s="50"/>
      <c r="C538" s="50"/>
      <c r="D538" s="50"/>
      <c r="E538" s="50"/>
    </row>
    <row r="539" ht="14.25" customHeight="1">
      <c r="B539" s="50"/>
      <c r="C539" s="50"/>
      <c r="D539" s="50"/>
      <c r="E539" s="50"/>
    </row>
    <row r="540" ht="14.25" customHeight="1">
      <c r="B540" s="50"/>
      <c r="C540" s="50"/>
      <c r="D540" s="50"/>
      <c r="E540" s="50"/>
    </row>
    <row r="541" ht="14.25" customHeight="1">
      <c r="B541" s="50"/>
      <c r="C541" s="50"/>
      <c r="D541" s="50"/>
      <c r="E541" s="50"/>
    </row>
    <row r="542" ht="14.25" customHeight="1">
      <c r="B542" s="50"/>
      <c r="C542" s="50"/>
      <c r="D542" s="50"/>
      <c r="E542" s="50"/>
    </row>
    <row r="543" ht="14.25" customHeight="1">
      <c r="B543" s="50"/>
      <c r="C543" s="50"/>
      <c r="D543" s="50"/>
      <c r="E543" s="50"/>
    </row>
    <row r="544" ht="14.25" customHeight="1">
      <c r="B544" s="50"/>
      <c r="C544" s="50"/>
      <c r="D544" s="50"/>
      <c r="E544" s="50"/>
    </row>
    <row r="545" ht="14.25" customHeight="1">
      <c r="B545" s="50"/>
      <c r="C545" s="50"/>
      <c r="D545" s="50"/>
      <c r="E545" s="50"/>
    </row>
    <row r="546" ht="14.25" customHeight="1">
      <c r="B546" s="50"/>
      <c r="C546" s="50"/>
      <c r="D546" s="50"/>
      <c r="E546" s="50"/>
    </row>
    <row r="547" ht="14.25" customHeight="1">
      <c r="B547" s="50"/>
      <c r="C547" s="50"/>
      <c r="D547" s="50"/>
      <c r="E547" s="50"/>
    </row>
    <row r="548" ht="14.25" customHeight="1">
      <c r="B548" s="50"/>
      <c r="C548" s="50"/>
      <c r="D548" s="50"/>
      <c r="E548" s="50"/>
    </row>
    <row r="549" ht="14.25" customHeight="1">
      <c r="B549" s="50"/>
      <c r="C549" s="50"/>
      <c r="D549" s="50"/>
      <c r="E549" s="50"/>
    </row>
    <row r="550" ht="14.25" customHeight="1">
      <c r="B550" s="50"/>
      <c r="C550" s="50"/>
      <c r="D550" s="50"/>
      <c r="E550" s="50"/>
    </row>
    <row r="551" ht="14.25" customHeight="1">
      <c r="B551" s="50"/>
      <c r="C551" s="50"/>
      <c r="D551" s="50"/>
      <c r="E551" s="50"/>
    </row>
    <row r="552" ht="14.25" customHeight="1">
      <c r="B552" s="50"/>
      <c r="C552" s="50"/>
      <c r="D552" s="50"/>
      <c r="E552" s="50"/>
    </row>
    <row r="553" ht="14.25" customHeight="1">
      <c r="B553" s="50"/>
      <c r="C553" s="50"/>
      <c r="D553" s="50"/>
      <c r="E553" s="50"/>
    </row>
    <row r="554" ht="14.25" customHeight="1">
      <c r="B554" s="50"/>
      <c r="C554" s="50"/>
      <c r="D554" s="50"/>
      <c r="E554" s="50"/>
    </row>
    <row r="555" ht="14.25" customHeight="1">
      <c r="B555" s="50"/>
      <c r="C555" s="50"/>
      <c r="D555" s="50"/>
      <c r="E555" s="50"/>
    </row>
    <row r="556" ht="14.25" customHeight="1">
      <c r="B556" s="50"/>
      <c r="C556" s="50"/>
      <c r="D556" s="50"/>
      <c r="E556" s="50"/>
    </row>
    <row r="557" ht="14.25" customHeight="1">
      <c r="B557" s="50"/>
      <c r="C557" s="50"/>
      <c r="D557" s="50"/>
      <c r="E557" s="50"/>
    </row>
    <row r="558" ht="14.25" customHeight="1">
      <c r="B558" s="50"/>
      <c r="C558" s="50"/>
      <c r="D558" s="50"/>
      <c r="E558" s="50"/>
    </row>
    <row r="559" ht="14.25" customHeight="1">
      <c r="B559" s="50"/>
      <c r="C559" s="50"/>
      <c r="D559" s="50"/>
      <c r="E559" s="50"/>
    </row>
    <row r="560" ht="14.25" customHeight="1">
      <c r="B560" s="50"/>
      <c r="C560" s="50"/>
      <c r="D560" s="50"/>
      <c r="E560" s="50"/>
    </row>
    <row r="561" ht="14.25" customHeight="1">
      <c r="B561" s="50"/>
      <c r="C561" s="50"/>
      <c r="D561" s="50"/>
      <c r="E561" s="50"/>
    </row>
    <row r="562" ht="14.25" customHeight="1">
      <c r="B562" s="50"/>
      <c r="C562" s="50"/>
      <c r="D562" s="50"/>
      <c r="E562" s="50"/>
    </row>
    <row r="563" ht="14.25" customHeight="1">
      <c r="B563" s="50"/>
      <c r="C563" s="50"/>
      <c r="D563" s="50"/>
      <c r="E563" s="50"/>
    </row>
    <row r="564" ht="14.25" customHeight="1">
      <c r="B564" s="50"/>
      <c r="C564" s="50"/>
      <c r="D564" s="50"/>
      <c r="E564" s="50"/>
    </row>
    <row r="565" ht="14.25" customHeight="1">
      <c r="B565" s="50"/>
      <c r="C565" s="50"/>
      <c r="D565" s="50"/>
      <c r="E565" s="50"/>
    </row>
    <row r="566" ht="14.25" customHeight="1">
      <c r="B566" s="50"/>
      <c r="C566" s="50"/>
      <c r="D566" s="50"/>
      <c r="E566" s="50"/>
    </row>
    <row r="567" ht="14.25" customHeight="1">
      <c r="B567" s="50"/>
      <c r="C567" s="50"/>
      <c r="D567" s="50"/>
      <c r="E567" s="50"/>
    </row>
    <row r="568" ht="14.25" customHeight="1">
      <c r="B568" s="50"/>
      <c r="C568" s="50"/>
      <c r="D568" s="50"/>
      <c r="E568" s="50"/>
    </row>
    <row r="569" ht="14.25" customHeight="1">
      <c r="B569" s="50"/>
      <c r="C569" s="50"/>
      <c r="D569" s="50"/>
      <c r="E569" s="50"/>
    </row>
    <row r="570" ht="14.25" customHeight="1">
      <c r="B570" s="50"/>
      <c r="C570" s="50"/>
      <c r="D570" s="50"/>
      <c r="E570" s="50"/>
    </row>
    <row r="571" ht="14.25" customHeight="1">
      <c r="B571" s="50"/>
      <c r="C571" s="50"/>
      <c r="D571" s="50"/>
      <c r="E571" s="50"/>
    </row>
    <row r="572" ht="14.25" customHeight="1">
      <c r="B572" s="50"/>
      <c r="C572" s="50"/>
      <c r="D572" s="50"/>
      <c r="E572" s="50"/>
    </row>
    <row r="573" ht="14.25" customHeight="1">
      <c r="B573" s="50"/>
      <c r="C573" s="50"/>
      <c r="D573" s="50"/>
      <c r="E573" s="50"/>
    </row>
    <row r="574" ht="14.25" customHeight="1">
      <c r="B574" s="50"/>
      <c r="C574" s="50"/>
      <c r="D574" s="50"/>
      <c r="E574" s="50"/>
    </row>
    <row r="575" ht="14.25" customHeight="1">
      <c r="B575" s="50"/>
      <c r="C575" s="50"/>
      <c r="D575" s="50"/>
      <c r="E575" s="50"/>
    </row>
    <row r="576" ht="14.25" customHeight="1">
      <c r="B576" s="50"/>
      <c r="C576" s="50"/>
      <c r="D576" s="50"/>
      <c r="E576" s="50"/>
    </row>
    <row r="577" ht="14.25" customHeight="1">
      <c r="B577" s="50"/>
      <c r="C577" s="50"/>
      <c r="D577" s="50"/>
      <c r="E577" s="50"/>
    </row>
    <row r="578" ht="14.25" customHeight="1">
      <c r="B578" s="50"/>
      <c r="C578" s="50"/>
      <c r="D578" s="50"/>
      <c r="E578" s="50"/>
    </row>
    <row r="579" ht="14.25" customHeight="1">
      <c r="B579" s="50"/>
      <c r="C579" s="50"/>
      <c r="D579" s="50"/>
      <c r="E579" s="50"/>
    </row>
    <row r="580" ht="14.25" customHeight="1">
      <c r="B580" s="50"/>
      <c r="C580" s="50"/>
      <c r="D580" s="50"/>
      <c r="E580" s="50"/>
    </row>
    <row r="581" ht="14.25" customHeight="1">
      <c r="B581" s="50"/>
      <c r="C581" s="50"/>
      <c r="D581" s="50"/>
      <c r="E581" s="50"/>
    </row>
    <row r="582" ht="14.25" customHeight="1">
      <c r="B582" s="50"/>
      <c r="C582" s="50"/>
      <c r="D582" s="50"/>
      <c r="E582" s="50"/>
    </row>
    <row r="583" ht="14.25" customHeight="1">
      <c r="B583" s="50"/>
      <c r="C583" s="50"/>
      <c r="D583" s="50"/>
      <c r="E583" s="50"/>
    </row>
    <row r="584" ht="14.25" customHeight="1">
      <c r="B584" s="50"/>
      <c r="C584" s="50"/>
      <c r="D584" s="50"/>
      <c r="E584" s="50"/>
    </row>
    <row r="585" ht="14.25" customHeight="1">
      <c r="B585" s="50"/>
      <c r="C585" s="50"/>
      <c r="D585" s="50"/>
      <c r="E585" s="50"/>
    </row>
    <row r="586" ht="14.25" customHeight="1">
      <c r="B586" s="50"/>
      <c r="C586" s="50"/>
      <c r="D586" s="50"/>
      <c r="E586" s="50"/>
    </row>
    <row r="587" ht="14.25" customHeight="1">
      <c r="B587" s="50"/>
      <c r="C587" s="50"/>
      <c r="D587" s="50"/>
      <c r="E587" s="50"/>
    </row>
    <row r="588" ht="14.25" customHeight="1">
      <c r="B588" s="50"/>
      <c r="C588" s="50"/>
      <c r="D588" s="50"/>
      <c r="E588" s="50"/>
    </row>
    <row r="589" ht="14.25" customHeight="1">
      <c r="B589" s="50"/>
      <c r="C589" s="50"/>
      <c r="D589" s="50"/>
      <c r="E589" s="50"/>
    </row>
    <row r="590" ht="14.25" customHeight="1">
      <c r="B590" s="50"/>
      <c r="C590" s="50"/>
      <c r="D590" s="50"/>
      <c r="E590" s="50"/>
    </row>
    <row r="591" ht="14.25" customHeight="1">
      <c r="B591" s="50"/>
      <c r="C591" s="50"/>
      <c r="D591" s="50"/>
      <c r="E591" s="50"/>
    </row>
    <row r="592" ht="14.25" customHeight="1">
      <c r="B592" s="50"/>
      <c r="C592" s="50"/>
      <c r="D592" s="50"/>
      <c r="E592" s="50"/>
    </row>
    <row r="593" ht="14.25" customHeight="1">
      <c r="B593" s="50"/>
      <c r="C593" s="50"/>
      <c r="D593" s="50"/>
      <c r="E593" s="50"/>
    </row>
    <row r="594" ht="14.25" customHeight="1">
      <c r="B594" s="50"/>
      <c r="C594" s="50"/>
      <c r="D594" s="50"/>
      <c r="E594" s="50"/>
    </row>
    <row r="595" ht="14.25" customHeight="1">
      <c r="B595" s="50"/>
      <c r="C595" s="50"/>
      <c r="D595" s="50"/>
      <c r="E595" s="50"/>
    </row>
    <row r="596" ht="14.25" customHeight="1">
      <c r="B596" s="50"/>
      <c r="C596" s="50"/>
      <c r="D596" s="50"/>
      <c r="E596" s="50"/>
    </row>
    <row r="597" ht="14.25" customHeight="1">
      <c r="B597" s="50"/>
      <c r="C597" s="50"/>
      <c r="D597" s="50"/>
      <c r="E597" s="50"/>
    </row>
    <row r="598" ht="14.25" customHeight="1">
      <c r="B598" s="50"/>
      <c r="C598" s="50"/>
      <c r="D598" s="50"/>
      <c r="E598" s="50"/>
    </row>
    <row r="599" ht="14.25" customHeight="1">
      <c r="B599" s="50"/>
      <c r="C599" s="50"/>
      <c r="D599" s="50"/>
      <c r="E599" s="50"/>
    </row>
    <row r="600" ht="14.25" customHeight="1">
      <c r="B600" s="50"/>
      <c r="C600" s="50"/>
      <c r="D600" s="50"/>
      <c r="E600" s="50"/>
    </row>
    <row r="601" ht="14.25" customHeight="1">
      <c r="B601" s="50"/>
      <c r="C601" s="50"/>
      <c r="D601" s="50"/>
      <c r="E601" s="50"/>
    </row>
    <row r="602" ht="14.25" customHeight="1">
      <c r="B602" s="50"/>
      <c r="C602" s="50"/>
      <c r="D602" s="50"/>
      <c r="E602" s="50"/>
    </row>
    <row r="603" ht="14.25" customHeight="1">
      <c r="B603" s="50"/>
      <c r="C603" s="50"/>
      <c r="D603" s="50"/>
      <c r="E603" s="50"/>
    </row>
    <row r="604" ht="14.25" customHeight="1">
      <c r="B604" s="50"/>
      <c r="C604" s="50"/>
      <c r="D604" s="50"/>
      <c r="E604" s="50"/>
    </row>
    <row r="605" ht="14.25" customHeight="1">
      <c r="B605" s="50"/>
      <c r="C605" s="50"/>
      <c r="D605" s="50"/>
      <c r="E605" s="50"/>
    </row>
    <row r="606" ht="14.25" customHeight="1">
      <c r="B606" s="50"/>
      <c r="C606" s="50"/>
      <c r="D606" s="50"/>
      <c r="E606" s="50"/>
    </row>
    <row r="607" ht="14.25" customHeight="1">
      <c r="B607" s="50"/>
      <c r="C607" s="50"/>
      <c r="D607" s="50"/>
      <c r="E607" s="50"/>
    </row>
    <row r="608" ht="14.25" customHeight="1">
      <c r="B608" s="50"/>
      <c r="C608" s="50"/>
      <c r="D608" s="50"/>
      <c r="E608" s="50"/>
    </row>
    <row r="609" ht="14.25" customHeight="1">
      <c r="B609" s="50"/>
      <c r="C609" s="50"/>
      <c r="D609" s="50"/>
      <c r="E609" s="50"/>
    </row>
    <row r="610" ht="14.25" customHeight="1">
      <c r="B610" s="50"/>
      <c r="C610" s="50"/>
      <c r="D610" s="50"/>
      <c r="E610" s="50"/>
    </row>
    <row r="611" ht="14.25" customHeight="1">
      <c r="B611" s="50"/>
      <c r="C611" s="50"/>
      <c r="D611" s="50"/>
      <c r="E611" s="50"/>
    </row>
    <row r="612" ht="14.25" customHeight="1">
      <c r="B612" s="50"/>
      <c r="C612" s="50"/>
      <c r="D612" s="50"/>
      <c r="E612" s="50"/>
    </row>
    <row r="613" ht="14.25" customHeight="1">
      <c r="B613" s="50"/>
      <c r="C613" s="50"/>
      <c r="D613" s="50"/>
      <c r="E613" s="50"/>
    </row>
    <row r="614" ht="14.25" customHeight="1">
      <c r="B614" s="50"/>
      <c r="C614" s="50"/>
      <c r="D614" s="50"/>
      <c r="E614" s="50"/>
    </row>
    <row r="615" ht="14.25" customHeight="1">
      <c r="B615" s="50"/>
      <c r="C615" s="50"/>
      <c r="D615" s="50"/>
      <c r="E615" s="50"/>
    </row>
    <row r="616" ht="14.25" customHeight="1">
      <c r="B616" s="50"/>
      <c r="C616" s="50"/>
      <c r="D616" s="50"/>
      <c r="E616" s="50"/>
    </row>
    <row r="617" ht="14.25" customHeight="1">
      <c r="B617" s="50"/>
      <c r="C617" s="50"/>
      <c r="D617" s="50"/>
      <c r="E617" s="50"/>
    </row>
    <row r="618" ht="14.25" customHeight="1">
      <c r="B618" s="50"/>
      <c r="C618" s="50"/>
      <c r="D618" s="50"/>
      <c r="E618" s="50"/>
    </row>
    <row r="619" ht="14.25" customHeight="1">
      <c r="B619" s="50"/>
      <c r="C619" s="50"/>
      <c r="D619" s="50"/>
      <c r="E619" s="50"/>
    </row>
    <row r="620" ht="14.25" customHeight="1">
      <c r="B620" s="50"/>
      <c r="C620" s="50"/>
      <c r="D620" s="50"/>
      <c r="E620" s="50"/>
    </row>
    <row r="621" ht="14.25" customHeight="1">
      <c r="B621" s="50"/>
      <c r="C621" s="50"/>
      <c r="D621" s="50"/>
      <c r="E621" s="50"/>
    </row>
    <row r="622" ht="14.25" customHeight="1">
      <c r="B622" s="50"/>
      <c r="C622" s="50"/>
      <c r="D622" s="50"/>
      <c r="E622" s="50"/>
    </row>
    <row r="623" ht="14.25" customHeight="1">
      <c r="B623" s="50"/>
      <c r="C623" s="50"/>
      <c r="D623" s="50"/>
      <c r="E623" s="50"/>
    </row>
    <row r="624" ht="14.25" customHeight="1">
      <c r="B624" s="50"/>
      <c r="C624" s="50"/>
      <c r="D624" s="50"/>
      <c r="E624" s="50"/>
    </row>
    <row r="625" ht="14.25" customHeight="1">
      <c r="B625" s="50"/>
      <c r="C625" s="50"/>
      <c r="D625" s="50"/>
      <c r="E625" s="50"/>
    </row>
    <row r="626" ht="14.25" customHeight="1">
      <c r="B626" s="50"/>
      <c r="C626" s="50"/>
      <c r="D626" s="50"/>
      <c r="E626" s="50"/>
    </row>
    <row r="627" ht="14.25" customHeight="1">
      <c r="B627" s="50"/>
      <c r="C627" s="50"/>
      <c r="D627" s="50"/>
      <c r="E627" s="50"/>
    </row>
    <row r="628" ht="14.25" customHeight="1">
      <c r="B628" s="50"/>
      <c r="C628" s="50"/>
      <c r="D628" s="50"/>
      <c r="E628" s="50"/>
    </row>
    <row r="629" ht="14.25" customHeight="1">
      <c r="B629" s="50"/>
      <c r="C629" s="50"/>
      <c r="D629" s="50"/>
      <c r="E629" s="50"/>
    </row>
    <row r="630" ht="14.25" customHeight="1">
      <c r="B630" s="50"/>
      <c r="C630" s="50"/>
      <c r="D630" s="50"/>
      <c r="E630" s="50"/>
    </row>
    <row r="631" ht="14.25" customHeight="1">
      <c r="B631" s="50"/>
      <c r="C631" s="50"/>
      <c r="D631" s="50"/>
      <c r="E631" s="50"/>
    </row>
    <row r="632" ht="14.25" customHeight="1">
      <c r="B632" s="50"/>
      <c r="C632" s="50"/>
      <c r="D632" s="50"/>
      <c r="E632" s="50"/>
    </row>
    <row r="633" ht="14.25" customHeight="1">
      <c r="B633" s="50"/>
      <c r="C633" s="50"/>
      <c r="D633" s="50"/>
      <c r="E633" s="50"/>
    </row>
    <row r="634" ht="14.25" customHeight="1">
      <c r="B634" s="50"/>
      <c r="C634" s="50"/>
      <c r="D634" s="50"/>
      <c r="E634" s="50"/>
    </row>
    <row r="635" ht="14.25" customHeight="1">
      <c r="B635" s="50"/>
      <c r="C635" s="50"/>
      <c r="D635" s="50"/>
      <c r="E635" s="50"/>
    </row>
    <row r="636" ht="14.25" customHeight="1">
      <c r="B636" s="50"/>
      <c r="C636" s="50"/>
      <c r="D636" s="50"/>
      <c r="E636" s="50"/>
    </row>
    <row r="637" ht="14.25" customHeight="1">
      <c r="B637" s="50"/>
      <c r="C637" s="50"/>
      <c r="D637" s="50"/>
      <c r="E637" s="50"/>
    </row>
    <row r="638" ht="14.25" customHeight="1">
      <c r="B638" s="50"/>
      <c r="C638" s="50"/>
      <c r="D638" s="50"/>
      <c r="E638" s="50"/>
    </row>
    <row r="639" ht="14.25" customHeight="1">
      <c r="B639" s="50"/>
      <c r="C639" s="50"/>
      <c r="D639" s="50"/>
      <c r="E639" s="50"/>
    </row>
    <row r="640" ht="14.25" customHeight="1">
      <c r="B640" s="50"/>
      <c r="C640" s="50"/>
      <c r="D640" s="50"/>
      <c r="E640" s="50"/>
    </row>
    <row r="641" ht="14.25" customHeight="1">
      <c r="B641" s="50"/>
      <c r="C641" s="50"/>
      <c r="D641" s="50"/>
      <c r="E641" s="50"/>
    </row>
    <row r="642" ht="14.25" customHeight="1">
      <c r="B642" s="50"/>
      <c r="C642" s="50"/>
      <c r="D642" s="50"/>
      <c r="E642" s="50"/>
    </row>
    <row r="643" ht="14.25" customHeight="1">
      <c r="B643" s="50"/>
      <c r="C643" s="50"/>
      <c r="D643" s="50"/>
      <c r="E643" s="50"/>
    </row>
    <row r="644" ht="14.25" customHeight="1">
      <c r="B644" s="50"/>
      <c r="C644" s="50"/>
      <c r="D644" s="50"/>
      <c r="E644" s="50"/>
    </row>
    <row r="645" ht="14.25" customHeight="1">
      <c r="B645" s="50"/>
      <c r="C645" s="50"/>
      <c r="D645" s="50"/>
      <c r="E645" s="50"/>
    </row>
    <row r="646" ht="14.25" customHeight="1">
      <c r="B646" s="50"/>
      <c r="C646" s="50"/>
      <c r="D646" s="50"/>
      <c r="E646" s="50"/>
    </row>
    <row r="647" ht="14.25" customHeight="1">
      <c r="B647" s="50"/>
      <c r="C647" s="50"/>
      <c r="D647" s="50"/>
      <c r="E647" s="50"/>
    </row>
    <row r="648" ht="14.25" customHeight="1">
      <c r="B648" s="50"/>
      <c r="C648" s="50"/>
      <c r="D648" s="50"/>
      <c r="E648" s="50"/>
    </row>
    <row r="649" ht="14.25" customHeight="1">
      <c r="B649" s="50"/>
      <c r="C649" s="50"/>
      <c r="D649" s="50"/>
      <c r="E649" s="50"/>
    </row>
    <row r="650" ht="14.25" customHeight="1">
      <c r="B650" s="50"/>
      <c r="C650" s="50"/>
      <c r="D650" s="50"/>
      <c r="E650" s="50"/>
    </row>
    <row r="651" ht="14.25" customHeight="1">
      <c r="B651" s="50"/>
      <c r="C651" s="50"/>
      <c r="D651" s="50"/>
      <c r="E651" s="50"/>
    </row>
    <row r="652" ht="14.25" customHeight="1">
      <c r="B652" s="50"/>
      <c r="C652" s="50"/>
      <c r="D652" s="50"/>
      <c r="E652" s="50"/>
    </row>
    <row r="653" ht="14.25" customHeight="1">
      <c r="B653" s="50"/>
      <c r="C653" s="50"/>
      <c r="D653" s="50"/>
      <c r="E653" s="50"/>
    </row>
    <row r="654" ht="14.25" customHeight="1">
      <c r="B654" s="50"/>
      <c r="C654" s="50"/>
      <c r="D654" s="50"/>
      <c r="E654" s="50"/>
    </row>
    <row r="655" ht="14.25" customHeight="1">
      <c r="B655" s="50"/>
      <c r="C655" s="50"/>
      <c r="D655" s="50"/>
      <c r="E655" s="50"/>
    </row>
    <row r="656" ht="14.25" customHeight="1">
      <c r="B656" s="50"/>
      <c r="C656" s="50"/>
      <c r="D656" s="50"/>
      <c r="E656" s="50"/>
    </row>
    <row r="657" ht="14.25" customHeight="1">
      <c r="B657" s="50"/>
      <c r="C657" s="50"/>
      <c r="D657" s="50"/>
      <c r="E657" s="50"/>
    </row>
    <row r="658" ht="14.25" customHeight="1">
      <c r="B658" s="50"/>
      <c r="C658" s="50"/>
      <c r="D658" s="50"/>
      <c r="E658" s="50"/>
    </row>
    <row r="659" ht="14.25" customHeight="1">
      <c r="B659" s="50"/>
      <c r="C659" s="50"/>
      <c r="D659" s="50"/>
      <c r="E659" s="50"/>
    </row>
    <row r="660" ht="14.25" customHeight="1">
      <c r="B660" s="50"/>
      <c r="C660" s="50"/>
      <c r="D660" s="50"/>
      <c r="E660" s="50"/>
    </row>
    <row r="661" ht="14.25" customHeight="1">
      <c r="B661" s="50"/>
      <c r="C661" s="50"/>
      <c r="D661" s="50"/>
      <c r="E661" s="50"/>
    </row>
    <row r="662" ht="14.25" customHeight="1">
      <c r="B662" s="50"/>
      <c r="C662" s="50"/>
      <c r="D662" s="50"/>
      <c r="E662" s="50"/>
    </row>
    <row r="663" ht="14.25" customHeight="1">
      <c r="B663" s="50"/>
      <c r="C663" s="50"/>
      <c r="D663" s="50"/>
      <c r="E663" s="50"/>
    </row>
    <row r="664" ht="14.25" customHeight="1">
      <c r="B664" s="50"/>
      <c r="C664" s="50"/>
      <c r="D664" s="50"/>
      <c r="E664" s="50"/>
    </row>
    <row r="665" ht="14.25" customHeight="1">
      <c r="B665" s="50"/>
      <c r="C665" s="50"/>
      <c r="D665" s="50"/>
      <c r="E665" s="50"/>
    </row>
    <row r="666" ht="14.25" customHeight="1">
      <c r="B666" s="50"/>
      <c r="C666" s="50"/>
      <c r="D666" s="50"/>
      <c r="E666" s="50"/>
    </row>
    <row r="667" ht="14.25" customHeight="1">
      <c r="B667" s="50"/>
      <c r="C667" s="50"/>
      <c r="D667" s="50"/>
      <c r="E667" s="50"/>
    </row>
    <row r="668" ht="14.25" customHeight="1">
      <c r="B668" s="50"/>
      <c r="C668" s="50"/>
      <c r="D668" s="50"/>
      <c r="E668" s="50"/>
    </row>
    <row r="669" ht="14.25" customHeight="1">
      <c r="B669" s="50"/>
      <c r="C669" s="50"/>
      <c r="D669" s="50"/>
      <c r="E669" s="50"/>
    </row>
    <row r="670" ht="14.25" customHeight="1">
      <c r="B670" s="50"/>
      <c r="C670" s="50"/>
      <c r="D670" s="50"/>
      <c r="E670" s="50"/>
    </row>
    <row r="671" ht="14.25" customHeight="1">
      <c r="B671" s="50"/>
      <c r="C671" s="50"/>
      <c r="D671" s="50"/>
      <c r="E671" s="50"/>
    </row>
    <row r="672" ht="14.25" customHeight="1">
      <c r="B672" s="50"/>
      <c r="C672" s="50"/>
      <c r="D672" s="50"/>
      <c r="E672" s="50"/>
    </row>
    <row r="673" ht="14.25" customHeight="1">
      <c r="B673" s="50"/>
      <c r="C673" s="50"/>
      <c r="D673" s="50"/>
      <c r="E673" s="50"/>
    </row>
    <row r="674" ht="14.25" customHeight="1">
      <c r="B674" s="50"/>
      <c r="C674" s="50"/>
      <c r="D674" s="50"/>
      <c r="E674" s="50"/>
    </row>
    <row r="675" ht="14.25" customHeight="1">
      <c r="B675" s="50"/>
      <c r="C675" s="50"/>
      <c r="D675" s="50"/>
      <c r="E675" s="50"/>
    </row>
    <row r="676" ht="14.25" customHeight="1">
      <c r="B676" s="50"/>
      <c r="C676" s="50"/>
      <c r="D676" s="50"/>
      <c r="E676" s="50"/>
    </row>
    <row r="677" ht="14.25" customHeight="1">
      <c r="B677" s="50"/>
      <c r="C677" s="50"/>
      <c r="D677" s="50"/>
      <c r="E677" s="50"/>
    </row>
    <row r="678" ht="14.25" customHeight="1">
      <c r="B678" s="50"/>
      <c r="C678" s="50"/>
      <c r="D678" s="50"/>
      <c r="E678" s="50"/>
    </row>
    <row r="679" ht="14.25" customHeight="1">
      <c r="B679" s="50"/>
      <c r="C679" s="50"/>
      <c r="D679" s="50"/>
      <c r="E679" s="50"/>
    </row>
    <row r="680" ht="14.25" customHeight="1">
      <c r="B680" s="50"/>
      <c r="C680" s="50"/>
      <c r="D680" s="50"/>
      <c r="E680" s="50"/>
    </row>
    <row r="681" ht="14.25" customHeight="1">
      <c r="B681" s="50"/>
      <c r="C681" s="50"/>
      <c r="D681" s="50"/>
      <c r="E681" s="50"/>
    </row>
    <row r="682" ht="14.25" customHeight="1">
      <c r="B682" s="50"/>
      <c r="C682" s="50"/>
      <c r="D682" s="50"/>
      <c r="E682" s="50"/>
    </row>
    <row r="683" ht="14.25" customHeight="1">
      <c r="B683" s="50"/>
      <c r="C683" s="50"/>
      <c r="D683" s="50"/>
      <c r="E683" s="50"/>
    </row>
    <row r="684" ht="14.25" customHeight="1">
      <c r="B684" s="50"/>
      <c r="C684" s="50"/>
      <c r="D684" s="50"/>
      <c r="E684" s="50"/>
    </row>
    <row r="685" ht="14.25" customHeight="1">
      <c r="B685" s="50"/>
      <c r="C685" s="50"/>
      <c r="D685" s="50"/>
      <c r="E685" s="50"/>
    </row>
    <row r="686" ht="14.25" customHeight="1">
      <c r="B686" s="50"/>
      <c r="C686" s="50"/>
      <c r="D686" s="50"/>
      <c r="E686" s="50"/>
    </row>
    <row r="687" ht="14.25" customHeight="1">
      <c r="B687" s="50"/>
      <c r="C687" s="50"/>
      <c r="D687" s="50"/>
      <c r="E687" s="50"/>
    </row>
    <row r="688" ht="14.25" customHeight="1">
      <c r="B688" s="50"/>
      <c r="C688" s="50"/>
      <c r="D688" s="50"/>
      <c r="E688" s="50"/>
    </row>
    <row r="689" ht="14.25" customHeight="1">
      <c r="B689" s="50"/>
      <c r="C689" s="50"/>
      <c r="D689" s="50"/>
      <c r="E689" s="50"/>
    </row>
    <row r="690" ht="14.25" customHeight="1">
      <c r="B690" s="50"/>
      <c r="C690" s="50"/>
      <c r="D690" s="50"/>
      <c r="E690" s="50"/>
    </row>
    <row r="691" ht="14.25" customHeight="1">
      <c r="B691" s="50"/>
      <c r="C691" s="50"/>
      <c r="D691" s="50"/>
      <c r="E691" s="50"/>
    </row>
    <row r="692" ht="14.25" customHeight="1">
      <c r="B692" s="50"/>
      <c r="C692" s="50"/>
      <c r="D692" s="50"/>
      <c r="E692" s="50"/>
    </row>
    <row r="693" ht="14.25" customHeight="1">
      <c r="B693" s="50"/>
      <c r="C693" s="50"/>
      <c r="D693" s="50"/>
      <c r="E693" s="50"/>
    </row>
    <row r="694" ht="14.25" customHeight="1">
      <c r="B694" s="50"/>
      <c r="C694" s="50"/>
      <c r="D694" s="50"/>
      <c r="E694" s="50"/>
    </row>
    <row r="695" ht="14.25" customHeight="1">
      <c r="B695" s="50"/>
      <c r="C695" s="50"/>
      <c r="D695" s="50"/>
      <c r="E695" s="50"/>
    </row>
    <row r="696" ht="14.25" customHeight="1">
      <c r="B696" s="50"/>
      <c r="C696" s="50"/>
      <c r="D696" s="50"/>
      <c r="E696" s="50"/>
    </row>
    <row r="697" ht="14.25" customHeight="1">
      <c r="B697" s="50"/>
      <c r="C697" s="50"/>
      <c r="D697" s="50"/>
      <c r="E697" s="50"/>
    </row>
    <row r="698" ht="14.25" customHeight="1">
      <c r="B698" s="50"/>
      <c r="C698" s="50"/>
      <c r="D698" s="50"/>
      <c r="E698" s="50"/>
    </row>
    <row r="699" ht="14.25" customHeight="1">
      <c r="B699" s="50"/>
      <c r="C699" s="50"/>
      <c r="D699" s="50"/>
      <c r="E699" s="50"/>
    </row>
    <row r="700" ht="14.25" customHeight="1">
      <c r="B700" s="50"/>
      <c r="C700" s="50"/>
      <c r="D700" s="50"/>
      <c r="E700" s="50"/>
    </row>
    <row r="701" ht="14.25" customHeight="1">
      <c r="B701" s="50"/>
      <c r="C701" s="50"/>
      <c r="D701" s="50"/>
      <c r="E701" s="50"/>
    </row>
    <row r="702" ht="14.25" customHeight="1">
      <c r="B702" s="50"/>
      <c r="C702" s="50"/>
      <c r="D702" s="50"/>
      <c r="E702" s="50"/>
    </row>
    <row r="703" ht="14.25" customHeight="1">
      <c r="B703" s="50"/>
      <c r="C703" s="50"/>
      <c r="D703" s="50"/>
      <c r="E703" s="50"/>
    </row>
    <row r="704" ht="14.25" customHeight="1">
      <c r="B704" s="50"/>
      <c r="C704" s="50"/>
      <c r="D704" s="50"/>
      <c r="E704" s="50"/>
    </row>
    <row r="705" ht="14.25" customHeight="1">
      <c r="B705" s="50"/>
      <c r="C705" s="50"/>
      <c r="D705" s="50"/>
      <c r="E705" s="50"/>
    </row>
    <row r="706" ht="14.25" customHeight="1">
      <c r="B706" s="50"/>
      <c r="C706" s="50"/>
      <c r="D706" s="50"/>
      <c r="E706" s="50"/>
    </row>
    <row r="707" ht="14.25" customHeight="1">
      <c r="B707" s="50"/>
      <c r="C707" s="50"/>
      <c r="D707" s="50"/>
      <c r="E707" s="50"/>
    </row>
    <row r="708" ht="14.25" customHeight="1">
      <c r="B708" s="50"/>
      <c r="C708" s="50"/>
      <c r="D708" s="50"/>
      <c r="E708" s="50"/>
    </row>
    <row r="709" ht="14.25" customHeight="1">
      <c r="B709" s="50"/>
      <c r="C709" s="50"/>
      <c r="D709" s="50"/>
      <c r="E709" s="50"/>
    </row>
    <row r="710" ht="14.25" customHeight="1">
      <c r="B710" s="50"/>
      <c r="C710" s="50"/>
      <c r="D710" s="50"/>
      <c r="E710" s="50"/>
    </row>
    <row r="711" ht="14.25" customHeight="1">
      <c r="B711" s="50"/>
      <c r="C711" s="50"/>
      <c r="D711" s="50"/>
      <c r="E711" s="50"/>
    </row>
    <row r="712" ht="14.25" customHeight="1">
      <c r="B712" s="50"/>
      <c r="C712" s="50"/>
      <c r="D712" s="50"/>
      <c r="E712" s="50"/>
    </row>
    <row r="713" ht="14.25" customHeight="1">
      <c r="B713" s="50"/>
      <c r="C713" s="50"/>
      <c r="D713" s="50"/>
      <c r="E713" s="50"/>
    </row>
    <row r="714" ht="14.25" customHeight="1">
      <c r="B714" s="50"/>
      <c r="C714" s="50"/>
      <c r="D714" s="50"/>
      <c r="E714" s="50"/>
    </row>
    <row r="715" ht="14.25" customHeight="1">
      <c r="B715" s="50"/>
      <c r="C715" s="50"/>
      <c r="D715" s="50"/>
      <c r="E715" s="50"/>
    </row>
    <row r="716" ht="14.25" customHeight="1">
      <c r="B716" s="50"/>
      <c r="C716" s="50"/>
      <c r="D716" s="50"/>
      <c r="E716" s="50"/>
    </row>
    <row r="717" ht="14.25" customHeight="1">
      <c r="B717" s="50"/>
      <c r="C717" s="50"/>
      <c r="D717" s="50"/>
      <c r="E717" s="50"/>
    </row>
    <row r="718" ht="14.25" customHeight="1">
      <c r="B718" s="50"/>
      <c r="C718" s="50"/>
      <c r="D718" s="50"/>
      <c r="E718" s="50"/>
    </row>
    <row r="719" ht="14.25" customHeight="1">
      <c r="B719" s="50"/>
      <c r="C719" s="50"/>
      <c r="D719" s="50"/>
      <c r="E719" s="50"/>
    </row>
    <row r="720" ht="14.25" customHeight="1">
      <c r="B720" s="50"/>
      <c r="C720" s="50"/>
      <c r="D720" s="50"/>
      <c r="E720" s="50"/>
    </row>
    <row r="721" ht="14.25" customHeight="1">
      <c r="B721" s="50"/>
      <c r="C721" s="50"/>
      <c r="D721" s="50"/>
      <c r="E721" s="50"/>
    </row>
    <row r="722" ht="14.25" customHeight="1">
      <c r="B722" s="50"/>
      <c r="C722" s="50"/>
      <c r="D722" s="50"/>
      <c r="E722" s="50"/>
    </row>
    <row r="723" ht="14.25" customHeight="1">
      <c r="B723" s="50"/>
      <c r="C723" s="50"/>
      <c r="D723" s="50"/>
      <c r="E723" s="50"/>
    </row>
    <row r="724" ht="14.25" customHeight="1">
      <c r="B724" s="50"/>
      <c r="C724" s="50"/>
      <c r="D724" s="50"/>
      <c r="E724" s="50"/>
    </row>
    <row r="725" ht="14.25" customHeight="1">
      <c r="B725" s="50"/>
      <c r="C725" s="50"/>
      <c r="D725" s="50"/>
      <c r="E725" s="50"/>
    </row>
    <row r="726" ht="14.25" customHeight="1">
      <c r="B726" s="50"/>
      <c r="C726" s="50"/>
      <c r="D726" s="50"/>
      <c r="E726" s="50"/>
    </row>
    <row r="727" ht="14.25" customHeight="1">
      <c r="B727" s="50"/>
      <c r="C727" s="50"/>
      <c r="D727" s="50"/>
      <c r="E727" s="50"/>
    </row>
    <row r="728" ht="14.25" customHeight="1">
      <c r="B728" s="50"/>
      <c r="C728" s="50"/>
      <c r="D728" s="50"/>
      <c r="E728" s="50"/>
    </row>
    <row r="729" ht="14.25" customHeight="1">
      <c r="B729" s="50"/>
      <c r="C729" s="50"/>
      <c r="D729" s="50"/>
      <c r="E729" s="50"/>
    </row>
    <row r="730" ht="14.25" customHeight="1">
      <c r="B730" s="50"/>
      <c r="C730" s="50"/>
      <c r="D730" s="50"/>
      <c r="E730" s="50"/>
    </row>
    <row r="731" ht="14.25" customHeight="1">
      <c r="B731" s="50"/>
      <c r="C731" s="50"/>
      <c r="D731" s="50"/>
      <c r="E731" s="50"/>
    </row>
    <row r="732" ht="14.25" customHeight="1">
      <c r="B732" s="50"/>
      <c r="C732" s="50"/>
      <c r="D732" s="50"/>
      <c r="E732" s="50"/>
    </row>
    <row r="733" ht="14.25" customHeight="1">
      <c r="B733" s="50"/>
      <c r="C733" s="50"/>
      <c r="D733" s="50"/>
      <c r="E733" s="50"/>
    </row>
    <row r="734" ht="14.25" customHeight="1">
      <c r="B734" s="50"/>
      <c r="C734" s="50"/>
      <c r="D734" s="50"/>
      <c r="E734" s="50"/>
    </row>
    <row r="735" ht="14.25" customHeight="1">
      <c r="B735" s="50"/>
      <c r="C735" s="50"/>
      <c r="D735" s="50"/>
      <c r="E735" s="50"/>
    </row>
    <row r="736" ht="14.25" customHeight="1">
      <c r="B736" s="50"/>
      <c r="C736" s="50"/>
      <c r="D736" s="50"/>
      <c r="E736" s="50"/>
    </row>
    <row r="737" ht="14.25" customHeight="1">
      <c r="B737" s="50"/>
      <c r="C737" s="50"/>
      <c r="D737" s="50"/>
      <c r="E737" s="50"/>
    </row>
    <row r="738" ht="14.25" customHeight="1">
      <c r="B738" s="50"/>
      <c r="C738" s="50"/>
      <c r="D738" s="50"/>
      <c r="E738" s="50"/>
    </row>
    <row r="739" ht="14.25" customHeight="1">
      <c r="B739" s="50"/>
      <c r="C739" s="50"/>
      <c r="D739" s="50"/>
      <c r="E739" s="50"/>
    </row>
    <row r="740" ht="14.25" customHeight="1">
      <c r="B740" s="50"/>
      <c r="C740" s="50"/>
      <c r="D740" s="50"/>
      <c r="E740" s="50"/>
    </row>
    <row r="741" ht="14.25" customHeight="1">
      <c r="B741" s="50"/>
      <c r="C741" s="50"/>
      <c r="D741" s="50"/>
      <c r="E741" s="50"/>
    </row>
    <row r="742" ht="14.25" customHeight="1">
      <c r="B742" s="50"/>
      <c r="C742" s="50"/>
      <c r="D742" s="50"/>
      <c r="E742" s="50"/>
    </row>
    <row r="743" ht="14.25" customHeight="1">
      <c r="B743" s="50"/>
      <c r="C743" s="50"/>
      <c r="D743" s="50"/>
      <c r="E743" s="50"/>
    </row>
    <row r="744" ht="14.25" customHeight="1">
      <c r="B744" s="50"/>
      <c r="C744" s="50"/>
      <c r="D744" s="50"/>
      <c r="E744" s="50"/>
    </row>
    <row r="745" ht="14.25" customHeight="1">
      <c r="B745" s="50"/>
      <c r="C745" s="50"/>
      <c r="D745" s="50"/>
      <c r="E745" s="50"/>
    </row>
    <row r="746" ht="14.25" customHeight="1">
      <c r="B746" s="50"/>
      <c r="C746" s="50"/>
      <c r="D746" s="50"/>
      <c r="E746" s="50"/>
    </row>
    <row r="747" ht="14.25" customHeight="1">
      <c r="B747" s="50"/>
      <c r="C747" s="50"/>
      <c r="D747" s="50"/>
      <c r="E747" s="50"/>
    </row>
    <row r="748" ht="14.25" customHeight="1">
      <c r="B748" s="50"/>
      <c r="C748" s="50"/>
      <c r="D748" s="50"/>
      <c r="E748" s="50"/>
    </row>
    <row r="749" ht="14.25" customHeight="1">
      <c r="B749" s="50"/>
      <c r="C749" s="50"/>
      <c r="D749" s="50"/>
      <c r="E749" s="50"/>
    </row>
    <row r="750" ht="14.25" customHeight="1">
      <c r="B750" s="50"/>
      <c r="C750" s="50"/>
      <c r="D750" s="50"/>
      <c r="E750" s="50"/>
    </row>
    <row r="751" ht="14.25" customHeight="1">
      <c r="B751" s="50"/>
      <c r="C751" s="50"/>
      <c r="D751" s="50"/>
      <c r="E751" s="50"/>
    </row>
    <row r="752" ht="14.25" customHeight="1">
      <c r="B752" s="50"/>
      <c r="C752" s="50"/>
      <c r="D752" s="50"/>
      <c r="E752" s="50"/>
    </row>
    <row r="753" ht="14.25" customHeight="1">
      <c r="B753" s="50"/>
      <c r="C753" s="50"/>
      <c r="D753" s="50"/>
      <c r="E753" s="50"/>
    </row>
    <row r="754" ht="14.25" customHeight="1">
      <c r="B754" s="50"/>
      <c r="C754" s="50"/>
      <c r="D754" s="50"/>
      <c r="E754" s="50"/>
    </row>
    <row r="755" ht="14.25" customHeight="1">
      <c r="B755" s="50"/>
      <c r="C755" s="50"/>
      <c r="D755" s="50"/>
      <c r="E755" s="50"/>
    </row>
    <row r="756" ht="14.25" customHeight="1">
      <c r="B756" s="50"/>
      <c r="C756" s="50"/>
      <c r="D756" s="50"/>
      <c r="E756" s="50"/>
    </row>
    <row r="757" ht="14.25" customHeight="1">
      <c r="B757" s="50"/>
      <c r="C757" s="50"/>
      <c r="D757" s="50"/>
      <c r="E757" s="50"/>
    </row>
    <row r="758" ht="14.25" customHeight="1">
      <c r="B758" s="50"/>
      <c r="C758" s="50"/>
      <c r="D758" s="50"/>
      <c r="E758" s="50"/>
    </row>
    <row r="759" ht="14.25" customHeight="1">
      <c r="B759" s="50"/>
      <c r="C759" s="50"/>
      <c r="D759" s="50"/>
      <c r="E759" s="50"/>
    </row>
    <row r="760" ht="14.25" customHeight="1">
      <c r="B760" s="50"/>
      <c r="C760" s="50"/>
      <c r="D760" s="50"/>
      <c r="E760" s="50"/>
    </row>
    <row r="761" ht="14.25" customHeight="1">
      <c r="B761" s="50"/>
      <c r="C761" s="50"/>
      <c r="D761" s="50"/>
      <c r="E761" s="50"/>
    </row>
    <row r="762" ht="14.25" customHeight="1">
      <c r="B762" s="50"/>
      <c r="C762" s="50"/>
      <c r="D762" s="50"/>
      <c r="E762" s="50"/>
    </row>
    <row r="763" ht="14.25" customHeight="1">
      <c r="B763" s="50"/>
      <c r="C763" s="50"/>
      <c r="D763" s="50"/>
      <c r="E763" s="50"/>
    </row>
    <row r="764" ht="14.25" customHeight="1">
      <c r="B764" s="50"/>
      <c r="C764" s="50"/>
      <c r="D764" s="50"/>
      <c r="E764" s="50"/>
    </row>
    <row r="765" ht="14.25" customHeight="1">
      <c r="B765" s="50"/>
      <c r="C765" s="50"/>
      <c r="D765" s="50"/>
      <c r="E765" s="50"/>
    </row>
    <row r="766" ht="14.25" customHeight="1">
      <c r="B766" s="50"/>
      <c r="C766" s="50"/>
      <c r="D766" s="50"/>
      <c r="E766" s="50"/>
    </row>
    <row r="767" ht="14.25" customHeight="1">
      <c r="B767" s="50"/>
      <c r="C767" s="50"/>
      <c r="D767" s="50"/>
      <c r="E767" s="50"/>
    </row>
    <row r="768" ht="14.25" customHeight="1">
      <c r="B768" s="50"/>
      <c r="C768" s="50"/>
      <c r="D768" s="50"/>
      <c r="E768" s="50"/>
    </row>
    <row r="769" ht="14.25" customHeight="1">
      <c r="B769" s="50"/>
      <c r="C769" s="50"/>
      <c r="D769" s="50"/>
      <c r="E769" s="50"/>
    </row>
    <row r="770" ht="14.25" customHeight="1">
      <c r="B770" s="50"/>
      <c r="C770" s="50"/>
      <c r="D770" s="50"/>
      <c r="E770" s="50"/>
    </row>
    <row r="771" ht="14.25" customHeight="1">
      <c r="B771" s="50"/>
      <c r="C771" s="50"/>
      <c r="D771" s="50"/>
      <c r="E771" s="50"/>
    </row>
    <row r="772" ht="14.25" customHeight="1">
      <c r="B772" s="50"/>
      <c r="C772" s="50"/>
      <c r="D772" s="50"/>
      <c r="E772" s="50"/>
    </row>
    <row r="773" ht="14.25" customHeight="1">
      <c r="B773" s="50"/>
      <c r="C773" s="50"/>
      <c r="D773" s="50"/>
      <c r="E773" s="50"/>
    </row>
    <row r="774" ht="14.25" customHeight="1">
      <c r="B774" s="50"/>
      <c r="C774" s="50"/>
      <c r="D774" s="50"/>
      <c r="E774" s="50"/>
    </row>
    <row r="775" ht="14.25" customHeight="1">
      <c r="B775" s="50"/>
      <c r="C775" s="50"/>
      <c r="D775" s="50"/>
      <c r="E775" s="50"/>
    </row>
    <row r="776" ht="14.25" customHeight="1">
      <c r="B776" s="50"/>
      <c r="C776" s="50"/>
      <c r="D776" s="50"/>
      <c r="E776" s="50"/>
    </row>
    <row r="777" ht="14.25" customHeight="1">
      <c r="B777" s="50"/>
      <c r="C777" s="50"/>
      <c r="D777" s="50"/>
      <c r="E777" s="50"/>
    </row>
    <row r="778" ht="14.25" customHeight="1">
      <c r="B778" s="50"/>
      <c r="C778" s="50"/>
      <c r="D778" s="50"/>
      <c r="E778" s="50"/>
    </row>
    <row r="779" ht="14.25" customHeight="1">
      <c r="B779" s="50"/>
      <c r="C779" s="50"/>
      <c r="D779" s="50"/>
      <c r="E779" s="50"/>
    </row>
    <row r="780" ht="14.25" customHeight="1">
      <c r="B780" s="50"/>
      <c r="C780" s="50"/>
      <c r="D780" s="50"/>
      <c r="E780" s="50"/>
    </row>
    <row r="781" ht="14.25" customHeight="1">
      <c r="B781" s="50"/>
      <c r="C781" s="50"/>
      <c r="D781" s="50"/>
      <c r="E781" s="50"/>
    </row>
    <row r="782" ht="14.25" customHeight="1">
      <c r="B782" s="50"/>
      <c r="C782" s="50"/>
      <c r="D782" s="50"/>
      <c r="E782" s="50"/>
    </row>
    <row r="783" ht="14.25" customHeight="1">
      <c r="B783" s="50"/>
      <c r="C783" s="50"/>
      <c r="D783" s="50"/>
      <c r="E783" s="50"/>
    </row>
    <row r="784" ht="14.25" customHeight="1">
      <c r="B784" s="50"/>
      <c r="C784" s="50"/>
      <c r="D784" s="50"/>
      <c r="E784" s="50"/>
    </row>
    <row r="785" ht="14.25" customHeight="1">
      <c r="B785" s="50"/>
      <c r="C785" s="50"/>
      <c r="D785" s="50"/>
      <c r="E785" s="50"/>
    </row>
    <row r="786" ht="14.25" customHeight="1">
      <c r="B786" s="50"/>
      <c r="C786" s="50"/>
      <c r="D786" s="50"/>
      <c r="E786" s="50"/>
    </row>
    <row r="787" ht="14.25" customHeight="1">
      <c r="B787" s="50"/>
      <c r="C787" s="50"/>
      <c r="D787" s="50"/>
      <c r="E787" s="50"/>
    </row>
    <row r="788" ht="14.25" customHeight="1">
      <c r="B788" s="50"/>
      <c r="C788" s="50"/>
      <c r="D788" s="50"/>
      <c r="E788" s="50"/>
    </row>
    <row r="789" ht="14.25" customHeight="1">
      <c r="B789" s="50"/>
      <c r="C789" s="50"/>
      <c r="D789" s="50"/>
      <c r="E789" s="50"/>
    </row>
    <row r="790" ht="14.25" customHeight="1">
      <c r="B790" s="50"/>
      <c r="C790" s="50"/>
      <c r="D790" s="50"/>
      <c r="E790" s="50"/>
    </row>
    <row r="791" ht="14.25" customHeight="1">
      <c r="B791" s="50"/>
      <c r="C791" s="50"/>
      <c r="D791" s="50"/>
      <c r="E791" s="50"/>
    </row>
    <row r="792" ht="14.25" customHeight="1">
      <c r="B792" s="50"/>
      <c r="C792" s="50"/>
      <c r="D792" s="50"/>
      <c r="E792" s="50"/>
    </row>
    <row r="793" ht="14.25" customHeight="1">
      <c r="B793" s="50"/>
      <c r="C793" s="50"/>
      <c r="D793" s="50"/>
      <c r="E793" s="50"/>
    </row>
    <row r="794" ht="14.25" customHeight="1">
      <c r="B794" s="50"/>
      <c r="C794" s="50"/>
      <c r="D794" s="50"/>
      <c r="E794" s="50"/>
    </row>
    <row r="795" ht="14.25" customHeight="1">
      <c r="B795" s="50"/>
      <c r="C795" s="50"/>
      <c r="D795" s="50"/>
      <c r="E795" s="50"/>
    </row>
    <row r="796" ht="14.25" customHeight="1">
      <c r="B796" s="50"/>
      <c r="C796" s="50"/>
      <c r="D796" s="50"/>
      <c r="E796" s="50"/>
    </row>
    <row r="797" ht="14.25" customHeight="1">
      <c r="B797" s="50"/>
      <c r="C797" s="50"/>
      <c r="D797" s="50"/>
      <c r="E797" s="50"/>
    </row>
    <row r="798" ht="14.25" customHeight="1">
      <c r="B798" s="50"/>
      <c r="C798" s="50"/>
      <c r="D798" s="50"/>
      <c r="E798" s="50"/>
    </row>
    <row r="799" ht="14.25" customHeight="1">
      <c r="B799" s="50"/>
      <c r="C799" s="50"/>
      <c r="D799" s="50"/>
      <c r="E799" s="50"/>
    </row>
    <row r="800" ht="14.25" customHeight="1">
      <c r="B800" s="50"/>
      <c r="C800" s="50"/>
      <c r="D800" s="50"/>
      <c r="E800" s="50"/>
    </row>
    <row r="801" ht="14.25" customHeight="1">
      <c r="B801" s="50"/>
      <c r="C801" s="50"/>
      <c r="D801" s="50"/>
      <c r="E801" s="50"/>
    </row>
    <row r="802" ht="14.25" customHeight="1">
      <c r="B802" s="50"/>
      <c r="C802" s="50"/>
      <c r="D802" s="50"/>
      <c r="E802" s="50"/>
    </row>
    <row r="803" ht="14.25" customHeight="1">
      <c r="B803" s="50"/>
      <c r="C803" s="50"/>
      <c r="D803" s="50"/>
      <c r="E803" s="50"/>
    </row>
    <row r="804" ht="14.25" customHeight="1">
      <c r="B804" s="50"/>
      <c r="C804" s="50"/>
      <c r="D804" s="50"/>
      <c r="E804" s="50"/>
    </row>
    <row r="805" ht="14.25" customHeight="1">
      <c r="B805" s="50"/>
      <c r="C805" s="50"/>
      <c r="D805" s="50"/>
      <c r="E805" s="50"/>
    </row>
    <row r="806" ht="14.25" customHeight="1">
      <c r="B806" s="50"/>
      <c r="C806" s="50"/>
      <c r="D806" s="50"/>
      <c r="E806" s="50"/>
    </row>
    <row r="807" ht="14.25" customHeight="1">
      <c r="B807" s="50"/>
      <c r="C807" s="50"/>
      <c r="D807" s="50"/>
      <c r="E807" s="50"/>
    </row>
    <row r="808" ht="14.25" customHeight="1">
      <c r="B808" s="50"/>
      <c r="C808" s="50"/>
      <c r="D808" s="50"/>
      <c r="E808" s="50"/>
    </row>
    <row r="809" ht="14.25" customHeight="1">
      <c r="B809" s="50"/>
      <c r="C809" s="50"/>
      <c r="D809" s="50"/>
      <c r="E809" s="50"/>
    </row>
    <row r="810" ht="14.25" customHeight="1">
      <c r="B810" s="50"/>
      <c r="C810" s="50"/>
      <c r="D810" s="50"/>
      <c r="E810" s="50"/>
    </row>
    <row r="811" ht="14.25" customHeight="1">
      <c r="B811" s="50"/>
      <c r="C811" s="50"/>
      <c r="D811" s="50"/>
      <c r="E811" s="50"/>
    </row>
    <row r="812" ht="14.25" customHeight="1">
      <c r="B812" s="50"/>
      <c r="C812" s="50"/>
      <c r="D812" s="50"/>
      <c r="E812" s="50"/>
    </row>
    <row r="813" ht="14.25" customHeight="1">
      <c r="B813" s="50"/>
      <c r="C813" s="50"/>
      <c r="D813" s="50"/>
      <c r="E813" s="50"/>
    </row>
    <row r="814" ht="14.25" customHeight="1">
      <c r="B814" s="50"/>
      <c r="C814" s="50"/>
      <c r="D814" s="50"/>
      <c r="E814" s="50"/>
    </row>
    <row r="815" ht="14.25" customHeight="1">
      <c r="B815" s="50"/>
      <c r="C815" s="50"/>
      <c r="D815" s="50"/>
      <c r="E815" s="50"/>
    </row>
    <row r="816" ht="14.25" customHeight="1">
      <c r="B816" s="50"/>
      <c r="C816" s="50"/>
      <c r="D816" s="50"/>
      <c r="E816" s="50"/>
    </row>
    <row r="817" ht="14.25" customHeight="1">
      <c r="B817" s="50"/>
      <c r="C817" s="50"/>
      <c r="D817" s="50"/>
      <c r="E817" s="50"/>
    </row>
    <row r="818" ht="14.25" customHeight="1">
      <c r="B818" s="50"/>
      <c r="C818" s="50"/>
      <c r="D818" s="50"/>
      <c r="E818" s="50"/>
    </row>
    <row r="819" ht="14.25" customHeight="1">
      <c r="B819" s="50"/>
      <c r="C819" s="50"/>
      <c r="D819" s="50"/>
      <c r="E819" s="50"/>
    </row>
    <row r="820" ht="14.25" customHeight="1">
      <c r="B820" s="50"/>
      <c r="C820" s="50"/>
      <c r="D820" s="50"/>
      <c r="E820" s="50"/>
    </row>
    <row r="821" ht="14.25" customHeight="1">
      <c r="B821" s="50"/>
      <c r="C821" s="50"/>
      <c r="D821" s="50"/>
      <c r="E821" s="50"/>
    </row>
    <row r="822" ht="14.25" customHeight="1">
      <c r="B822" s="50"/>
      <c r="C822" s="50"/>
      <c r="D822" s="50"/>
      <c r="E822" s="50"/>
    </row>
    <row r="823" ht="14.25" customHeight="1">
      <c r="B823" s="50"/>
      <c r="C823" s="50"/>
      <c r="D823" s="50"/>
      <c r="E823" s="50"/>
    </row>
    <row r="824" ht="14.25" customHeight="1">
      <c r="B824" s="50"/>
      <c r="C824" s="50"/>
      <c r="D824" s="50"/>
      <c r="E824" s="50"/>
    </row>
    <row r="825" ht="14.25" customHeight="1">
      <c r="B825" s="50"/>
      <c r="C825" s="50"/>
      <c r="D825" s="50"/>
      <c r="E825" s="50"/>
    </row>
    <row r="826" ht="14.25" customHeight="1">
      <c r="B826" s="50"/>
      <c r="C826" s="50"/>
      <c r="D826" s="50"/>
      <c r="E826" s="50"/>
    </row>
    <row r="827" ht="14.25" customHeight="1">
      <c r="B827" s="50"/>
      <c r="C827" s="50"/>
      <c r="D827" s="50"/>
      <c r="E827" s="50"/>
    </row>
    <row r="828" ht="14.25" customHeight="1">
      <c r="B828" s="50"/>
      <c r="C828" s="50"/>
      <c r="D828" s="50"/>
      <c r="E828" s="50"/>
    </row>
    <row r="829" ht="14.25" customHeight="1">
      <c r="B829" s="50"/>
      <c r="C829" s="50"/>
      <c r="D829" s="50"/>
      <c r="E829" s="50"/>
    </row>
    <row r="830" ht="14.25" customHeight="1">
      <c r="B830" s="50"/>
      <c r="C830" s="50"/>
      <c r="D830" s="50"/>
      <c r="E830" s="50"/>
    </row>
    <row r="831" ht="14.25" customHeight="1">
      <c r="B831" s="50"/>
      <c r="C831" s="50"/>
      <c r="D831" s="50"/>
      <c r="E831" s="50"/>
    </row>
    <row r="832" ht="14.25" customHeight="1">
      <c r="B832" s="50"/>
      <c r="C832" s="50"/>
      <c r="D832" s="50"/>
      <c r="E832" s="50"/>
    </row>
    <row r="833" ht="14.25" customHeight="1">
      <c r="B833" s="50"/>
      <c r="C833" s="50"/>
      <c r="D833" s="50"/>
      <c r="E833" s="50"/>
    </row>
    <row r="834" ht="14.25" customHeight="1">
      <c r="B834" s="50"/>
      <c r="C834" s="50"/>
      <c r="D834" s="50"/>
      <c r="E834" s="50"/>
    </row>
    <row r="835" ht="14.25" customHeight="1">
      <c r="B835" s="50"/>
      <c r="C835" s="50"/>
      <c r="D835" s="50"/>
      <c r="E835" s="50"/>
    </row>
    <row r="836" ht="14.25" customHeight="1">
      <c r="B836" s="50"/>
      <c r="C836" s="50"/>
      <c r="D836" s="50"/>
      <c r="E836" s="50"/>
    </row>
    <row r="837" ht="14.25" customHeight="1">
      <c r="B837" s="50"/>
      <c r="C837" s="50"/>
      <c r="D837" s="50"/>
      <c r="E837" s="50"/>
    </row>
    <row r="838" ht="14.25" customHeight="1">
      <c r="B838" s="50"/>
      <c r="C838" s="50"/>
      <c r="D838" s="50"/>
      <c r="E838" s="50"/>
    </row>
    <row r="839" ht="14.25" customHeight="1">
      <c r="B839" s="50"/>
      <c r="C839" s="50"/>
      <c r="D839" s="50"/>
      <c r="E839" s="50"/>
    </row>
    <row r="840" ht="14.25" customHeight="1">
      <c r="B840" s="50"/>
      <c r="C840" s="50"/>
      <c r="D840" s="50"/>
      <c r="E840" s="50"/>
    </row>
    <row r="841" ht="14.25" customHeight="1">
      <c r="B841" s="50"/>
      <c r="C841" s="50"/>
      <c r="D841" s="50"/>
      <c r="E841" s="50"/>
    </row>
    <row r="842" ht="14.25" customHeight="1">
      <c r="B842" s="50"/>
      <c r="C842" s="50"/>
      <c r="D842" s="50"/>
      <c r="E842" s="50"/>
    </row>
    <row r="843" ht="14.25" customHeight="1">
      <c r="B843" s="50"/>
      <c r="C843" s="50"/>
      <c r="D843" s="50"/>
      <c r="E843" s="50"/>
    </row>
    <row r="844" ht="14.25" customHeight="1">
      <c r="B844" s="50"/>
      <c r="C844" s="50"/>
      <c r="D844" s="50"/>
      <c r="E844" s="50"/>
    </row>
    <row r="845" ht="14.25" customHeight="1">
      <c r="B845" s="50"/>
      <c r="C845" s="50"/>
      <c r="D845" s="50"/>
      <c r="E845" s="50"/>
    </row>
    <row r="846" ht="14.25" customHeight="1">
      <c r="B846" s="50"/>
      <c r="C846" s="50"/>
      <c r="D846" s="50"/>
      <c r="E846" s="50"/>
    </row>
    <row r="847" ht="14.25" customHeight="1">
      <c r="B847" s="50"/>
      <c r="C847" s="50"/>
      <c r="D847" s="50"/>
      <c r="E847" s="50"/>
    </row>
    <row r="848" ht="14.25" customHeight="1">
      <c r="B848" s="50"/>
      <c r="C848" s="50"/>
      <c r="D848" s="50"/>
      <c r="E848" s="50"/>
    </row>
    <row r="849" ht="14.25" customHeight="1">
      <c r="B849" s="50"/>
      <c r="C849" s="50"/>
      <c r="D849" s="50"/>
      <c r="E849" s="50"/>
    </row>
    <row r="850" ht="14.25" customHeight="1">
      <c r="B850" s="50"/>
      <c r="C850" s="50"/>
      <c r="D850" s="50"/>
      <c r="E850" s="50"/>
    </row>
    <row r="851" ht="14.25" customHeight="1">
      <c r="B851" s="50"/>
      <c r="C851" s="50"/>
      <c r="D851" s="50"/>
      <c r="E851" s="50"/>
    </row>
    <row r="852" ht="14.25" customHeight="1">
      <c r="B852" s="50"/>
      <c r="C852" s="50"/>
      <c r="D852" s="50"/>
      <c r="E852" s="50"/>
    </row>
    <row r="853" ht="14.25" customHeight="1">
      <c r="B853" s="50"/>
      <c r="C853" s="50"/>
      <c r="D853" s="50"/>
      <c r="E853" s="50"/>
    </row>
    <row r="854" ht="14.25" customHeight="1">
      <c r="B854" s="50"/>
      <c r="C854" s="50"/>
      <c r="D854" s="50"/>
      <c r="E854" s="50"/>
    </row>
    <row r="855" ht="14.25" customHeight="1">
      <c r="B855" s="50"/>
      <c r="C855" s="50"/>
      <c r="D855" s="50"/>
      <c r="E855" s="50"/>
    </row>
    <row r="856" ht="14.25" customHeight="1">
      <c r="B856" s="50"/>
      <c r="C856" s="50"/>
      <c r="D856" s="50"/>
      <c r="E856" s="50"/>
    </row>
    <row r="857" ht="14.25" customHeight="1">
      <c r="B857" s="50"/>
      <c r="C857" s="50"/>
      <c r="D857" s="50"/>
      <c r="E857" s="50"/>
    </row>
    <row r="858" ht="14.25" customHeight="1">
      <c r="B858" s="50"/>
      <c r="C858" s="50"/>
      <c r="D858" s="50"/>
      <c r="E858" s="50"/>
    </row>
    <row r="859" ht="14.25" customHeight="1">
      <c r="B859" s="50"/>
      <c r="C859" s="50"/>
      <c r="D859" s="50"/>
      <c r="E859" s="50"/>
    </row>
    <row r="860" ht="14.25" customHeight="1">
      <c r="B860" s="50"/>
      <c r="C860" s="50"/>
      <c r="D860" s="50"/>
      <c r="E860" s="50"/>
    </row>
    <row r="861" ht="14.25" customHeight="1">
      <c r="B861" s="50"/>
      <c r="C861" s="50"/>
      <c r="D861" s="50"/>
      <c r="E861" s="50"/>
    </row>
    <row r="862" ht="14.25" customHeight="1">
      <c r="B862" s="50"/>
      <c r="C862" s="50"/>
      <c r="D862" s="50"/>
      <c r="E862" s="50"/>
    </row>
    <row r="863" ht="14.25" customHeight="1">
      <c r="B863" s="50"/>
      <c r="C863" s="50"/>
      <c r="D863" s="50"/>
      <c r="E863" s="50"/>
    </row>
    <row r="864" ht="14.25" customHeight="1">
      <c r="B864" s="50"/>
      <c r="C864" s="50"/>
      <c r="D864" s="50"/>
      <c r="E864" s="50"/>
    </row>
    <row r="865" ht="14.25" customHeight="1">
      <c r="B865" s="50"/>
      <c r="C865" s="50"/>
      <c r="D865" s="50"/>
      <c r="E865" s="50"/>
    </row>
    <row r="866" ht="14.25" customHeight="1">
      <c r="B866" s="50"/>
      <c r="C866" s="50"/>
      <c r="D866" s="50"/>
      <c r="E866" s="50"/>
    </row>
    <row r="867" ht="14.25" customHeight="1">
      <c r="B867" s="50"/>
      <c r="C867" s="50"/>
      <c r="D867" s="50"/>
      <c r="E867" s="50"/>
    </row>
    <row r="868" ht="14.25" customHeight="1">
      <c r="B868" s="50"/>
      <c r="C868" s="50"/>
      <c r="D868" s="50"/>
      <c r="E868" s="50"/>
    </row>
    <row r="869" ht="14.25" customHeight="1">
      <c r="B869" s="50"/>
      <c r="C869" s="50"/>
      <c r="D869" s="50"/>
      <c r="E869" s="50"/>
    </row>
    <row r="870" ht="14.25" customHeight="1">
      <c r="B870" s="50"/>
      <c r="C870" s="50"/>
      <c r="D870" s="50"/>
      <c r="E870" s="50"/>
    </row>
    <row r="871" ht="14.25" customHeight="1">
      <c r="B871" s="50"/>
      <c r="C871" s="50"/>
      <c r="D871" s="50"/>
      <c r="E871" s="50"/>
    </row>
    <row r="872" ht="14.25" customHeight="1">
      <c r="B872" s="50"/>
      <c r="C872" s="50"/>
      <c r="D872" s="50"/>
      <c r="E872" s="50"/>
    </row>
    <row r="873" ht="14.25" customHeight="1">
      <c r="B873" s="50"/>
      <c r="C873" s="50"/>
      <c r="D873" s="50"/>
      <c r="E873" s="50"/>
    </row>
    <row r="874" ht="14.25" customHeight="1">
      <c r="B874" s="50"/>
      <c r="C874" s="50"/>
      <c r="D874" s="50"/>
      <c r="E874" s="50"/>
    </row>
    <row r="875" ht="14.25" customHeight="1">
      <c r="B875" s="50"/>
      <c r="C875" s="50"/>
      <c r="D875" s="50"/>
      <c r="E875" s="50"/>
    </row>
    <row r="876" ht="14.25" customHeight="1">
      <c r="B876" s="50"/>
      <c r="C876" s="50"/>
      <c r="D876" s="50"/>
      <c r="E876" s="50"/>
    </row>
    <row r="877" ht="14.25" customHeight="1">
      <c r="B877" s="50"/>
      <c r="C877" s="50"/>
      <c r="D877" s="50"/>
      <c r="E877" s="50"/>
    </row>
    <row r="878" ht="14.25" customHeight="1">
      <c r="B878" s="50"/>
      <c r="C878" s="50"/>
      <c r="D878" s="50"/>
      <c r="E878" s="50"/>
    </row>
    <row r="879" ht="14.25" customHeight="1">
      <c r="B879" s="50"/>
      <c r="C879" s="50"/>
      <c r="D879" s="50"/>
      <c r="E879" s="50"/>
    </row>
    <row r="880" ht="14.25" customHeight="1">
      <c r="B880" s="50"/>
      <c r="C880" s="50"/>
      <c r="D880" s="50"/>
      <c r="E880" s="50"/>
    </row>
    <row r="881" ht="14.25" customHeight="1">
      <c r="B881" s="50"/>
      <c r="C881" s="50"/>
      <c r="D881" s="50"/>
      <c r="E881" s="50"/>
    </row>
    <row r="882" ht="14.25" customHeight="1">
      <c r="B882" s="50"/>
      <c r="C882" s="50"/>
      <c r="D882" s="50"/>
      <c r="E882" s="50"/>
    </row>
    <row r="883" ht="14.25" customHeight="1">
      <c r="B883" s="50"/>
      <c r="C883" s="50"/>
      <c r="D883" s="50"/>
      <c r="E883" s="50"/>
    </row>
    <row r="884" ht="14.25" customHeight="1">
      <c r="B884" s="50"/>
      <c r="C884" s="50"/>
      <c r="D884" s="50"/>
      <c r="E884" s="50"/>
    </row>
    <row r="885" ht="14.25" customHeight="1">
      <c r="B885" s="50"/>
      <c r="C885" s="50"/>
      <c r="D885" s="50"/>
      <c r="E885" s="50"/>
    </row>
    <row r="886" ht="14.25" customHeight="1">
      <c r="B886" s="50"/>
      <c r="C886" s="50"/>
      <c r="D886" s="50"/>
      <c r="E886" s="50"/>
    </row>
    <row r="887" ht="14.25" customHeight="1">
      <c r="B887" s="50"/>
      <c r="C887" s="50"/>
      <c r="D887" s="50"/>
      <c r="E887" s="50"/>
    </row>
    <row r="888" ht="14.25" customHeight="1">
      <c r="B888" s="50"/>
      <c r="C888" s="50"/>
      <c r="D888" s="50"/>
      <c r="E888" s="50"/>
    </row>
    <row r="889" ht="14.25" customHeight="1">
      <c r="B889" s="50"/>
      <c r="C889" s="50"/>
      <c r="D889" s="50"/>
      <c r="E889" s="50"/>
    </row>
    <row r="890" ht="14.25" customHeight="1">
      <c r="B890" s="50"/>
      <c r="C890" s="50"/>
      <c r="D890" s="50"/>
      <c r="E890" s="50"/>
    </row>
    <row r="891" ht="14.25" customHeight="1">
      <c r="B891" s="50"/>
      <c r="C891" s="50"/>
      <c r="D891" s="50"/>
      <c r="E891" s="50"/>
    </row>
    <row r="892" ht="14.25" customHeight="1">
      <c r="B892" s="50"/>
      <c r="C892" s="50"/>
      <c r="D892" s="50"/>
      <c r="E892" s="50"/>
    </row>
    <row r="893" ht="14.25" customHeight="1">
      <c r="B893" s="50"/>
      <c r="C893" s="50"/>
      <c r="D893" s="50"/>
      <c r="E893" s="50"/>
    </row>
    <row r="894" ht="14.25" customHeight="1">
      <c r="B894" s="50"/>
      <c r="C894" s="50"/>
      <c r="D894" s="50"/>
      <c r="E894" s="50"/>
    </row>
    <row r="895" ht="14.25" customHeight="1">
      <c r="B895" s="50"/>
      <c r="C895" s="50"/>
      <c r="D895" s="50"/>
      <c r="E895" s="50"/>
    </row>
    <row r="896" ht="14.25" customHeight="1">
      <c r="B896" s="50"/>
      <c r="C896" s="50"/>
      <c r="D896" s="50"/>
      <c r="E896" s="50"/>
    </row>
    <row r="897" ht="14.25" customHeight="1">
      <c r="B897" s="50"/>
      <c r="C897" s="50"/>
      <c r="D897" s="50"/>
      <c r="E897" s="50"/>
    </row>
    <row r="898" ht="14.25" customHeight="1">
      <c r="B898" s="50"/>
      <c r="C898" s="50"/>
      <c r="D898" s="50"/>
      <c r="E898" s="50"/>
    </row>
    <row r="899" ht="14.25" customHeight="1">
      <c r="B899" s="50"/>
      <c r="C899" s="50"/>
      <c r="D899" s="50"/>
      <c r="E899" s="50"/>
    </row>
    <row r="900" ht="14.25" customHeight="1">
      <c r="B900" s="50"/>
      <c r="C900" s="50"/>
      <c r="D900" s="50"/>
      <c r="E900" s="50"/>
    </row>
    <row r="901" ht="14.25" customHeight="1">
      <c r="B901" s="50"/>
      <c r="C901" s="50"/>
      <c r="D901" s="50"/>
      <c r="E901" s="50"/>
    </row>
    <row r="902" ht="14.25" customHeight="1">
      <c r="B902" s="50"/>
      <c r="C902" s="50"/>
      <c r="D902" s="50"/>
      <c r="E902" s="50"/>
    </row>
    <row r="903" ht="14.25" customHeight="1">
      <c r="B903" s="50"/>
      <c r="C903" s="50"/>
      <c r="D903" s="50"/>
      <c r="E903" s="50"/>
    </row>
    <row r="904" ht="14.25" customHeight="1">
      <c r="B904" s="50"/>
      <c r="C904" s="50"/>
      <c r="D904" s="50"/>
      <c r="E904" s="50"/>
    </row>
    <row r="905" ht="14.25" customHeight="1">
      <c r="B905" s="50"/>
      <c r="C905" s="50"/>
      <c r="D905" s="50"/>
      <c r="E905" s="50"/>
    </row>
    <row r="906" ht="14.25" customHeight="1">
      <c r="B906" s="50"/>
      <c r="C906" s="50"/>
      <c r="D906" s="50"/>
      <c r="E906" s="50"/>
    </row>
    <row r="907" ht="14.25" customHeight="1">
      <c r="B907" s="50"/>
      <c r="C907" s="50"/>
      <c r="D907" s="50"/>
      <c r="E907" s="50"/>
    </row>
    <row r="908" ht="14.25" customHeight="1">
      <c r="B908" s="50"/>
      <c r="C908" s="50"/>
      <c r="D908" s="50"/>
      <c r="E908" s="50"/>
    </row>
    <row r="909" ht="14.25" customHeight="1">
      <c r="B909" s="50"/>
      <c r="C909" s="50"/>
      <c r="D909" s="50"/>
      <c r="E909" s="50"/>
    </row>
    <row r="910" ht="14.25" customHeight="1">
      <c r="B910" s="50"/>
      <c r="C910" s="50"/>
      <c r="D910" s="50"/>
      <c r="E910" s="50"/>
    </row>
    <row r="911" ht="14.25" customHeight="1">
      <c r="B911" s="50"/>
      <c r="C911" s="50"/>
      <c r="D911" s="50"/>
      <c r="E911" s="50"/>
    </row>
    <row r="912" ht="14.25" customHeight="1">
      <c r="B912" s="50"/>
      <c r="C912" s="50"/>
      <c r="D912" s="50"/>
      <c r="E912" s="50"/>
    </row>
    <row r="913" ht="14.25" customHeight="1">
      <c r="B913" s="50"/>
      <c r="C913" s="50"/>
      <c r="D913" s="50"/>
      <c r="E913" s="50"/>
    </row>
    <row r="914" ht="14.25" customHeight="1">
      <c r="B914" s="50"/>
      <c r="C914" s="50"/>
      <c r="D914" s="50"/>
      <c r="E914" s="50"/>
    </row>
    <row r="915" ht="14.25" customHeight="1">
      <c r="B915" s="50"/>
      <c r="C915" s="50"/>
      <c r="D915" s="50"/>
      <c r="E915" s="50"/>
    </row>
    <row r="916" ht="14.25" customHeight="1">
      <c r="B916" s="50"/>
      <c r="C916" s="50"/>
      <c r="D916" s="50"/>
      <c r="E916" s="50"/>
    </row>
    <row r="917" ht="14.25" customHeight="1">
      <c r="B917" s="50"/>
      <c r="C917" s="50"/>
      <c r="D917" s="50"/>
      <c r="E917" s="50"/>
    </row>
    <row r="918" ht="14.25" customHeight="1">
      <c r="B918" s="50"/>
      <c r="C918" s="50"/>
      <c r="D918" s="50"/>
      <c r="E918" s="50"/>
    </row>
    <row r="919" ht="14.25" customHeight="1">
      <c r="B919" s="50"/>
      <c r="C919" s="50"/>
      <c r="D919" s="50"/>
      <c r="E919" s="50"/>
    </row>
    <row r="920" ht="14.25" customHeight="1">
      <c r="B920" s="50"/>
      <c r="C920" s="50"/>
      <c r="D920" s="50"/>
      <c r="E920" s="50"/>
    </row>
    <row r="921" ht="14.25" customHeight="1">
      <c r="B921" s="50"/>
      <c r="C921" s="50"/>
      <c r="D921" s="50"/>
      <c r="E921" s="50"/>
    </row>
    <row r="922" ht="14.25" customHeight="1">
      <c r="B922" s="50"/>
      <c r="C922" s="50"/>
      <c r="D922" s="50"/>
      <c r="E922" s="50"/>
    </row>
    <row r="923" ht="14.25" customHeight="1">
      <c r="B923" s="50"/>
      <c r="C923" s="50"/>
      <c r="D923" s="50"/>
      <c r="E923" s="50"/>
    </row>
    <row r="924" ht="14.25" customHeight="1">
      <c r="B924" s="50"/>
      <c r="C924" s="50"/>
      <c r="D924" s="50"/>
      <c r="E924" s="50"/>
    </row>
    <row r="925" ht="14.25" customHeight="1">
      <c r="B925" s="50"/>
      <c r="C925" s="50"/>
      <c r="D925" s="50"/>
      <c r="E925" s="50"/>
    </row>
    <row r="926" ht="14.25" customHeight="1">
      <c r="B926" s="50"/>
      <c r="C926" s="50"/>
      <c r="D926" s="50"/>
      <c r="E926" s="50"/>
    </row>
    <row r="927" ht="14.25" customHeight="1">
      <c r="B927" s="50"/>
      <c r="C927" s="50"/>
      <c r="D927" s="50"/>
      <c r="E927" s="50"/>
    </row>
    <row r="928" ht="14.25" customHeight="1">
      <c r="B928" s="50"/>
      <c r="C928" s="50"/>
      <c r="D928" s="50"/>
      <c r="E928" s="50"/>
    </row>
    <row r="929" ht="14.25" customHeight="1">
      <c r="B929" s="50"/>
      <c r="C929" s="50"/>
      <c r="D929" s="50"/>
      <c r="E929" s="50"/>
    </row>
    <row r="930" ht="14.25" customHeight="1">
      <c r="B930" s="50"/>
      <c r="C930" s="50"/>
      <c r="D930" s="50"/>
      <c r="E930" s="50"/>
    </row>
    <row r="931" ht="14.25" customHeight="1">
      <c r="B931" s="50"/>
      <c r="C931" s="50"/>
      <c r="D931" s="50"/>
      <c r="E931" s="50"/>
    </row>
    <row r="932" ht="14.25" customHeight="1">
      <c r="B932" s="50"/>
      <c r="C932" s="50"/>
      <c r="D932" s="50"/>
      <c r="E932" s="50"/>
    </row>
    <row r="933" ht="14.25" customHeight="1">
      <c r="B933" s="50"/>
      <c r="C933" s="50"/>
      <c r="D933" s="50"/>
      <c r="E933" s="50"/>
    </row>
    <row r="934" ht="14.25" customHeight="1">
      <c r="B934" s="50"/>
      <c r="C934" s="50"/>
      <c r="D934" s="50"/>
      <c r="E934" s="50"/>
    </row>
    <row r="935" ht="14.25" customHeight="1">
      <c r="B935" s="50"/>
      <c r="C935" s="50"/>
      <c r="D935" s="50"/>
      <c r="E935" s="50"/>
    </row>
    <row r="936" ht="14.25" customHeight="1">
      <c r="B936" s="50"/>
      <c r="C936" s="50"/>
      <c r="D936" s="50"/>
      <c r="E936" s="50"/>
    </row>
    <row r="937" ht="14.25" customHeight="1">
      <c r="B937" s="50"/>
      <c r="C937" s="50"/>
      <c r="D937" s="50"/>
      <c r="E937" s="50"/>
    </row>
    <row r="938" ht="14.25" customHeight="1">
      <c r="B938" s="50"/>
      <c r="C938" s="50"/>
      <c r="D938" s="50"/>
      <c r="E938" s="50"/>
    </row>
    <row r="939" ht="14.25" customHeight="1">
      <c r="B939" s="50"/>
      <c r="C939" s="50"/>
      <c r="D939" s="50"/>
      <c r="E939" s="50"/>
    </row>
    <row r="940" ht="14.25" customHeight="1">
      <c r="B940" s="50"/>
      <c r="C940" s="50"/>
      <c r="D940" s="50"/>
      <c r="E940" s="50"/>
    </row>
    <row r="941" ht="14.25" customHeight="1">
      <c r="B941" s="50"/>
      <c r="C941" s="50"/>
      <c r="D941" s="50"/>
      <c r="E941" s="50"/>
    </row>
    <row r="942" ht="14.25" customHeight="1">
      <c r="B942" s="50"/>
      <c r="C942" s="50"/>
      <c r="D942" s="50"/>
      <c r="E942" s="50"/>
    </row>
    <row r="943" ht="14.25" customHeight="1">
      <c r="B943" s="50"/>
      <c r="C943" s="50"/>
      <c r="D943" s="50"/>
      <c r="E943" s="50"/>
    </row>
    <row r="944" ht="14.25" customHeight="1">
      <c r="B944" s="50"/>
      <c r="C944" s="50"/>
      <c r="D944" s="50"/>
      <c r="E944" s="50"/>
    </row>
    <row r="945" ht="14.25" customHeight="1">
      <c r="B945" s="50"/>
      <c r="C945" s="50"/>
      <c r="D945" s="50"/>
      <c r="E945" s="50"/>
    </row>
    <row r="946" ht="14.25" customHeight="1">
      <c r="B946" s="50"/>
      <c r="C946" s="50"/>
      <c r="D946" s="50"/>
      <c r="E946" s="50"/>
    </row>
    <row r="947" ht="14.25" customHeight="1">
      <c r="B947" s="50"/>
      <c r="C947" s="50"/>
      <c r="D947" s="50"/>
      <c r="E947" s="50"/>
    </row>
    <row r="948" ht="14.25" customHeight="1">
      <c r="B948" s="50"/>
      <c r="C948" s="50"/>
      <c r="D948" s="50"/>
      <c r="E948" s="50"/>
    </row>
    <row r="949" ht="14.25" customHeight="1">
      <c r="B949" s="50"/>
      <c r="C949" s="50"/>
      <c r="D949" s="50"/>
      <c r="E949" s="50"/>
    </row>
    <row r="950" ht="14.25" customHeight="1">
      <c r="B950" s="50"/>
      <c r="C950" s="50"/>
      <c r="D950" s="50"/>
      <c r="E950" s="50"/>
    </row>
    <row r="951" ht="14.25" customHeight="1">
      <c r="B951" s="50"/>
      <c r="C951" s="50"/>
      <c r="D951" s="50"/>
      <c r="E951" s="50"/>
    </row>
    <row r="952" ht="14.25" customHeight="1">
      <c r="B952" s="50"/>
      <c r="C952" s="50"/>
      <c r="D952" s="50"/>
      <c r="E952" s="50"/>
    </row>
    <row r="953" ht="14.25" customHeight="1">
      <c r="B953" s="50"/>
      <c r="C953" s="50"/>
      <c r="D953" s="50"/>
      <c r="E953" s="50"/>
    </row>
    <row r="954" ht="14.25" customHeight="1">
      <c r="B954" s="50"/>
      <c r="C954" s="50"/>
      <c r="D954" s="50"/>
      <c r="E954" s="50"/>
    </row>
    <row r="955" ht="14.25" customHeight="1">
      <c r="B955" s="50"/>
      <c r="C955" s="50"/>
      <c r="D955" s="50"/>
      <c r="E955" s="50"/>
    </row>
    <row r="956" ht="14.25" customHeight="1">
      <c r="B956" s="50"/>
      <c r="C956" s="50"/>
      <c r="D956" s="50"/>
      <c r="E956" s="50"/>
    </row>
    <row r="957" ht="14.25" customHeight="1">
      <c r="B957" s="50"/>
      <c r="C957" s="50"/>
      <c r="D957" s="50"/>
      <c r="E957" s="50"/>
    </row>
    <row r="958" ht="14.25" customHeight="1">
      <c r="B958" s="50"/>
      <c r="C958" s="50"/>
      <c r="D958" s="50"/>
      <c r="E958" s="50"/>
    </row>
    <row r="959" ht="14.25" customHeight="1">
      <c r="B959" s="50"/>
      <c r="C959" s="50"/>
      <c r="D959" s="50"/>
      <c r="E959" s="50"/>
    </row>
    <row r="960" ht="14.25" customHeight="1">
      <c r="B960" s="50"/>
      <c r="C960" s="50"/>
      <c r="D960" s="50"/>
      <c r="E960" s="50"/>
    </row>
    <row r="961" ht="14.25" customHeight="1">
      <c r="B961" s="50"/>
      <c r="C961" s="50"/>
      <c r="D961" s="50"/>
      <c r="E961" s="50"/>
    </row>
    <row r="962" ht="14.25" customHeight="1">
      <c r="B962" s="50"/>
      <c r="C962" s="50"/>
      <c r="D962" s="50"/>
      <c r="E962" s="50"/>
    </row>
    <row r="963" ht="14.25" customHeight="1">
      <c r="B963" s="50"/>
      <c r="C963" s="50"/>
      <c r="D963" s="50"/>
      <c r="E963" s="50"/>
    </row>
    <row r="964" ht="14.25" customHeight="1">
      <c r="B964" s="50"/>
      <c r="C964" s="50"/>
      <c r="D964" s="50"/>
      <c r="E964" s="50"/>
    </row>
    <row r="965" ht="14.25" customHeight="1">
      <c r="B965" s="50"/>
      <c r="C965" s="50"/>
      <c r="D965" s="50"/>
      <c r="E965" s="50"/>
    </row>
    <row r="966" ht="14.25" customHeight="1">
      <c r="B966" s="50"/>
      <c r="C966" s="50"/>
      <c r="D966" s="50"/>
      <c r="E966" s="50"/>
    </row>
    <row r="967" ht="14.25" customHeight="1">
      <c r="B967" s="50"/>
      <c r="C967" s="50"/>
      <c r="D967" s="50"/>
      <c r="E967" s="50"/>
    </row>
    <row r="968" ht="14.25" customHeight="1">
      <c r="B968" s="50"/>
      <c r="C968" s="50"/>
      <c r="D968" s="50"/>
      <c r="E968" s="50"/>
    </row>
    <row r="969" ht="14.25" customHeight="1">
      <c r="B969" s="50"/>
      <c r="C969" s="50"/>
      <c r="D969" s="50"/>
      <c r="E969" s="50"/>
    </row>
    <row r="970" ht="14.25" customHeight="1">
      <c r="B970" s="50"/>
      <c r="C970" s="50"/>
      <c r="D970" s="50"/>
      <c r="E970" s="50"/>
    </row>
    <row r="971" ht="14.25" customHeight="1">
      <c r="B971" s="50"/>
      <c r="C971" s="50"/>
      <c r="D971" s="50"/>
      <c r="E971" s="50"/>
    </row>
    <row r="972" ht="14.25" customHeight="1">
      <c r="B972" s="50"/>
      <c r="C972" s="50"/>
      <c r="D972" s="50"/>
      <c r="E972" s="50"/>
    </row>
    <row r="973" ht="14.25" customHeight="1">
      <c r="B973" s="50"/>
      <c r="C973" s="50"/>
      <c r="D973" s="50"/>
      <c r="E973" s="50"/>
    </row>
    <row r="974" ht="14.25" customHeight="1">
      <c r="B974" s="50"/>
      <c r="C974" s="50"/>
      <c r="D974" s="50"/>
      <c r="E974" s="50"/>
    </row>
    <row r="975" ht="14.25" customHeight="1">
      <c r="B975" s="50"/>
      <c r="C975" s="50"/>
      <c r="D975" s="50"/>
      <c r="E975" s="50"/>
    </row>
    <row r="976" ht="14.25" customHeight="1">
      <c r="B976" s="50"/>
      <c r="C976" s="50"/>
      <c r="D976" s="50"/>
      <c r="E976" s="50"/>
    </row>
    <row r="977" ht="14.25" customHeight="1">
      <c r="B977" s="50"/>
      <c r="C977" s="50"/>
      <c r="D977" s="50"/>
      <c r="E977" s="50"/>
    </row>
    <row r="978" ht="14.25" customHeight="1">
      <c r="B978" s="50"/>
      <c r="C978" s="50"/>
      <c r="D978" s="50"/>
      <c r="E978" s="50"/>
    </row>
    <row r="979" ht="14.25" customHeight="1">
      <c r="B979" s="50"/>
      <c r="C979" s="50"/>
      <c r="D979" s="50"/>
      <c r="E979" s="50"/>
    </row>
    <row r="980" ht="14.25" customHeight="1">
      <c r="B980" s="50"/>
      <c r="C980" s="50"/>
      <c r="D980" s="50"/>
      <c r="E980" s="50"/>
    </row>
    <row r="981" ht="14.25" customHeight="1">
      <c r="B981" s="50"/>
      <c r="C981" s="50"/>
      <c r="D981" s="50"/>
      <c r="E981" s="50"/>
    </row>
    <row r="982" ht="14.25" customHeight="1">
      <c r="B982" s="50"/>
      <c r="C982" s="50"/>
      <c r="D982" s="50"/>
      <c r="E982" s="50"/>
    </row>
    <row r="983" ht="14.25" customHeight="1">
      <c r="B983" s="50"/>
      <c r="C983" s="50"/>
      <c r="D983" s="50"/>
      <c r="E983" s="50"/>
    </row>
    <row r="984" ht="14.25" customHeight="1">
      <c r="B984" s="50"/>
      <c r="C984" s="50"/>
      <c r="D984" s="50"/>
      <c r="E984" s="50"/>
    </row>
    <row r="985" ht="14.25" customHeight="1">
      <c r="B985" s="50"/>
      <c r="C985" s="50"/>
      <c r="D985" s="50"/>
      <c r="E985" s="50"/>
    </row>
    <row r="986" ht="14.25" customHeight="1">
      <c r="B986" s="50"/>
      <c r="C986" s="50"/>
      <c r="D986" s="50"/>
      <c r="E986" s="50"/>
    </row>
    <row r="987" ht="14.25" customHeight="1">
      <c r="B987" s="50"/>
      <c r="C987" s="50"/>
      <c r="D987" s="50"/>
      <c r="E987" s="50"/>
    </row>
    <row r="988" ht="14.25" customHeight="1">
      <c r="B988" s="50"/>
      <c r="C988" s="50"/>
      <c r="D988" s="50"/>
      <c r="E988" s="50"/>
    </row>
    <row r="989" ht="14.25" customHeight="1">
      <c r="B989" s="50"/>
      <c r="C989" s="50"/>
      <c r="D989" s="50"/>
      <c r="E989" s="50"/>
    </row>
    <row r="990" ht="14.25" customHeight="1">
      <c r="B990" s="50"/>
      <c r="C990" s="50"/>
      <c r="D990" s="50"/>
      <c r="E990" s="50"/>
    </row>
    <row r="991" ht="14.25" customHeight="1">
      <c r="B991" s="50"/>
      <c r="C991" s="50"/>
      <c r="D991" s="50"/>
      <c r="E991" s="50"/>
    </row>
    <row r="992" ht="14.25" customHeight="1">
      <c r="B992" s="50"/>
      <c r="C992" s="50"/>
      <c r="D992" s="50"/>
      <c r="E992" s="50"/>
    </row>
    <row r="993" ht="14.25" customHeight="1">
      <c r="B993" s="50"/>
      <c r="C993" s="50"/>
      <c r="D993" s="50"/>
      <c r="E993" s="50"/>
    </row>
    <row r="994" ht="14.25" customHeight="1">
      <c r="B994" s="50"/>
      <c r="C994" s="50"/>
      <c r="D994" s="50"/>
      <c r="E994" s="50"/>
    </row>
    <row r="995" ht="14.25" customHeight="1">
      <c r="B995" s="50"/>
      <c r="C995" s="50"/>
      <c r="D995" s="50"/>
      <c r="E995" s="50"/>
    </row>
    <row r="996" ht="14.25" customHeight="1">
      <c r="B996" s="50"/>
      <c r="C996" s="50"/>
      <c r="D996" s="50"/>
      <c r="E996" s="50"/>
    </row>
    <row r="997" ht="14.25" customHeight="1">
      <c r="B997" s="50"/>
      <c r="C997" s="50"/>
      <c r="D997" s="50"/>
      <c r="E997" s="50"/>
    </row>
    <row r="998" ht="14.25" customHeight="1">
      <c r="B998" s="50"/>
      <c r="C998" s="50"/>
      <c r="D998" s="50"/>
      <c r="E998" s="50"/>
    </row>
    <row r="999" ht="14.25" customHeight="1">
      <c r="B999" s="50"/>
      <c r="C999" s="50"/>
      <c r="D999" s="50"/>
      <c r="E999" s="50"/>
    </row>
    <row r="1000" ht="14.25" customHeight="1">
      <c r="B1000" s="50"/>
      <c r="C1000" s="50"/>
      <c r="D1000" s="50"/>
      <c r="E1000" s="50"/>
    </row>
    <row r="1001" ht="14.25" customHeight="1">
      <c r="B1001" s="50"/>
      <c r="C1001" s="50"/>
      <c r="D1001" s="50"/>
      <c r="E1001" s="50"/>
    </row>
    <row r="1002" ht="14.25" customHeight="1">
      <c r="B1002" s="50"/>
      <c r="C1002" s="50"/>
      <c r="D1002" s="50"/>
      <c r="E1002" s="50"/>
    </row>
    <row r="1003" ht="14.25" customHeight="1">
      <c r="B1003" s="50"/>
      <c r="C1003" s="50"/>
      <c r="D1003" s="50"/>
      <c r="E1003" s="50"/>
    </row>
    <row r="1004" ht="14.25" customHeight="1">
      <c r="B1004" s="50"/>
      <c r="C1004" s="50"/>
      <c r="D1004" s="50"/>
      <c r="E1004" s="50"/>
    </row>
    <row r="1005" ht="14.25" customHeight="1">
      <c r="B1005" s="50"/>
      <c r="C1005" s="50"/>
      <c r="D1005" s="50"/>
      <c r="E1005" s="50"/>
    </row>
    <row r="1006" ht="14.25" customHeight="1">
      <c r="B1006" s="50"/>
      <c r="C1006" s="50"/>
      <c r="D1006" s="50"/>
      <c r="E1006" s="50"/>
    </row>
  </sheetData>
  <printOptions/>
  <pageMargins bottom="0.75" footer="0.0" header="0.0" left="0.7" right="0.7" top="0.75"/>
  <pageSetup orientation="landscape"/>
  <drawing r:id="rId1"/>
</worksheet>
</file>